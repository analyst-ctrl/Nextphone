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00e065a7cf68a8/Desktop/COBROS/CALL CENTER/JUNIO/"/>
    </mc:Choice>
  </mc:AlternateContent>
  <xr:revisionPtr revIDLastSave="0" documentId="8_{E2A6FC43-74FA-4270-8809-41AD57D6E10F}" xr6:coauthVersionLast="47" xr6:coauthVersionMax="47" xr10:uidLastSave="{00000000-0000-0000-0000-000000000000}"/>
  <bookViews>
    <workbookView xWindow="28680" yWindow="-120" windowWidth="29040" windowHeight="15840" xr2:uid="{C3C2F151-E169-4676-86F7-1E14E3C2B4F4}"/>
  </bookViews>
  <sheets>
    <sheet name="DASHBOARD2" sheetId="1" r:id="rId1"/>
    <sheet name="datos" sheetId="2" r:id="rId2"/>
  </sheets>
  <externalReferences>
    <externalReference r:id="rId3"/>
  </externalReferences>
  <definedNames>
    <definedName name="_xlchart.v2.0" hidden="1">DASHBOARD2!$H$4:$H$8</definedName>
    <definedName name="_xlchart.v2.1" hidden="1">DASHBOARD2!$I$4:$I$8</definedName>
  </definedNames>
  <calcPr calcId="191029"/>
  <pivotCaches>
    <pivotCache cacheId="1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1" i="2" l="1"/>
  <c r="C60" i="2"/>
  <c r="B60" i="2"/>
  <c r="C59" i="2"/>
  <c r="B59" i="2"/>
  <c r="C58" i="2"/>
  <c r="B58" i="2"/>
  <c r="C57" i="2"/>
  <c r="B57" i="2"/>
  <c r="B62" i="2" s="1"/>
  <c r="B50" i="2"/>
  <c r="B51" i="2" s="1"/>
  <c r="B49" i="2"/>
  <c r="B37" i="2"/>
  <c r="B36" i="2"/>
  <c r="B34" i="2"/>
  <c r="B27" i="2"/>
  <c r="B11" i="2"/>
  <c r="B43" i="2" s="1"/>
  <c r="H5" i="2"/>
  <c r="B10" i="2" s="1"/>
  <c r="B4" i="2"/>
  <c r="B33" i="2" s="1"/>
  <c r="I4" i="1" s="1"/>
  <c r="B39" i="1"/>
  <c r="C38" i="1"/>
  <c r="B38" i="1"/>
  <c r="C37" i="1"/>
  <c r="B37" i="1"/>
  <c r="C36" i="1"/>
  <c r="B36" i="1"/>
  <c r="C35" i="1"/>
  <c r="B35" i="1"/>
  <c r="B28" i="1"/>
  <c r="B27" i="1"/>
  <c r="E22" i="1"/>
  <c r="B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B14" i="1"/>
  <c r="F20" i="1" s="1"/>
  <c r="I8" i="1"/>
  <c r="I7" i="1"/>
  <c r="I5" i="1"/>
  <c r="G5" i="2"/>
  <c r="B31" i="1"/>
  <c r="D22" i="1"/>
  <c r="C27" i="2"/>
  <c r="B6" i="2"/>
  <c r="F5" i="2"/>
  <c r="F35" i="1"/>
  <c r="E31" i="1"/>
  <c r="C61" i="2"/>
  <c r="F27" i="2"/>
  <c r="E5" i="2"/>
  <c r="E35" i="1"/>
  <c r="D31" i="1"/>
  <c r="E21" i="1"/>
  <c r="E27" i="2"/>
  <c r="B5" i="2"/>
  <c r="C31" i="1"/>
  <c r="D21" i="1"/>
  <c r="C32" i="1" l="1"/>
  <c r="G31" i="1"/>
  <c r="B15" i="1"/>
  <c r="E27" i="1"/>
  <c r="E28" i="1" s="1"/>
  <c r="D32" i="1"/>
  <c r="F32" i="1" s="1"/>
  <c r="F31" i="1"/>
  <c r="F27" i="1"/>
  <c r="F28" i="1" s="1"/>
  <c r="G27" i="2"/>
  <c r="G27" i="1" s="1"/>
  <c r="G28" i="1" s="1"/>
  <c r="C39" i="1"/>
  <c r="E32" i="1"/>
  <c r="B35" i="2"/>
  <c r="I6" i="1" s="1"/>
  <c r="B8" i="2"/>
  <c r="B18" i="1" s="1"/>
  <c r="B7" i="2"/>
  <c r="B17" i="1" s="1"/>
  <c r="B16" i="1"/>
  <c r="D27" i="2"/>
  <c r="D27" i="1" s="1"/>
  <c r="D28" i="1" s="1"/>
  <c r="C27" i="1"/>
  <c r="C28" i="1" s="1"/>
  <c r="B32" i="1"/>
  <c r="B9" i="2"/>
  <c r="B19" i="1" s="1"/>
  <c r="I5" i="2"/>
  <c r="E23" i="1"/>
  <c r="C43" i="2"/>
  <c r="C62" i="2"/>
  <c r="D23" i="1"/>
  <c r="B20" i="1"/>
  <c r="F13" i="1" s="1"/>
  <c r="B12" i="2"/>
  <c r="B22" i="1" s="1"/>
  <c r="B42" i="2"/>
  <c r="C42" i="2" s="1"/>
  <c r="B44" i="2" l="1"/>
  <c r="G32" i="1"/>
</calcChain>
</file>

<file path=xl/sharedStrings.xml><?xml version="1.0" encoding="utf-8"?>
<sst xmlns="http://schemas.openxmlformats.org/spreadsheetml/2006/main" count="140" uniqueCount="79">
  <si>
    <t>DATAPHONE | COBROS</t>
  </si>
  <si>
    <t>FUNNEL DE COBROS</t>
  </si>
  <si>
    <t>Status</t>
  </si>
  <si>
    <t>Cant</t>
  </si>
  <si>
    <t>Asignadas</t>
  </si>
  <si>
    <t>Gestionadas</t>
  </si>
  <si>
    <t>Contactadas</t>
  </si>
  <si>
    <t>Promesas</t>
  </si>
  <si>
    <t>Pagos</t>
  </si>
  <si>
    <t>RESUMEN | MES EN TRANSITO (MAYO)</t>
  </si>
  <si>
    <t>Resultados Financieros</t>
  </si>
  <si>
    <t>% PROMESA</t>
  </si>
  <si>
    <t>HC</t>
  </si>
  <si>
    <t>Segmento</t>
  </si>
  <si>
    <t xml:space="preserve"> Promesa de Pago</t>
  </si>
  <si>
    <t xml:space="preserve"> Monto Recuperado</t>
  </si>
  <si>
    <t>Cuentas asignadas</t>
  </si>
  <si>
    <t>Call Center  Outbound</t>
  </si>
  <si>
    <t>Cartera ($)</t>
  </si>
  <si>
    <t>Digital</t>
  </si>
  <si>
    <t>Recuperación ($)</t>
  </si>
  <si>
    <t>La doña</t>
  </si>
  <si>
    <t>% Recuperación</t>
  </si>
  <si>
    <t>Masivo (D2D)</t>
  </si>
  <si>
    <t>Contactabilidad</t>
  </si>
  <si>
    <t>Movil</t>
  </si>
  <si>
    <t>RPC</t>
  </si>
  <si>
    <t>Oeste</t>
  </si>
  <si>
    <t>% RECUPERACION</t>
  </si>
  <si>
    <t>Punto de ventas</t>
  </si>
  <si>
    <t>Promesas cumplidas</t>
  </si>
  <si>
    <t>Soho</t>
  </si>
  <si>
    <t>% Cumplimiento</t>
  </si>
  <si>
    <t>Soho -Callcenter</t>
  </si>
  <si>
    <t>Total general</t>
  </si>
  <si>
    <t>PERFORMANCE POR AGENTE</t>
  </si>
  <si>
    <t>AGENTE</t>
  </si>
  <si>
    <t>Cartera</t>
  </si>
  <si>
    <t>Recuperado</t>
  </si>
  <si>
    <t>Cumplidas</t>
  </si>
  <si>
    <t>% Efectividad</t>
  </si>
  <si>
    <t>Lili Velez</t>
  </si>
  <si>
    <t>Total</t>
  </si>
  <si>
    <t>PRODUCTIVIDAD OPERATIVA</t>
  </si>
  <si>
    <t>PROMESA VS PAGOS</t>
  </si>
  <si>
    <t>Llamadas</t>
  </si>
  <si>
    <t>Contactos</t>
  </si>
  <si>
    <t>Cant Promesas de pago</t>
  </si>
  <si>
    <t>% RPC</t>
  </si>
  <si>
    <t>% Contactos</t>
  </si>
  <si>
    <t>DIVISION POR MES PENDIENTE</t>
  </si>
  <si>
    <t>Cuentas Cesadas / Al Dia</t>
  </si>
  <si>
    <t>PENDIENTES POR MES</t>
  </si>
  <si>
    <t xml:space="preserve"> REGISTROS CARGADOS</t>
  </si>
  <si>
    <t>RECUPERADO</t>
  </si>
  <si>
    <t>Cliente al dia</t>
  </si>
  <si>
    <t>Cuenta cesada</t>
  </si>
  <si>
    <t>1 MES PENDIENTE</t>
  </si>
  <si>
    <t>2 MESES PENDIENTES</t>
  </si>
  <si>
    <t>3 MESES PENDIENTES</t>
  </si>
  <si>
    <t>4 MESES PENDIENTES</t>
  </si>
  <si>
    <t>NPN</t>
  </si>
  <si>
    <t>LLAMADAS DIARIAS</t>
  </si>
  <si>
    <t>Resumen Ejecutivo</t>
  </si>
  <si>
    <t>Productividad Operativa</t>
  </si>
  <si>
    <t>Indicador</t>
  </si>
  <si>
    <t>Valor</t>
  </si>
  <si>
    <t>Canal</t>
  </si>
  <si>
    <t>Performance por Agente</t>
  </si>
  <si>
    <t>Agente</t>
  </si>
  <si>
    <t>Funnel de Cobranza</t>
  </si>
  <si>
    <t>Etapa</t>
  </si>
  <si>
    <t>Cantidad</t>
  </si>
  <si>
    <t>Promesas vs Pagos</t>
  </si>
  <si>
    <t>Porcentaje</t>
  </si>
  <si>
    <t>Barrido de base</t>
  </si>
  <si>
    <t>Gestiones Totales</t>
  </si>
  <si>
    <t>Gestiones Productivas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</si>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</sst>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B/.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36"/>
      <name val="Calibri"/>
      <family val="2"/>
    </font>
    <font>
      <b/>
      <sz val="9"/>
      <name val="Calibri"/>
      <family val="2"/>
    </font>
    <font>
      <b/>
      <sz val="36"/>
      <color theme="1"/>
      <name val="Calibri"/>
      <family val="2"/>
      <scheme val="minor"/>
    </font>
    <font>
      <b/>
      <sz val="12"/>
      <name val="Calibri"/>
      <family val="2"/>
    </font>
    <font>
      <b/>
      <sz val="72"/>
      <name val="Calibri"/>
      <family val="2"/>
    </font>
    <font>
      <b/>
      <sz val="48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2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8"/>
      </patternFill>
    </fill>
    <fill>
      <patternFill patternType="solid">
        <fgColor rgb="FF48CAE4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2" fillId="2" borderId="0" xfId="0" applyFont="1" applyFill="1" applyAlignment="1">
      <alignment horizont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1" xfId="0" applyBorder="1" applyAlignment="1">
      <alignment horizontal="center"/>
    </xf>
    <xf numFmtId="3" fontId="0" fillId="0" borderId="12" xfId="0" applyNumberForma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3" fontId="0" fillId="0" borderId="13" xfId="0" applyNumberFormat="1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hidden="1"/>
    </xf>
    <xf numFmtId="0" fontId="0" fillId="0" borderId="16" xfId="0" applyBorder="1" applyProtection="1">
      <protection locked="0"/>
    </xf>
    <xf numFmtId="0" fontId="0" fillId="0" borderId="13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21" xfId="0" applyFont="1" applyFill="1" applyBorder="1" applyAlignment="1" applyProtection="1">
      <alignment horizontal="center"/>
      <protection locked="0"/>
    </xf>
    <xf numFmtId="10" fontId="9" fillId="0" borderId="2" xfId="1" applyNumberFormat="1" applyFont="1" applyBorder="1" applyAlignment="1" applyProtection="1">
      <alignment horizontal="center" vertical="center"/>
      <protection locked="0"/>
    </xf>
    <xf numFmtId="0" fontId="0" fillId="0" borderId="22" xfId="0" applyBorder="1"/>
    <xf numFmtId="3" fontId="3" fillId="0" borderId="23" xfId="0" applyNumberFormat="1" applyFont="1" applyBorder="1" applyAlignment="1" applyProtection="1">
      <alignment horizontal="center"/>
      <protection locked="0"/>
    </xf>
    <xf numFmtId="0" fontId="0" fillId="0" borderId="24" xfId="0" applyBorder="1" applyAlignment="1">
      <alignment horizontal="left"/>
    </xf>
    <xf numFmtId="164" fontId="10" fillId="0" borderId="25" xfId="0" applyNumberFormat="1" applyFont="1" applyBorder="1" applyAlignment="1" applyProtection="1">
      <alignment horizontal="center" vertical="center"/>
      <protection locked="0"/>
    </xf>
    <xf numFmtId="164" fontId="10" fillId="0" borderId="26" xfId="0" applyNumberFormat="1" applyFont="1" applyBorder="1" applyAlignment="1" applyProtection="1">
      <alignment horizontal="center" vertical="center"/>
      <protection locked="0"/>
    </xf>
    <xf numFmtId="10" fontId="9" fillId="0" borderId="0" xfId="1" applyNumberFormat="1" applyFont="1" applyBorder="1" applyAlignment="1" applyProtection="1">
      <alignment horizontal="center" vertical="center"/>
      <protection locked="0"/>
    </xf>
    <xf numFmtId="164" fontId="3" fillId="0" borderId="23" xfId="0" applyNumberFormat="1" applyFont="1" applyBorder="1" applyAlignment="1" applyProtection="1">
      <alignment horizontal="center"/>
      <protection locked="0"/>
    </xf>
    <xf numFmtId="0" fontId="0" fillId="0" borderId="23" xfId="0" applyBorder="1" applyAlignment="1">
      <alignment horizontal="left"/>
    </xf>
    <xf numFmtId="10" fontId="3" fillId="0" borderId="23" xfId="1" applyNumberFormat="1" applyFont="1" applyBorder="1" applyAlignment="1" applyProtection="1">
      <alignment horizontal="center"/>
      <protection locked="0"/>
    </xf>
    <xf numFmtId="10" fontId="9" fillId="0" borderId="7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/>
      <protection locked="0"/>
    </xf>
    <xf numFmtId="10" fontId="11" fillId="0" borderId="2" xfId="1" applyNumberFormat="1" applyFont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left"/>
    </xf>
    <xf numFmtId="10" fontId="11" fillId="0" borderId="0" xfId="1" applyNumberFormat="1" applyFont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1" fontId="3" fillId="0" borderId="29" xfId="1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>
      <alignment horizontal="left"/>
    </xf>
    <xf numFmtId="164" fontId="12" fillId="0" borderId="30" xfId="0" applyNumberFormat="1" applyFont="1" applyBorder="1" applyAlignment="1" applyProtection="1">
      <alignment horizontal="center" vertical="center"/>
      <protection locked="0"/>
    </xf>
    <xf numFmtId="164" fontId="12" fillId="0" borderId="31" xfId="0" applyNumberFormat="1" applyFont="1" applyBorder="1" applyAlignment="1" applyProtection="1">
      <alignment horizontal="center" vertical="center"/>
      <protection locked="0"/>
    </xf>
    <xf numFmtId="10" fontId="11" fillId="0" borderId="7" xfId="1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1" applyNumberFormat="1" applyFont="1" applyBorder="1" applyAlignment="1" applyProtection="1">
      <alignment horizontal="center"/>
      <protection hidden="1"/>
    </xf>
    <xf numFmtId="9" fontId="13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5" fillId="3" borderId="4" xfId="0" applyFont="1" applyFill="1" applyBorder="1" applyAlignment="1" applyProtection="1">
      <alignment horizontal="center" vertical="center"/>
      <protection locked="0"/>
    </xf>
    <xf numFmtId="0" fontId="15" fillId="3" borderId="17" xfId="0" applyFont="1" applyFill="1" applyBorder="1" applyAlignment="1" applyProtection="1">
      <alignment horizontal="center" vertical="center"/>
      <protection locked="0"/>
    </xf>
    <xf numFmtId="0" fontId="15" fillId="3" borderId="5" xfId="0" applyFont="1" applyFill="1" applyBorder="1" applyAlignment="1" applyProtection="1">
      <alignment horizontal="center" vertical="center"/>
      <protection locked="0"/>
    </xf>
    <xf numFmtId="0" fontId="16" fillId="4" borderId="20" xfId="0" applyFont="1" applyFill="1" applyBorder="1" applyAlignment="1" applyProtection="1">
      <alignment horizontal="center" vertical="center"/>
      <protection locked="0"/>
    </xf>
    <xf numFmtId="0" fontId="16" fillId="4" borderId="32" xfId="0" applyFont="1" applyFill="1" applyBorder="1" applyAlignment="1" applyProtection="1">
      <alignment horizontal="center" vertical="center"/>
      <protection locked="0"/>
    </xf>
    <xf numFmtId="0" fontId="16" fillId="4" borderId="10" xfId="0" applyFont="1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/>
    </xf>
    <xf numFmtId="3" fontId="17" fillId="0" borderId="27" xfId="0" applyNumberFormat="1" applyFont="1" applyBorder="1" applyAlignment="1" applyProtection="1">
      <alignment horizontal="center" vertical="center" wrapText="1"/>
      <protection hidden="1"/>
    </xf>
    <xf numFmtId="0" fontId="17" fillId="0" borderId="27" xfId="0" applyFont="1" applyBorder="1" applyAlignment="1" applyProtection="1">
      <alignment horizontal="center" vertical="center" wrapText="1"/>
      <protection hidden="1"/>
    </xf>
    <xf numFmtId="10" fontId="17" fillId="0" borderId="27" xfId="1" applyNumberFormat="1" applyFont="1" applyBorder="1" applyAlignment="1" applyProtection="1">
      <alignment horizontal="center" vertical="center" wrapText="1"/>
      <protection hidden="1"/>
    </xf>
    <xf numFmtId="164" fontId="17" fillId="0" borderId="27" xfId="0" applyNumberFormat="1" applyFont="1" applyBorder="1" applyAlignment="1" applyProtection="1">
      <alignment horizontal="center" vertical="center" wrapText="1"/>
      <protection hidden="1"/>
    </xf>
    <xf numFmtId="10" fontId="17" fillId="0" borderId="33" xfId="1" applyNumberFormat="1" applyFont="1" applyBorder="1" applyAlignment="1" applyProtection="1">
      <alignment horizontal="center" vertical="center" wrapText="1"/>
      <protection hidden="1"/>
    </xf>
    <xf numFmtId="0" fontId="0" fillId="0" borderId="28" xfId="0" applyBorder="1" applyAlignment="1" applyProtection="1">
      <alignment horizontal="center"/>
      <protection locked="0"/>
    </xf>
    <xf numFmtId="3" fontId="17" fillId="0" borderId="29" xfId="0" applyNumberFormat="1" applyFont="1" applyBorder="1" applyAlignment="1" applyProtection="1">
      <alignment horizontal="center" vertical="center" wrapText="1"/>
      <protection hidden="1"/>
    </xf>
    <xf numFmtId="0" fontId="17" fillId="0" borderId="29" xfId="0" applyFont="1" applyBorder="1" applyAlignment="1" applyProtection="1">
      <alignment horizontal="center" vertical="center" wrapText="1"/>
      <protection hidden="1"/>
    </xf>
    <xf numFmtId="10" fontId="17" fillId="0" borderId="29" xfId="1" applyNumberFormat="1" applyFont="1" applyBorder="1" applyAlignment="1" applyProtection="1">
      <alignment horizontal="center" vertical="center" wrapText="1"/>
      <protection hidden="1"/>
    </xf>
    <xf numFmtId="164" fontId="17" fillId="0" borderId="29" xfId="0" applyNumberFormat="1" applyFont="1" applyBorder="1" applyAlignment="1" applyProtection="1">
      <alignment horizontal="center" vertical="center" wrapText="1"/>
      <protection hidden="1"/>
    </xf>
    <xf numFmtId="10" fontId="17" fillId="0" borderId="34" xfId="1" applyNumberFormat="1" applyFont="1" applyBorder="1" applyAlignment="1" applyProtection="1">
      <alignment horizontal="center" vertical="center" wrapText="1"/>
      <protection hidden="1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0" fontId="15" fillId="3" borderId="2" xfId="0" applyFont="1" applyFill="1" applyBorder="1" applyAlignment="1" applyProtection="1">
      <alignment horizontal="center" vertical="center"/>
      <protection locked="0"/>
    </xf>
    <xf numFmtId="0" fontId="18" fillId="4" borderId="20" xfId="0" applyFont="1" applyFill="1" applyBorder="1" applyAlignment="1" applyProtection="1">
      <alignment horizontal="center" vertical="center"/>
      <protection locked="0"/>
    </xf>
    <xf numFmtId="0" fontId="3" fillId="4" borderId="32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13" xfId="0" applyBorder="1"/>
    <xf numFmtId="0" fontId="0" fillId="0" borderId="18" xfId="0" applyBorder="1" applyAlignment="1">
      <alignment horizontal="center"/>
    </xf>
    <xf numFmtId="3" fontId="3" fillId="0" borderId="19" xfId="0" applyNumberFormat="1" applyFont="1" applyBorder="1" applyAlignment="1" applyProtection="1">
      <alignment horizontal="center"/>
      <protection locked="0"/>
    </xf>
    <xf numFmtId="10" fontId="3" fillId="0" borderId="19" xfId="1" applyNumberFormat="1" applyFont="1" applyBorder="1" applyAlignment="1">
      <alignment horizontal="center"/>
    </xf>
    <xf numFmtId="10" fontId="3" fillId="0" borderId="36" xfId="1" applyNumberFormat="1" applyFont="1" applyBorder="1" applyAlignment="1">
      <alignment horizontal="center"/>
    </xf>
    <xf numFmtId="3" fontId="3" fillId="0" borderId="29" xfId="0" applyNumberFormat="1" applyFont="1" applyBorder="1" applyAlignment="1" applyProtection="1">
      <alignment horizont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10" fontId="3" fillId="0" borderId="29" xfId="1" applyNumberFormat="1" applyFont="1" applyBorder="1" applyAlignment="1">
      <alignment horizontal="center"/>
    </xf>
    <xf numFmtId="10" fontId="3" fillId="0" borderId="37" xfId="1" applyNumberFormat="1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8" fillId="4" borderId="21" xfId="0" applyFont="1" applyFill="1" applyBorder="1" applyAlignment="1" applyProtection="1">
      <alignment horizontal="center" vertical="center"/>
      <protection locked="0"/>
    </xf>
    <xf numFmtId="0" fontId="18" fillId="4" borderId="4" xfId="0" applyFont="1" applyFill="1" applyBorder="1" applyAlignment="1" applyProtection="1">
      <alignment horizontal="center" vertical="center"/>
      <protection locked="0"/>
    </xf>
    <xf numFmtId="0" fontId="0" fillId="0" borderId="38" xfId="0" applyBorder="1"/>
    <xf numFmtId="0" fontId="3" fillId="5" borderId="25" xfId="0" applyFont="1" applyFill="1" applyBorder="1" applyAlignment="1" applyProtection="1">
      <alignment horizontal="center"/>
      <protection locked="0"/>
    </xf>
    <xf numFmtId="0" fontId="3" fillId="0" borderId="2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0" fillId="0" borderId="28" xfId="0" applyBorder="1"/>
    <xf numFmtId="0" fontId="0" fillId="0" borderId="6" xfId="0" applyBorder="1"/>
    <xf numFmtId="0" fontId="0" fillId="0" borderId="8" xfId="0" applyBorder="1"/>
    <xf numFmtId="0" fontId="17" fillId="0" borderId="0" xfId="0" applyFont="1" applyAlignment="1" applyProtection="1">
      <alignment vertical="center"/>
      <protection locked="0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0" xfId="0" applyFont="1"/>
    <xf numFmtId="0" fontId="0" fillId="0" borderId="25" xfId="0" applyBorder="1"/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/>
    <xf numFmtId="3" fontId="0" fillId="0" borderId="27" xfId="0" applyNumberFormat="1" applyBorder="1"/>
    <xf numFmtId="0" fontId="2" fillId="6" borderId="27" xfId="0" applyFont="1" applyFill="1" applyBorder="1" applyAlignment="1">
      <alignment horizontal="center"/>
    </xf>
    <xf numFmtId="164" fontId="0" fillId="0" borderId="27" xfId="0" applyNumberFormat="1" applyBorder="1"/>
    <xf numFmtId="0" fontId="0" fillId="0" borderId="27" xfId="0" applyBorder="1" applyAlignment="1">
      <alignment horizontal="center"/>
    </xf>
    <xf numFmtId="10" fontId="0" fillId="0" borderId="27" xfId="1" applyNumberFormat="1" applyFont="1" applyBorder="1" applyAlignment="1">
      <alignment horizontal="center"/>
    </xf>
    <xf numFmtId="10" fontId="0" fillId="0" borderId="27" xfId="1" applyNumberFormat="1" applyFont="1" applyBorder="1"/>
    <xf numFmtId="0" fontId="2" fillId="0" borderId="0" xfId="0" applyFont="1" applyAlignment="1">
      <alignment horizontal="center"/>
    </xf>
    <xf numFmtId="0" fontId="19" fillId="0" borderId="1" xfId="0" applyFont="1" applyBorder="1"/>
    <xf numFmtId="0" fontId="0" fillId="0" borderId="3" xfId="0" applyBorder="1"/>
    <xf numFmtId="0" fontId="0" fillId="0" borderId="21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0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41" xfId="0" applyBorder="1" applyAlignment="1">
      <alignment horizontal="left"/>
    </xf>
    <xf numFmtId="165" fontId="0" fillId="0" borderId="16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21" xfId="0" applyBorder="1" applyAlignment="1">
      <alignment horizontal="left"/>
    </xf>
    <xf numFmtId="165" fontId="0" fillId="0" borderId="6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0" fontId="3" fillId="0" borderId="8" xfId="1" applyNumberFormat="1" applyFont="1" applyBorder="1" applyAlignment="1">
      <alignment horizontal="center"/>
    </xf>
    <xf numFmtId="0" fontId="2" fillId="6" borderId="2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0" fontId="0" fillId="0" borderId="13" xfId="1" applyNumberFormat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0" fillId="0" borderId="0" xfId="1" applyNumberFormat="1" applyFont="1"/>
    <xf numFmtId="0" fontId="0" fillId="0" borderId="13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Normal" xfId="0" builtinId="0"/>
    <cellStyle name="Porcentaje" xfId="1" builtinId="5"/>
  </cellStyles>
  <dxfs count="13"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3997790593554967E-2"/>
          <c:y val="9.7063634001314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6534416859163797E-3"/>
              <c:y val="6.695702343821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5.9086652780936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354E-2"/>
              <c:y val="9.05681354100369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422E-2"/>
              <c:y val="1.186442883728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994872559696884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1.97347994945610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6.69570234382117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7802969868917886E-3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434550276661778E-3"/>
              <c:y val="1.97347994945610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396491605333959E-3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823E-3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2318493237790716E-3"/>
              <c:y val="5.90866527809365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7273959077592571E-4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996E-3"/>
              <c:y val="5.1216282123661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583266855809741E-2"/>
              <c:y val="0.137790359353687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014952818300164E-2"/>
              <c:y val="4.3345911466386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9459736178447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0091496195173412E-3"/>
          <c:y val="0.18055555555555552"/>
          <c:w val="0.97018694185898924"/>
          <c:h val="0.61760037976087701"/>
        </c:manualLayout>
      </c:layout>
      <c:lineChart>
        <c:grouping val="standard"/>
        <c:varyColors val="0"/>
        <c:ser>
          <c:idx val="0"/>
          <c:order val="0"/>
          <c:tx>
            <c:v>Lili Velez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D15-4C7C-B7E8-B91B5EDD82BB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D15-4C7C-B7E8-B91B5EDD82BB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D15-4C7C-B7E8-B91B5EDD82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6"/>
              <c:pt idx="0">
                <c:v>01/jun</c:v>
              </c:pt>
              <c:pt idx="1">
                <c:v>02/jun</c:v>
              </c:pt>
              <c:pt idx="2">
                <c:v>03/jun</c:v>
              </c:pt>
              <c:pt idx="3">
                <c:v>04/jun</c:v>
              </c:pt>
              <c:pt idx="4">
                <c:v>05/jun</c:v>
              </c:pt>
              <c:pt idx="5">
                <c:v>06/jun</c:v>
              </c:pt>
              <c:pt idx="6">
                <c:v>08/jun</c:v>
              </c:pt>
              <c:pt idx="7">
                <c:v>09/jun</c:v>
              </c:pt>
              <c:pt idx="8">
                <c:v>10/jun</c:v>
              </c:pt>
              <c:pt idx="9">
                <c:v>11/jun</c:v>
              </c:pt>
              <c:pt idx="10">
                <c:v>12/jun</c:v>
              </c:pt>
              <c:pt idx="11">
                <c:v>13/jun</c:v>
              </c:pt>
              <c:pt idx="12">
                <c:v>15/jun</c:v>
              </c:pt>
              <c:pt idx="13">
                <c:v>16/jun</c:v>
              </c:pt>
              <c:pt idx="14">
                <c:v>17/jun</c:v>
              </c:pt>
              <c:pt idx="15">
                <c:v>18/jun</c:v>
              </c:pt>
              <c:pt idx="16">
                <c:v>19/jun</c:v>
              </c:pt>
              <c:pt idx="17">
                <c:v>20/jun</c:v>
              </c:pt>
              <c:pt idx="18">
                <c:v>22/jun</c:v>
              </c:pt>
              <c:pt idx="19">
                <c:v>23/jun</c:v>
              </c:pt>
              <c:pt idx="20">
                <c:v>24/jun</c:v>
              </c:pt>
              <c:pt idx="21">
                <c:v>25/jun</c:v>
              </c:pt>
              <c:pt idx="22">
                <c:v>26/jun</c:v>
              </c:pt>
              <c:pt idx="23">
                <c:v>27/jun</c:v>
              </c:pt>
              <c:pt idx="24">
                <c:v>29/jun</c:v>
              </c:pt>
              <c:pt idx="25">
                <c:v>30/jun</c:v>
              </c:pt>
            </c:strLit>
          </c:cat>
          <c:val>
            <c:numLit>
              <c:formatCode>General</c:formatCode>
              <c:ptCount val="26"/>
              <c:pt idx="0">
                <c:v>86</c:v>
              </c:pt>
              <c:pt idx="1">
                <c:v>103</c:v>
              </c:pt>
              <c:pt idx="2">
                <c:v>72</c:v>
              </c:pt>
              <c:pt idx="3">
                <c:v>100</c:v>
              </c:pt>
              <c:pt idx="4">
                <c:v>103</c:v>
              </c:pt>
              <c:pt idx="5">
                <c:v>71</c:v>
              </c:pt>
              <c:pt idx="6">
                <c:v>62</c:v>
              </c:pt>
              <c:pt idx="7">
                <c:v>93</c:v>
              </c:pt>
              <c:pt idx="8">
                <c:v>84</c:v>
              </c:pt>
              <c:pt idx="9">
                <c:v>58</c:v>
              </c:pt>
              <c:pt idx="10">
                <c:v>79</c:v>
              </c:pt>
              <c:pt idx="11">
                <c:v>50</c:v>
              </c:pt>
              <c:pt idx="12">
                <c:v>75</c:v>
              </c:pt>
              <c:pt idx="13">
                <c:v>78</c:v>
              </c:pt>
              <c:pt idx="14">
                <c:v>44</c:v>
              </c:pt>
              <c:pt idx="15">
                <c:v>66</c:v>
              </c:pt>
              <c:pt idx="16">
                <c:v>75</c:v>
              </c:pt>
              <c:pt idx="17">
                <c:v>55</c:v>
              </c:pt>
              <c:pt idx="18">
                <c:v>64</c:v>
              </c:pt>
              <c:pt idx="19">
                <c:v>65</c:v>
              </c:pt>
              <c:pt idx="20">
                <c:v>66</c:v>
              </c:pt>
              <c:pt idx="21">
                <c:v>56</c:v>
              </c:pt>
              <c:pt idx="22">
                <c:v>73</c:v>
              </c:pt>
              <c:pt idx="23">
                <c:v>44</c:v>
              </c:pt>
              <c:pt idx="24">
                <c:v>36</c:v>
              </c:pt>
              <c:pt idx="25">
                <c:v>56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D15-4C7C-B7E8-B91B5EDD82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054399"/>
        <c:axId val="1137050079"/>
      </c:lineChart>
      <c:catAx>
        <c:axId val="11370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050079"/>
        <c:crosses val="autoZero"/>
        <c:auto val="1"/>
        <c:lblAlgn val="ctr"/>
        <c:lblOffset val="100"/>
        <c:noMultiLvlLbl val="0"/>
      </c:catAx>
      <c:valAx>
        <c:axId val="1137050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705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73916796673346"/>
          <c:y val="0.16758073971801751"/>
          <c:w val="0.54904325987067115"/>
          <c:h val="0.7386890156634822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1-462C-A176-FE2DC7D68AD0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1-462C-A176-FE2DC7D68AD0}"/>
              </c:ext>
            </c:extLst>
          </c:dPt>
          <c:dLbls>
            <c:dLbl>
              <c:idx val="0"/>
              <c:layout>
                <c:manualLayout>
                  <c:x val="-0.17530134340775155"/>
                  <c:y val="-0.12522647078922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31-462C-A176-FE2DC7D68AD0}"/>
                </c:ext>
              </c:extLst>
            </c:dLbl>
            <c:dLbl>
              <c:idx val="1"/>
              <c:layout>
                <c:manualLayout>
                  <c:x val="0.16267980187751269"/>
                  <c:y val="5.6236426336781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31-462C-A176-FE2DC7D68A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datos!$B$42:$B$43</c:f>
              <c:numCache>
                <c:formatCode>#,##0</c:formatCode>
                <c:ptCount val="2"/>
                <c:pt idx="0" formatCode="General">
                  <c:v>181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1-462C-A176-FE2DC7D68AD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031-462C-A176-FE2DC7D68A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031-462C-A176-FE2DC7D68AD0}"/>
              </c:ext>
            </c:extLst>
          </c:dPt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datos!$C$42:$C$43</c:f>
              <c:numCache>
                <c:formatCode>0.00%</c:formatCode>
                <c:ptCount val="2"/>
                <c:pt idx="0">
                  <c:v>5.0757150869321366E-2</c:v>
                </c:pt>
                <c:pt idx="1">
                  <c:v>2.8042624789680313E-2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31-462C-A176-FE2DC7D68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FUNNEL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MX" sz="1800" b="1" i="0" u="none" strike="noStrike" kern="120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Calibri"/>
            </a:rPr>
            <a:t>FUNNEL</a:t>
          </a:r>
        </a:p>
      </cx:txPr>
    </cx:title>
    <cx:plotArea>
      <cx:plotAreaRegion>
        <cx:series layoutId="funnel" uniqueId="{C9EFC64A-6C0D-4581-9CC9-498968A7D042}">
          <cx:dataPt idx="0">
            <cx:spPr>
              <a:solidFill>
                <a:srgbClr val="9BBB59">
                  <a:lumMod val="75000"/>
                </a:srgbClr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3">
            <cx:spPr>
              <a:solidFill>
                <a:srgbClr val="48CAE4"/>
              </a:solidFill>
            </cx:spPr>
          </cx:dataPt>
          <cx:dataPt idx="4">
            <cx:spPr>
              <a:solidFill>
                <a:srgbClr val="42A5F5"/>
              </a:solidFill>
            </cx:spPr>
          </cx:dataPt>
          <cx:dataLabels>
            <cx:visibility seriesName="0" categoryName="0" value="1"/>
          </cx:dataLabels>
          <cx:dataId val="0"/>
          <cx:layoutPr/>
        </cx:series>
      </cx:plotAreaRegion>
      <cx:axis id="0">
        <cx:catScaling gapWidth="0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44824</xdr:colOff>
      <xdr:row>8</xdr:row>
      <xdr:rowOff>45943</xdr:rowOff>
    </xdr:from>
    <xdr:to>
      <xdr:col>8</xdr:col>
      <xdr:colOff>2188029</xdr:colOff>
      <xdr:row>22</xdr:row>
      <xdr:rowOff>100852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8A896DF-1CD5-4DA6-ADF9-4712FA2B7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8399" y="1649318"/>
              <a:ext cx="3883105" cy="2855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41</xdr:row>
      <xdr:rowOff>22412</xdr:rowOff>
    </xdr:from>
    <xdr:to>
      <xdr:col>8</xdr:col>
      <xdr:colOff>2218764</xdr:colOff>
      <xdr:row>49</xdr:row>
      <xdr:rowOff>112059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76E435-3D58-4F40-A459-F57848DAB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150719</xdr:colOff>
      <xdr:row>28</xdr:row>
      <xdr:rowOff>1</xdr:rowOff>
    </xdr:from>
    <xdr:to>
      <xdr:col>9</xdr:col>
      <xdr:colOff>170329</xdr:colOff>
      <xdr:row>40</xdr:row>
      <xdr:rowOff>13448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D8F142-1D8F-40B3-BB9F-C7DC0A33A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71719</xdr:colOff>
      <xdr:row>3</xdr:row>
      <xdr:rowOff>47063</xdr:rowOff>
    </xdr:from>
    <xdr:to>
      <xdr:col>6</xdr:col>
      <xdr:colOff>1355501</xdr:colOff>
      <xdr:row>10</xdr:row>
      <xdr:rowOff>144239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FE142D-E8B9-4046-8AD5-C6BFF3D84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44" y="736038"/>
          <a:ext cx="10611932" cy="1367176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00e065a7cf68a8/Desktop/REPORTE%20COBRO%20ACT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2"/>
      <sheetName val="dashboard"/>
      <sheetName val="analisis"/>
      <sheetName val="datos"/>
      <sheetName val="Resumen Ejecutivo"/>
      <sheetName val="Productividad"/>
      <sheetName val="Financieros"/>
      <sheetName val="Agentes"/>
      <sheetName val="Funnel"/>
      <sheetName val="Promesas vs Pagos"/>
      <sheetName val="Efectividad"/>
      <sheetName val="bases UTILIZADAS"/>
      <sheetName val="Promesas se pago dinero"/>
      <sheetName val="Vici"/>
      <sheetName val="Ref"/>
    </sheetNames>
    <sheetDataSet>
      <sheetData sheetId="0"/>
      <sheetData sheetId="1"/>
      <sheetData sheetId="2">
        <row r="11">
          <cell r="A11" t="str">
            <v>Agentes</v>
          </cell>
        </row>
        <row r="14">
          <cell r="T14" t="str">
            <v>1 MES PENDIENTE</v>
          </cell>
          <cell r="U14">
            <v>176</v>
          </cell>
        </row>
        <row r="15">
          <cell r="T15" t="str">
            <v>2 MESES PENDIENTES</v>
          </cell>
          <cell r="U15">
            <v>641</v>
          </cell>
        </row>
        <row r="16">
          <cell r="T16" t="str">
            <v>3 MESES PENDIENTES</v>
          </cell>
          <cell r="U16">
            <v>155</v>
          </cell>
        </row>
        <row r="17">
          <cell r="I17">
            <v>831</v>
          </cell>
          <cell r="L17">
            <v>3566</v>
          </cell>
          <cell r="T17" t="str">
            <v>NPN</v>
          </cell>
          <cell r="U17">
            <v>178</v>
          </cell>
        </row>
        <row r="18">
          <cell r="T18" t="str">
            <v>Total general</v>
          </cell>
          <cell r="U18">
            <v>1150</v>
          </cell>
        </row>
        <row r="21">
          <cell r="A21" t="str">
            <v>Agentes</v>
          </cell>
          <cell r="T21" t="str">
            <v>Fecha</v>
          </cell>
          <cell r="U21" t="str">
            <v>(Todas)</v>
          </cell>
          <cell r="Z21" t="str">
            <v>Etiquetas de fila</v>
          </cell>
        </row>
        <row r="22">
          <cell r="T22" t="str">
            <v>Mes Pago</v>
          </cell>
          <cell r="U22" t="str">
            <v>(Varios elementos)</v>
          </cell>
        </row>
        <row r="25">
          <cell r="T25" t="str">
            <v>Etiquetas de fila</v>
          </cell>
        </row>
        <row r="26">
          <cell r="T26" t="str">
            <v>1 MES PENDIENTE</v>
          </cell>
          <cell r="U26">
            <v>71</v>
          </cell>
        </row>
        <row r="27">
          <cell r="T27" t="str">
            <v>2 MESES PENDIENTES</v>
          </cell>
          <cell r="U27">
            <v>117</v>
          </cell>
        </row>
        <row r="28">
          <cell r="T28" t="str">
            <v>3 MESES PENDIENTES</v>
          </cell>
          <cell r="U28">
            <v>2</v>
          </cell>
        </row>
        <row r="29">
          <cell r="T29" t="str">
            <v>NPN</v>
          </cell>
          <cell r="U29">
            <v>8</v>
          </cell>
        </row>
        <row r="30">
          <cell r="T30" t="str">
            <v>Total general</v>
          </cell>
          <cell r="U30">
            <v>198</v>
          </cell>
        </row>
        <row r="33">
          <cell r="J33">
            <v>181</v>
          </cell>
          <cell r="K33">
            <v>100</v>
          </cell>
        </row>
        <row r="34">
          <cell r="G34" t="str">
            <v>Canal</v>
          </cell>
        </row>
        <row r="57">
          <cell r="C57">
            <v>3566</v>
          </cell>
        </row>
      </sheetData>
      <sheetData sheetId="3">
        <row r="42">
          <cell r="A42" t="str">
            <v>Promesas</v>
          </cell>
          <cell r="B42">
            <v>181</v>
          </cell>
          <cell r="C42">
            <v>5.0757150869321366E-2</v>
          </cell>
        </row>
        <row r="43">
          <cell r="A43" t="str">
            <v>Pagos</v>
          </cell>
          <cell r="B43">
            <v>100</v>
          </cell>
          <cell r="C43">
            <v>2.8042624789680313E-2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2000e065a7cf68a8/Desktop/REPORTE%20COBRO%20ACTU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Sanabria" refreshedDate="46204.506214583336" createdVersion="7" refreshedVersion="7" minRefreshableVersion="3" recordCount="1762" xr:uid="{90522502-9CE9-4D61-8E57-6FBAC1E6F994}">
  <cacheSource type="worksheet">
    <worksheetSource name="promesas" r:id="rId2"/>
  </cacheSource>
  <cacheFields count="23">
    <cacheField name="Fecha" numFmtId="0">
      <sharedItems count="91">
        <s v="01/jun"/>
        <s v="02/jun"/>
        <s v="03/jun"/>
        <s v="04/jun"/>
        <s v="05/jun"/>
        <s v="06/jun"/>
        <s v="08/jun"/>
        <s v="09/jun"/>
        <s v="10/jun"/>
        <s v="11/jun"/>
        <s v="12/jun"/>
        <s v="13/jun"/>
        <s v="15/jun"/>
        <s v="16/jun"/>
        <s v="17/jun"/>
        <s v="18/jun"/>
        <s v="19/jun"/>
        <s v="20/jun"/>
        <s v="22/jun"/>
        <s v="23/jun"/>
        <s v="24/jun"/>
        <s v="25/jun"/>
        <s v="26/jun"/>
        <s v="27/jun"/>
        <s v="29/jun"/>
        <s v="30/jun"/>
        <s v="14/mar" u="1"/>
        <s v="27/abr" u="1"/>
        <s v="14/abr" u="1"/>
        <s v="01/abr" u="1"/>
        <s v="16/mar" u="1"/>
        <s v="03/mar" u="1"/>
        <s v="29/abr" u="1"/>
        <s v="30/may" u="1"/>
        <s v="16/abr" u="1"/>
        <s v="18/mar" u="1"/>
        <s v="05/mar" u="1"/>
        <s v="18/abr" u="1"/>
        <s v="07/mar" u="1"/>
        <s v="21/may" u="1"/>
        <s v="07/abr" u="1"/>
        <s v="09/mar" u="1"/>
        <s v="23/may" u="1"/>
        <s v="09/abr" u="1"/>
        <s v="25/may" u="1"/>
        <s v="12/may" u="1"/>
        <s v="27/may" u="1"/>
        <s v="14/may" u="1"/>
        <s v="29/may" u="1"/>
        <s v="16/may" u="1"/>
        <s v="20/mar" u="1"/>
        <s v="20/abr" u="1"/>
        <s v="18/may" u="1"/>
        <s v="05/may" u="1"/>
        <s v="22/abr" u="1"/>
        <s v="07/may" u="1"/>
        <s v="11/mar" u="1"/>
        <s v="11/abr" u="1"/>
        <s v="09/may" u="1"/>
        <s v="13/mar" u="1"/>
        <s v="13/abr" u="1"/>
        <s v="02/mar" u="1"/>
        <s v="28/abr" u="1"/>
        <s v="15/abr" u="1"/>
        <s v="02/abr" u="1"/>
        <s v="17/mar" u="1"/>
        <s v="04/mar" u="1"/>
        <s v="17/abr" u="1"/>
        <s v="04/abr" u="1"/>
        <s v="19/mar" u="1"/>
        <s v="06/mar" u="1"/>
        <s v="20/may" u="1"/>
        <s v="06/abr" u="1"/>
        <s v="22/may" u="1"/>
        <s v="08/abr" u="1"/>
        <s v="00/ene" u="1"/>
        <s v="11/may" u="1"/>
        <s v="26/may" u="1"/>
        <s v="13/may" u="1"/>
        <s v="30/abr" u="1"/>
        <s v="28/may" u="1"/>
        <s v="15/may" u="1"/>
        <s v="21/mar" u="1"/>
        <s v="04/may" u="1"/>
        <s v="21/abr" u="1"/>
        <s v="19/may" u="1"/>
        <s v="06/may" u="1"/>
        <s v="10/mar" u="1"/>
        <s v="10/abr" u="1"/>
        <s v="08/may" u="1"/>
        <s v="12/mar" u="1"/>
      </sharedItems>
    </cacheField>
    <cacheField name="Marca temporal" numFmtId="0">
      <sharedItems containsSemiMixedTypes="0" containsNonDate="0" containsDate="1" containsString="0" minDate="2026-06-01T09:28:07" maxDate="2026-06-30T18:06:36"/>
    </cacheField>
    <cacheField name="Agente " numFmtId="0">
      <sharedItems containsBlank="1" count="3">
        <s v="Lili Velez"/>
        <m u="1"/>
        <s v="Doris Urriola" u="1"/>
      </sharedItems>
    </cacheField>
    <cacheField name="Numero celular " numFmtId="0">
      <sharedItems containsMixedTypes="1" containsNumber="1" containsInteger="1" minValue="60017923" maxValue="69984531"/>
    </cacheField>
    <cacheField name="Cuenta" numFmtId="0">
      <sharedItems containsMixedTypes="1" containsNumber="1" containsInteger="1" minValue="104002110000" maxValue="998105050000"/>
    </cacheField>
    <cacheField name="Identificación (cedula)" numFmtId="0">
      <sharedItems containsMixedTypes="1" containsNumber="1" minValue="36.68" maxValue="298507315"/>
    </cacheField>
    <cacheField name="Campaña " numFmtId="0">
      <sharedItems/>
    </cacheField>
    <cacheField name="Canal" numFmtId="0">
      <sharedItems containsBlank="1" count="10">
        <s v="Masivo (D2D)"/>
        <s v="Soho -Callcenter"/>
        <s v="Soho"/>
        <s v="Call Center  Outbound"/>
        <s v="Digital"/>
        <s v="Oeste"/>
        <s v="Punto de ventas"/>
        <m u="1"/>
        <s v="Movil" u="1"/>
        <s v="La doña" u="1"/>
      </sharedItems>
    </cacheField>
    <cacheField name="Escenario " numFmtId="0">
      <sharedItems containsBlank="1" count="16">
        <s v="No contactado"/>
        <s v="Contactado"/>
        <s v="Correo de voz"/>
        <s v="Mensaje a tercero"/>
        <s v="Incidente en herramienta"/>
        <s v="Cliente al dia"/>
        <s v="Cuenta cesada"/>
        <s v="Numero equivocado"/>
        <s v="Cliente con lenguaje inapropiado"/>
        <s v="Volver a llamar"/>
        <s v="Menor de edad"/>
        <s v="Cliente con condonación"/>
        <m u="1"/>
        <s v="Cliente ocupado" u="1"/>
        <s v="Cliente con arreglo de pago" u="1"/>
        <s v="No conoce el titular y no se hará responsable del pago" u="1"/>
      </sharedItems>
    </cacheField>
    <cacheField name="Motivo " numFmtId="0">
      <sharedItems containsBlank="1"/>
    </cacheField>
    <cacheField name="Fecha  promesa de pago" numFmtId="14">
      <sharedItems containsNonDate="0" containsDate="1" containsString="0" containsBlank="1" minDate="2026-06-01T00:00:00" maxDate="2026-07-16T00:00:00"/>
    </cacheField>
    <cacheField name="Monto de promesa de pago" numFmtId="164">
      <sharedItems containsString="0" containsBlank="1" containsNumber="1" minValue="3.21" maxValue="131.69999999999999"/>
    </cacheField>
    <cacheField name="Realiza el pago " numFmtId="0">
      <sharedItems/>
    </cacheField>
    <cacheField name="Fecha de Pago" numFmtId="14">
      <sharedItems containsNonDate="0" containsDate="1" containsString="0" containsBlank="1" minDate="2026-04-27T00:00:00" maxDate="2026-07-08T00:00:00"/>
    </cacheField>
    <cacheField name="Monto pagado" numFmtId="164">
      <sharedItems containsString="0" containsBlank="1" containsNumber="1" minValue="3.21" maxValue="98.24"/>
    </cacheField>
    <cacheField name="Tiempo de mora (días)" numFmtId="0">
      <sharedItems containsMixedTypes="1" containsNumber="1" containsInteger="1" minValue="30" maxValue="120" count="8">
        <s v="NPN"/>
        <s v="2 MESES PENDIENTES"/>
        <s v="1 MES PENDIENTE"/>
        <s v="3 MESES PENDIENTES"/>
        <n v="120" u="1"/>
        <n v="90" u="1"/>
        <n v="60" u="1"/>
        <n v="30" u="1"/>
      </sharedItems>
    </cacheField>
    <cacheField name="Campaña" numFmtId="0">
      <sharedItems containsBlank="1"/>
    </cacheField>
    <cacheField name="Mes Pago" numFmtId="0">
      <sharedItems containsBlank="1" count="13">
        <s v=""/>
        <s v="may"/>
        <s v="jun"/>
        <s v="abr"/>
        <s v="jul"/>
        <m u="1"/>
        <s v="si" u="1"/>
        <s v="no" u="1"/>
        <s v="feb" u="1"/>
        <s v="nov" u="1"/>
        <s v="dic" u="1"/>
        <s v="mar" u="1"/>
        <s v="ene" u="1"/>
      </sharedItems>
    </cacheField>
    <cacheField name="Mes Promesa" numFmtId="0">
      <sharedItems count="13">
        <s v=""/>
        <s v="jun"/>
        <s v="jul"/>
        <s v="Desconexion" u="1"/>
        <s v="abr" u="1"/>
        <s v="feb" u="1"/>
        <s v="Desempleada" u="1"/>
        <s v="Situación económica" u="1"/>
        <s v="Mala experiencia con la atención" u="1"/>
        <s v="mar" u="1"/>
        <s v="ene" u="1"/>
        <s v="Problema de salud" u="1"/>
        <s v="may" u="1"/>
      </sharedItems>
    </cacheField>
    <cacheField name="Dia Pago" numFmtId="0">
      <sharedItems/>
    </cacheField>
    <cacheField name="Dia Promesa" numFmtId="0">
      <sharedItems/>
    </cacheField>
    <cacheField name="Intentos de Promesas" numFmtId="0">
      <sharedItems containsMixedTypes="1" containsNumber="1" containsInteger="1" minValue="1" maxValue="1"/>
    </cacheField>
    <cacheField name="Intentos de pago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2">
  <r>
    <x v="0"/>
    <d v="2026-06-01T09:28:07"/>
    <x v="0"/>
    <n v="69538572"/>
    <n v="358375740000"/>
    <s v="10-703-2442"/>
    <s v="Fijo"/>
    <x v="0"/>
    <x v="0"/>
    <m/>
    <m/>
    <m/>
    <s v="si"/>
    <m/>
    <m/>
    <x v="0"/>
    <m/>
    <x v="0"/>
    <x v="0"/>
    <s v=""/>
    <s v=""/>
    <s v=""/>
    <s v=""/>
  </r>
  <r>
    <x v="0"/>
    <d v="2026-06-01T09:35:18"/>
    <x v="0"/>
    <n v="69710973"/>
    <n v="369056820000"/>
    <n v="179147236"/>
    <s v="Fijo"/>
    <x v="1"/>
    <x v="1"/>
    <m/>
    <d v="2026-06-02T00:00:00"/>
    <n v="23.53"/>
    <s v="no"/>
    <m/>
    <m/>
    <x v="0"/>
    <m/>
    <x v="0"/>
    <x v="1"/>
    <s v=""/>
    <s v="02/jun"/>
    <n v="1"/>
    <s v=""/>
  </r>
  <r>
    <x v="0"/>
    <d v="2026-06-01T09:38:48"/>
    <x v="0"/>
    <n v="65268484"/>
    <n v="365059580000"/>
    <s v="3-735-1736"/>
    <s v="Fijo"/>
    <x v="0"/>
    <x v="2"/>
    <m/>
    <m/>
    <m/>
    <s v="no"/>
    <m/>
    <m/>
    <x v="0"/>
    <m/>
    <x v="0"/>
    <x v="0"/>
    <s v=""/>
    <s v=""/>
    <s v=""/>
    <s v=""/>
  </r>
  <r>
    <x v="0"/>
    <d v="2026-06-01T09:49:11"/>
    <x v="0"/>
    <n v="67574925"/>
    <n v="203065320000"/>
    <s v="8-782-2325"/>
    <s v="Fijo"/>
    <x v="0"/>
    <x v="0"/>
    <m/>
    <m/>
    <m/>
    <s v="no"/>
    <m/>
    <m/>
    <x v="0"/>
    <m/>
    <x v="0"/>
    <x v="0"/>
    <s v=""/>
    <s v=""/>
    <s v=""/>
    <s v=""/>
  </r>
  <r>
    <x v="0"/>
    <d v="2026-06-01T09:55:39"/>
    <x v="0"/>
    <n v="67433978"/>
    <n v="352371680000"/>
    <s v="8-773-2054"/>
    <s v="Fijo"/>
    <x v="0"/>
    <x v="3"/>
    <m/>
    <m/>
    <m/>
    <s v="no"/>
    <m/>
    <m/>
    <x v="0"/>
    <m/>
    <x v="0"/>
    <x v="0"/>
    <s v=""/>
    <s v=""/>
    <s v=""/>
    <s v=""/>
  </r>
  <r>
    <x v="0"/>
    <d v="2026-06-01T10:08:53"/>
    <x v="0"/>
    <n v="61071807"/>
    <n v="357186870000"/>
    <s v="8-813-1496"/>
    <s v="Fijo"/>
    <x v="0"/>
    <x v="1"/>
    <m/>
    <d v="2026-06-02T00:00:00"/>
    <n v="33"/>
    <s v="no"/>
    <m/>
    <m/>
    <x v="1"/>
    <m/>
    <x v="0"/>
    <x v="1"/>
    <s v=""/>
    <s v="02/jun"/>
    <n v="1"/>
    <s v=""/>
  </r>
  <r>
    <x v="0"/>
    <d v="2026-06-01T10:20:16"/>
    <x v="0"/>
    <n v="63528067"/>
    <n v="367054930000"/>
    <s v="8-913-1779"/>
    <s v="Fijo"/>
    <x v="0"/>
    <x v="1"/>
    <m/>
    <d v="2026-06-01T00:00:00"/>
    <n v="30.44"/>
    <s v="no"/>
    <m/>
    <m/>
    <x v="0"/>
    <m/>
    <x v="0"/>
    <x v="1"/>
    <s v=""/>
    <s v="01/jun"/>
    <n v="1"/>
    <s v=""/>
  </r>
  <r>
    <x v="0"/>
    <d v="2026-06-01T10:23:02"/>
    <x v="0"/>
    <n v="64553600"/>
    <n v="367045450000"/>
    <s v="8-850-455"/>
    <s v="Fijo"/>
    <x v="1"/>
    <x v="0"/>
    <m/>
    <m/>
    <m/>
    <s v="no"/>
    <m/>
    <m/>
    <x v="0"/>
    <m/>
    <x v="0"/>
    <x v="0"/>
    <s v=""/>
    <s v=""/>
    <s v=""/>
    <s v=""/>
  </r>
  <r>
    <x v="0"/>
    <d v="2026-06-01T10:41:15"/>
    <x v="0"/>
    <n v="64436066"/>
    <n v="358382790000"/>
    <s v="8-729-986"/>
    <s v="Fijo"/>
    <x v="0"/>
    <x v="2"/>
    <m/>
    <m/>
    <m/>
    <s v="no"/>
    <m/>
    <m/>
    <x v="0"/>
    <m/>
    <x v="0"/>
    <x v="0"/>
    <s v=""/>
    <s v=""/>
    <s v=""/>
    <s v=""/>
  </r>
  <r>
    <x v="0"/>
    <d v="2026-06-01T10:49:48"/>
    <x v="0"/>
    <n v="69456048"/>
    <n v="361058600000"/>
    <s v="8-755-1522"/>
    <s v="Fijo"/>
    <x v="0"/>
    <x v="0"/>
    <m/>
    <m/>
    <m/>
    <s v="no"/>
    <m/>
    <m/>
    <x v="0"/>
    <m/>
    <x v="0"/>
    <x v="0"/>
    <s v=""/>
    <s v=""/>
    <s v=""/>
    <s v=""/>
  </r>
  <r>
    <x v="0"/>
    <d v="2026-06-01T10:58:51"/>
    <x v="0"/>
    <n v="60043073"/>
    <n v="353385040000"/>
    <s v="10-709-335"/>
    <s v="Fijo"/>
    <x v="0"/>
    <x v="1"/>
    <m/>
    <d v="2026-06-01T00:00:00"/>
    <n v="4.05"/>
    <s v="no"/>
    <m/>
    <m/>
    <x v="0"/>
    <m/>
    <x v="0"/>
    <x v="1"/>
    <s v=""/>
    <s v="01/jun"/>
    <n v="1"/>
    <s v=""/>
  </r>
  <r>
    <x v="0"/>
    <d v="2026-06-01T11:11:19"/>
    <x v="0"/>
    <n v="65463703"/>
    <n v="361016030000"/>
    <s v="8-797-2444"/>
    <s v="Fijo"/>
    <x v="2"/>
    <x v="4"/>
    <m/>
    <m/>
    <m/>
    <s v="no"/>
    <m/>
    <m/>
    <x v="1"/>
    <s v="Vici se escucha entrecortado."/>
    <x v="0"/>
    <x v="0"/>
    <s v=""/>
    <s v=""/>
    <s v=""/>
    <s v=""/>
  </r>
  <r>
    <x v="0"/>
    <d v="2026-06-01T11:16:56"/>
    <x v="0"/>
    <n v="67089403"/>
    <n v="366093020000"/>
    <s v="9-174-333"/>
    <s v="Fijo"/>
    <x v="0"/>
    <x v="2"/>
    <m/>
    <m/>
    <m/>
    <s v="no"/>
    <m/>
    <m/>
    <x v="2"/>
    <m/>
    <x v="0"/>
    <x v="0"/>
    <s v=""/>
    <s v=""/>
    <s v=""/>
    <s v=""/>
  </r>
  <r>
    <x v="0"/>
    <d v="2026-06-01T11:26:52"/>
    <x v="0"/>
    <n v="66392444"/>
    <n v="368091850000"/>
    <s v="9-715-831"/>
    <s v="Fijo"/>
    <x v="2"/>
    <x v="1"/>
    <m/>
    <d v="2026-06-01T00:00:00"/>
    <n v="21.83"/>
    <s v="no"/>
    <m/>
    <m/>
    <x v="0"/>
    <m/>
    <x v="0"/>
    <x v="1"/>
    <s v=""/>
    <s v="01/jun"/>
    <n v="1"/>
    <s v=""/>
  </r>
  <r>
    <x v="0"/>
    <d v="2026-06-01T11:32:25"/>
    <x v="0"/>
    <n v="68480165"/>
    <n v="362005350000"/>
    <s v="PE-14-2243"/>
    <s v="Fijo"/>
    <x v="3"/>
    <x v="5"/>
    <m/>
    <m/>
    <m/>
    <s v="si"/>
    <d v="2026-05-19T00:00:00"/>
    <m/>
    <x v="0"/>
    <m/>
    <x v="1"/>
    <x v="0"/>
    <s v="19/may"/>
    <s v=""/>
    <s v=""/>
    <n v="1"/>
  </r>
  <r>
    <x v="0"/>
    <d v="2026-06-01T11:35:41"/>
    <x v="0"/>
    <n v="60743499"/>
    <n v="324006040000"/>
    <s v="6-715-500"/>
    <s v="Fijo"/>
    <x v="3"/>
    <x v="5"/>
    <m/>
    <m/>
    <m/>
    <s v="si"/>
    <d v="2026-05-14T00:00:00"/>
    <m/>
    <x v="0"/>
    <m/>
    <x v="1"/>
    <x v="0"/>
    <s v="14/may"/>
    <s v=""/>
    <s v=""/>
    <n v="1"/>
  </r>
  <r>
    <x v="0"/>
    <d v="2026-06-01T11:38:46"/>
    <x v="0"/>
    <n v="68708240"/>
    <n v="355269940000"/>
    <s v="8-780-1646"/>
    <s v="Fijo"/>
    <x v="3"/>
    <x v="5"/>
    <m/>
    <m/>
    <m/>
    <s v="si"/>
    <d v="2026-05-28T00:00:00"/>
    <m/>
    <x v="0"/>
    <m/>
    <x v="1"/>
    <x v="0"/>
    <s v="28/may"/>
    <s v=""/>
    <s v=""/>
    <n v="1"/>
  </r>
  <r>
    <x v="0"/>
    <d v="2026-06-01T11:43:21"/>
    <x v="0"/>
    <n v="63546323"/>
    <n v="363002410000"/>
    <s v="8-177-523"/>
    <s v="Fijo"/>
    <x v="3"/>
    <x v="5"/>
    <m/>
    <m/>
    <m/>
    <s v="si"/>
    <d v="2026-05-24T00:00:00"/>
    <m/>
    <x v="0"/>
    <m/>
    <x v="1"/>
    <x v="0"/>
    <s v="24/may"/>
    <s v=""/>
    <s v=""/>
    <n v="1"/>
  </r>
  <r>
    <x v="0"/>
    <d v="2026-06-01T11:45:58"/>
    <x v="0"/>
    <n v="67559848"/>
    <n v="362000320000"/>
    <s v="9-172-707"/>
    <s v="Fijo"/>
    <x v="3"/>
    <x v="5"/>
    <m/>
    <m/>
    <m/>
    <s v="si"/>
    <d v="2026-05-21T00:00:00"/>
    <m/>
    <x v="0"/>
    <m/>
    <x v="1"/>
    <x v="0"/>
    <s v="21/may"/>
    <s v=""/>
    <s v=""/>
    <n v="1"/>
  </r>
  <r>
    <x v="0"/>
    <d v="2026-06-01T11:49:37"/>
    <x v="0"/>
    <n v="62574514"/>
    <n v="364043650000"/>
    <s v="AT394869"/>
    <s v="Fijo"/>
    <x v="3"/>
    <x v="2"/>
    <m/>
    <m/>
    <m/>
    <s v="no"/>
    <m/>
    <m/>
    <x v="0"/>
    <m/>
    <x v="0"/>
    <x v="0"/>
    <s v=""/>
    <s v=""/>
    <s v=""/>
    <s v=""/>
  </r>
  <r>
    <x v="0"/>
    <d v="2026-06-01T11:52:01"/>
    <x v="0"/>
    <n v="65599308"/>
    <n v="365042850000"/>
    <s v="4-215-902"/>
    <s v="Fijo"/>
    <x v="3"/>
    <x v="6"/>
    <m/>
    <m/>
    <m/>
    <s v="no"/>
    <m/>
    <m/>
    <x v="3"/>
    <m/>
    <x v="0"/>
    <x v="0"/>
    <s v=""/>
    <s v=""/>
    <s v=""/>
    <s v=""/>
  </r>
  <r>
    <x v="0"/>
    <d v="2026-06-01T11:57:13"/>
    <x v="0"/>
    <n v="65601701"/>
    <n v="369032200000"/>
    <s v="8-773-509"/>
    <s v="Fijo"/>
    <x v="3"/>
    <x v="5"/>
    <m/>
    <m/>
    <m/>
    <s v="si"/>
    <d v="2026-05-19T00:00:00"/>
    <m/>
    <x v="3"/>
    <m/>
    <x v="1"/>
    <x v="0"/>
    <s v="19/may"/>
    <s v=""/>
    <s v=""/>
    <n v="1"/>
  </r>
  <r>
    <x v="0"/>
    <d v="2026-06-01T12:00:10"/>
    <x v="0"/>
    <n v="62230100"/>
    <n v="365028030000"/>
    <s v="8-429-65"/>
    <s v="Fijo"/>
    <x v="3"/>
    <x v="6"/>
    <m/>
    <m/>
    <m/>
    <s v="no"/>
    <m/>
    <m/>
    <x v="3"/>
    <m/>
    <x v="0"/>
    <x v="0"/>
    <s v=""/>
    <s v=""/>
    <s v=""/>
    <s v=""/>
  </r>
  <r>
    <x v="0"/>
    <d v="2026-06-01T12:02:53"/>
    <x v="0"/>
    <n v="68082827"/>
    <n v="369048170000"/>
    <s v="8-918-1627"/>
    <s v="Fijo"/>
    <x v="3"/>
    <x v="0"/>
    <m/>
    <m/>
    <m/>
    <s v="no"/>
    <m/>
    <m/>
    <x v="3"/>
    <m/>
    <x v="0"/>
    <x v="0"/>
    <s v=""/>
    <s v=""/>
    <s v=""/>
    <s v=""/>
  </r>
  <r>
    <x v="0"/>
    <d v="2026-06-01T12:09:24"/>
    <x v="0"/>
    <n v="66360712"/>
    <n v="205048650000"/>
    <s v="6-715-364"/>
    <s v="Fijo"/>
    <x v="3"/>
    <x v="5"/>
    <m/>
    <m/>
    <m/>
    <s v="si"/>
    <d v="2026-05-15T00:00:00"/>
    <m/>
    <x v="3"/>
    <m/>
    <x v="1"/>
    <x v="0"/>
    <s v="15/may"/>
    <s v=""/>
    <s v=""/>
    <n v="1"/>
  </r>
  <r>
    <x v="0"/>
    <d v="2026-06-01T12:16:42"/>
    <x v="0"/>
    <n v="66399201"/>
    <n v="364036870000"/>
    <n v="182863259"/>
    <s v="Fijo"/>
    <x v="3"/>
    <x v="2"/>
    <m/>
    <m/>
    <m/>
    <s v="no"/>
    <m/>
    <m/>
    <x v="3"/>
    <m/>
    <x v="0"/>
    <x v="0"/>
    <s v=""/>
    <s v=""/>
    <s v=""/>
    <s v=""/>
  </r>
  <r>
    <x v="0"/>
    <d v="2026-06-01T12:19:31"/>
    <x v="0"/>
    <n v="67361909"/>
    <n v="366014750000"/>
    <s v="8-1060-989"/>
    <s v="Fijo"/>
    <x v="3"/>
    <x v="6"/>
    <m/>
    <m/>
    <m/>
    <s v="no"/>
    <m/>
    <m/>
    <x v="3"/>
    <m/>
    <x v="0"/>
    <x v="0"/>
    <s v=""/>
    <s v=""/>
    <s v=""/>
    <s v=""/>
  </r>
  <r>
    <x v="0"/>
    <d v="2026-06-01T12:26:50"/>
    <x v="0"/>
    <n v="66738847"/>
    <n v="163032260000"/>
    <s v="3-118-543"/>
    <s v="Fijo"/>
    <x v="3"/>
    <x v="1"/>
    <m/>
    <d v="2026-06-09T00:00:00"/>
    <n v="40.54"/>
    <s v="no"/>
    <m/>
    <m/>
    <x v="3"/>
    <m/>
    <x v="0"/>
    <x v="1"/>
    <s v=""/>
    <s v="09/jun"/>
    <n v="1"/>
    <s v=""/>
  </r>
  <r>
    <x v="0"/>
    <d v="2026-06-01T12:31:40"/>
    <x v="0"/>
    <n v="66634767"/>
    <n v="152071270000"/>
    <s v="8-357-660"/>
    <s v="Fijo"/>
    <x v="3"/>
    <x v="1"/>
    <s v="Problema de salud"/>
    <m/>
    <m/>
    <s v="no"/>
    <m/>
    <m/>
    <x v="1"/>
    <s v="No brinda fecha de pago."/>
    <x v="0"/>
    <x v="0"/>
    <s v=""/>
    <s v=""/>
    <s v=""/>
    <s v=""/>
  </r>
  <r>
    <x v="0"/>
    <d v="2026-06-01T12:39:28"/>
    <x v="0"/>
    <n v="67890109"/>
    <n v="362041610000"/>
    <s v="E-8-141290"/>
    <s v="Fijo"/>
    <x v="3"/>
    <x v="5"/>
    <m/>
    <m/>
    <m/>
    <s v="si"/>
    <d v="2026-05-16T00:00:00"/>
    <m/>
    <x v="3"/>
    <m/>
    <x v="1"/>
    <x v="0"/>
    <s v="16/may"/>
    <s v=""/>
    <s v=""/>
    <n v="1"/>
  </r>
  <r>
    <x v="0"/>
    <d v="2026-06-01T12:48:26"/>
    <x v="0"/>
    <n v="65135836"/>
    <n v="369054560000"/>
    <s v="8-140-81"/>
    <s v="Fijo"/>
    <x v="3"/>
    <x v="3"/>
    <m/>
    <d v="2026-06-02T00:00:00"/>
    <n v="67.14"/>
    <s v="no"/>
    <m/>
    <m/>
    <x v="3"/>
    <m/>
    <x v="0"/>
    <x v="1"/>
    <s v=""/>
    <s v="02/jun"/>
    <n v="1"/>
    <s v=""/>
  </r>
  <r>
    <x v="0"/>
    <d v="2026-06-01T12:55:34"/>
    <x v="0"/>
    <n v="65354420"/>
    <n v="201032510000"/>
    <s v="8-452-123"/>
    <s v="Fijo"/>
    <x v="3"/>
    <x v="1"/>
    <m/>
    <d v="2026-06-04T00:00:00"/>
    <n v="31.48"/>
    <s v="no"/>
    <m/>
    <m/>
    <x v="3"/>
    <m/>
    <x v="0"/>
    <x v="1"/>
    <s v=""/>
    <s v="04/jun"/>
    <n v="1"/>
    <s v=""/>
  </r>
  <r>
    <x v="0"/>
    <d v="2026-06-01T13:00:39"/>
    <x v="0"/>
    <n v="67096607"/>
    <n v="800519570000"/>
    <s v="8-203-1674"/>
    <s v="Fijo"/>
    <x v="3"/>
    <x v="5"/>
    <m/>
    <m/>
    <m/>
    <s v="si"/>
    <d v="2026-05-08T00:00:00"/>
    <m/>
    <x v="3"/>
    <m/>
    <x v="1"/>
    <x v="0"/>
    <s v="08/may"/>
    <s v=""/>
    <s v=""/>
    <n v="1"/>
  </r>
  <r>
    <x v="0"/>
    <d v="2026-06-01T14:04:05"/>
    <x v="0"/>
    <n v="63834896"/>
    <n v="364031810000"/>
    <s v="8-853-1102"/>
    <s v="Fijo"/>
    <x v="3"/>
    <x v="5"/>
    <m/>
    <m/>
    <m/>
    <s v="no"/>
    <m/>
    <m/>
    <x v="3"/>
    <m/>
    <x v="0"/>
    <x v="0"/>
    <s v=""/>
    <s v=""/>
    <s v=""/>
    <s v=""/>
  </r>
  <r>
    <x v="0"/>
    <d v="2026-06-01T14:06:43"/>
    <x v="0"/>
    <n v="67394334"/>
    <n v="365054640000"/>
    <s v="5-712-1961"/>
    <s v="Fijo"/>
    <x v="3"/>
    <x v="2"/>
    <m/>
    <m/>
    <m/>
    <s v="no"/>
    <m/>
    <m/>
    <x v="3"/>
    <m/>
    <x v="0"/>
    <x v="0"/>
    <s v=""/>
    <s v=""/>
    <s v=""/>
    <s v=""/>
  </r>
  <r>
    <x v="0"/>
    <d v="2026-06-01T14:10:11"/>
    <x v="0"/>
    <n v="67934508"/>
    <n v="364051680000"/>
    <s v="8-1030-88"/>
    <s v="Fijo"/>
    <x v="3"/>
    <x v="2"/>
    <m/>
    <m/>
    <m/>
    <s v="no"/>
    <m/>
    <m/>
    <x v="1"/>
    <m/>
    <x v="0"/>
    <x v="0"/>
    <s v=""/>
    <s v=""/>
    <s v=""/>
    <s v=""/>
  </r>
  <r>
    <x v="0"/>
    <d v="2026-06-01T14:13:30"/>
    <x v="0"/>
    <n v="69651279"/>
    <n v="367047480000"/>
    <s v="8-873-1710"/>
    <s v="Fijo"/>
    <x v="3"/>
    <x v="5"/>
    <m/>
    <m/>
    <m/>
    <s v="si"/>
    <d v="2026-06-01T00:00:00"/>
    <m/>
    <x v="1"/>
    <m/>
    <x v="2"/>
    <x v="0"/>
    <s v="01/jun"/>
    <s v=""/>
    <s v=""/>
    <n v="1"/>
  </r>
  <r>
    <x v="0"/>
    <d v="2026-06-01T14:18:59"/>
    <x v="0"/>
    <n v="65160603"/>
    <n v="313029860000"/>
    <s v="6-701-486"/>
    <s v="Fijo"/>
    <x v="3"/>
    <x v="5"/>
    <m/>
    <m/>
    <m/>
    <s v="si"/>
    <d v="2026-05-29T00:00:00"/>
    <m/>
    <x v="1"/>
    <m/>
    <x v="1"/>
    <x v="0"/>
    <s v="29/may"/>
    <s v=""/>
    <s v=""/>
    <n v="1"/>
  </r>
  <r>
    <x v="0"/>
    <d v="2026-06-01T14:21:20"/>
    <x v="0"/>
    <n v="69859847"/>
    <n v="368091560000"/>
    <n v="185875419"/>
    <s v="Fijo"/>
    <x v="3"/>
    <x v="6"/>
    <m/>
    <m/>
    <m/>
    <s v="no"/>
    <m/>
    <m/>
    <x v="2"/>
    <m/>
    <x v="0"/>
    <x v="0"/>
    <s v=""/>
    <s v=""/>
    <s v=""/>
    <s v=""/>
  </r>
  <r>
    <x v="0"/>
    <d v="2026-06-01T14:26:29"/>
    <x v="0"/>
    <n v="63004038"/>
    <n v="368072120000"/>
    <s v="BG343998"/>
    <s v="Fijo"/>
    <x v="3"/>
    <x v="1"/>
    <m/>
    <d v="2026-06-05T00:00:00"/>
    <n v="37.520000000000003"/>
    <s v="no"/>
    <m/>
    <m/>
    <x v="1"/>
    <m/>
    <x v="0"/>
    <x v="1"/>
    <s v=""/>
    <s v="05/jun"/>
    <n v="1"/>
    <s v=""/>
  </r>
  <r>
    <x v="0"/>
    <d v="2026-06-01T14:30:51"/>
    <x v="0"/>
    <n v="62992687"/>
    <n v="303029540000"/>
    <s v="6-714-2021"/>
    <s v="Fijo"/>
    <x v="3"/>
    <x v="5"/>
    <m/>
    <m/>
    <m/>
    <s v="si"/>
    <d v="2026-05-19T00:00:00"/>
    <m/>
    <x v="1"/>
    <m/>
    <x v="1"/>
    <x v="0"/>
    <s v="19/may"/>
    <s v=""/>
    <s v=""/>
    <n v="1"/>
  </r>
  <r>
    <x v="0"/>
    <d v="2026-06-01T14:36:42"/>
    <x v="0"/>
    <n v="65150698"/>
    <n v="361078550000"/>
    <s v="2-98-1987"/>
    <s v="Fijo"/>
    <x v="3"/>
    <x v="1"/>
    <s v="Mala experiencia con el servicio"/>
    <m/>
    <m/>
    <s v="no"/>
    <m/>
    <m/>
    <x v="1"/>
    <m/>
    <x v="0"/>
    <x v="0"/>
    <s v=""/>
    <s v=""/>
    <s v=""/>
    <s v=""/>
  </r>
  <r>
    <x v="0"/>
    <d v="2026-06-01T14:39:58"/>
    <x v="0"/>
    <n v="65160638"/>
    <n v="368079300000"/>
    <s v="8-111-294"/>
    <s v="Fijo"/>
    <x v="3"/>
    <x v="6"/>
    <m/>
    <m/>
    <m/>
    <s v="no"/>
    <m/>
    <m/>
    <x v="1"/>
    <m/>
    <x v="0"/>
    <x v="0"/>
    <s v=""/>
    <s v=""/>
    <s v=""/>
    <s v=""/>
  </r>
  <r>
    <x v="0"/>
    <d v="2026-06-01T14:44:10"/>
    <x v="0"/>
    <n v="66828323"/>
    <n v="365088610000"/>
    <s v="8-916-2147"/>
    <s v="Fijo"/>
    <x v="3"/>
    <x v="3"/>
    <m/>
    <m/>
    <m/>
    <s v="no"/>
    <m/>
    <m/>
    <x v="1"/>
    <m/>
    <x v="0"/>
    <x v="0"/>
    <s v=""/>
    <s v=""/>
    <s v=""/>
    <s v=""/>
  </r>
  <r>
    <x v="0"/>
    <d v="2026-06-01T14:49:45"/>
    <x v="0"/>
    <n v="66780484"/>
    <n v="313014210000"/>
    <s v="8-210-104"/>
    <s v="Fijo"/>
    <x v="3"/>
    <x v="2"/>
    <m/>
    <m/>
    <m/>
    <s v="no"/>
    <m/>
    <m/>
    <x v="1"/>
    <m/>
    <x v="0"/>
    <x v="0"/>
    <s v=""/>
    <s v=""/>
    <s v=""/>
    <s v=""/>
  </r>
  <r>
    <x v="0"/>
    <d v="2026-06-01T14:55:46"/>
    <x v="0"/>
    <n v="62371797"/>
    <n v="803663060000"/>
    <s v="8-362-720"/>
    <s v="Fijo"/>
    <x v="3"/>
    <x v="5"/>
    <m/>
    <m/>
    <m/>
    <s v="si"/>
    <d v="2026-05-19T00:00:00"/>
    <m/>
    <x v="1"/>
    <m/>
    <x v="1"/>
    <x v="0"/>
    <s v="19/may"/>
    <s v=""/>
    <s v=""/>
    <n v="1"/>
  </r>
  <r>
    <x v="0"/>
    <d v="2026-06-01T15:07:13"/>
    <x v="0"/>
    <n v="67655838"/>
    <n v="368070520000"/>
    <s v="8-866-1684"/>
    <s v="Fijo"/>
    <x v="3"/>
    <x v="2"/>
    <m/>
    <m/>
    <m/>
    <s v="no"/>
    <m/>
    <m/>
    <x v="1"/>
    <m/>
    <x v="0"/>
    <x v="0"/>
    <s v=""/>
    <s v=""/>
    <s v=""/>
    <s v=""/>
  </r>
  <r>
    <x v="0"/>
    <d v="2026-06-01T15:10:58"/>
    <x v="0"/>
    <n v="68410963"/>
    <n v="365068170000"/>
    <s v="3-742-373"/>
    <s v="Fijo"/>
    <x v="3"/>
    <x v="5"/>
    <m/>
    <m/>
    <m/>
    <s v="si"/>
    <d v="2026-05-22T00:00:00"/>
    <m/>
    <x v="1"/>
    <m/>
    <x v="1"/>
    <x v="0"/>
    <s v="22/may"/>
    <s v=""/>
    <s v=""/>
    <n v="1"/>
  </r>
  <r>
    <x v="0"/>
    <d v="2026-06-01T15:16:23"/>
    <x v="0"/>
    <n v="67682369"/>
    <n v="362081720000"/>
    <s v="8-948-1176"/>
    <s v="Fijo"/>
    <x v="3"/>
    <x v="1"/>
    <m/>
    <d v="2026-06-02T00:00:00"/>
    <n v="34.85"/>
    <s v="no"/>
    <m/>
    <m/>
    <x v="1"/>
    <m/>
    <x v="0"/>
    <x v="1"/>
    <s v=""/>
    <s v="02/jun"/>
    <n v="1"/>
    <s v=""/>
  </r>
  <r>
    <x v="0"/>
    <d v="2026-06-01T15:18:13"/>
    <x v="0"/>
    <n v="67056432"/>
    <n v="364066190000"/>
    <s v="12-721-1241"/>
    <s v="Fijo"/>
    <x v="3"/>
    <x v="1"/>
    <m/>
    <d v="2026-06-01T00:00:00"/>
    <n v="25.25"/>
    <s v="no"/>
    <m/>
    <m/>
    <x v="1"/>
    <m/>
    <x v="0"/>
    <x v="1"/>
    <s v=""/>
    <s v="01/jun"/>
    <n v="1"/>
    <s v=""/>
  </r>
  <r>
    <x v="0"/>
    <d v="2026-06-01T15:50:51"/>
    <x v="0"/>
    <n v="65379040"/>
    <n v="369083290000"/>
    <s v="10-712-1251"/>
    <s v="Fijo"/>
    <x v="3"/>
    <x v="2"/>
    <m/>
    <m/>
    <m/>
    <s v="no"/>
    <m/>
    <m/>
    <x v="2"/>
    <m/>
    <x v="0"/>
    <x v="0"/>
    <s v=""/>
    <s v=""/>
    <s v=""/>
    <s v=""/>
  </r>
  <r>
    <x v="0"/>
    <d v="2026-06-01T15:57:16"/>
    <x v="0"/>
    <n v="65379040"/>
    <n v="369083290000"/>
    <s v="10-712-1251"/>
    <s v="Fijo"/>
    <x v="3"/>
    <x v="2"/>
    <m/>
    <m/>
    <m/>
    <s v="no"/>
    <m/>
    <m/>
    <x v="1"/>
    <m/>
    <x v="0"/>
    <x v="0"/>
    <s v=""/>
    <s v=""/>
    <s v=""/>
    <s v=""/>
  </r>
  <r>
    <x v="0"/>
    <d v="2026-06-01T16:00:41"/>
    <x v="0"/>
    <n v="66735111"/>
    <n v="362069840000"/>
    <s v="8-238-806"/>
    <s v="Fijo"/>
    <x v="3"/>
    <x v="1"/>
    <m/>
    <d v="2026-06-01T00:00:00"/>
    <n v="30.44"/>
    <s v="no"/>
    <m/>
    <m/>
    <x v="1"/>
    <m/>
    <x v="0"/>
    <x v="1"/>
    <s v=""/>
    <s v="01/jun"/>
    <n v="1"/>
    <s v=""/>
  </r>
  <r>
    <x v="0"/>
    <d v="2026-06-01T16:05:33"/>
    <x v="0"/>
    <n v="67668779"/>
    <n v="365091510000"/>
    <s v="5-714-1947"/>
    <s v="Fijo"/>
    <x v="3"/>
    <x v="5"/>
    <m/>
    <m/>
    <m/>
    <s v="si"/>
    <d v="2026-05-18T00:00:00"/>
    <m/>
    <x v="2"/>
    <m/>
    <x v="1"/>
    <x v="0"/>
    <s v="18/may"/>
    <s v=""/>
    <s v=""/>
    <n v="1"/>
  </r>
  <r>
    <x v="0"/>
    <d v="2026-06-01T16:08:48"/>
    <x v="0"/>
    <n v="63243255"/>
    <n v="364078870000"/>
    <s v="E-8-133617"/>
    <s v="Fijo"/>
    <x v="3"/>
    <x v="6"/>
    <m/>
    <m/>
    <m/>
    <s v="no"/>
    <m/>
    <m/>
    <x v="1"/>
    <m/>
    <x v="0"/>
    <x v="0"/>
    <s v=""/>
    <s v=""/>
    <s v=""/>
    <s v=""/>
  </r>
  <r>
    <x v="0"/>
    <d v="2026-06-01T16:10:59"/>
    <x v="0"/>
    <n v="69962027"/>
    <n v="361076710000"/>
    <s v="3-725-1898"/>
    <s v="Fijo"/>
    <x v="3"/>
    <x v="5"/>
    <m/>
    <m/>
    <m/>
    <s v="si"/>
    <d v="2026-05-30T00:00:00"/>
    <m/>
    <x v="1"/>
    <m/>
    <x v="1"/>
    <x v="0"/>
    <s v="30/may"/>
    <s v=""/>
    <s v=""/>
    <n v="1"/>
  </r>
  <r>
    <x v="0"/>
    <d v="2026-06-01T16:19:06"/>
    <x v="0"/>
    <n v="65691347"/>
    <n v="803751990000"/>
    <s v="8-421-496"/>
    <s v="Fijo"/>
    <x v="3"/>
    <x v="1"/>
    <m/>
    <d v="2026-06-05T00:00:00"/>
    <n v="42.69"/>
    <s v="no"/>
    <m/>
    <m/>
    <x v="1"/>
    <m/>
    <x v="0"/>
    <x v="1"/>
    <s v=""/>
    <s v="05/jun"/>
    <n v="1"/>
    <s v=""/>
  </r>
  <r>
    <x v="0"/>
    <d v="2026-06-01T16:23:05"/>
    <x v="0"/>
    <n v="64966565"/>
    <n v="362088360000"/>
    <s v="8-749-11"/>
    <s v="Fijo"/>
    <x v="3"/>
    <x v="1"/>
    <m/>
    <m/>
    <m/>
    <s v="no"/>
    <m/>
    <m/>
    <x v="1"/>
    <s v="No brinda fecha de pago."/>
    <x v="0"/>
    <x v="0"/>
    <s v=""/>
    <s v=""/>
    <s v=""/>
    <s v=""/>
  </r>
  <r>
    <x v="0"/>
    <d v="2026-06-01T16:29:26"/>
    <x v="0"/>
    <n v="62001144"/>
    <n v="273068280000"/>
    <s v="8-785-791"/>
    <s v="Fijo"/>
    <x v="3"/>
    <x v="0"/>
    <m/>
    <m/>
    <m/>
    <s v="no"/>
    <m/>
    <m/>
    <x v="1"/>
    <s v="66866908 titular."/>
    <x v="0"/>
    <x v="0"/>
    <s v=""/>
    <s v=""/>
    <s v=""/>
    <s v=""/>
  </r>
  <r>
    <x v="0"/>
    <d v="2026-06-01T16:34:53"/>
    <x v="0"/>
    <n v="63024290"/>
    <n v="366082840000"/>
    <s v="8-797-825"/>
    <s v="Fijo"/>
    <x v="3"/>
    <x v="1"/>
    <m/>
    <d v="2026-06-01T00:00:00"/>
    <n v="39.14"/>
    <s v="no"/>
    <m/>
    <m/>
    <x v="1"/>
    <m/>
    <x v="0"/>
    <x v="1"/>
    <s v=""/>
    <s v="01/jun"/>
    <n v="1"/>
    <s v=""/>
  </r>
  <r>
    <x v="0"/>
    <d v="2026-06-01T16:37:12"/>
    <x v="0"/>
    <n v="66637298"/>
    <n v="368093690000"/>
    <s v="E-8-227589"/>
    <s v="Fijo"/>
    <x v="3"/>
    <x v="5"/>
    <m/>
    <m/>
    <m/>
    <s v="si"/>
    <d v="2026-05-15T00:00:00"/>
    <m/>
    <x v="2"/>
    <m/>
    <x v="1"/>
    <x v="0"/>
    <s v="15/may"/>
    <s v=""/>
    <s v=""/>
    <n v="1"/>
  </r>
  <r>
    <x v="0"/>
    <d v="2026-06-01T16:50:57"/>
    <x v="0"/>
    <n v="67081870"/>
    <n v="356385490000"/>
    <s v="8-362-565"/>
    <s v="Fijo"/>
    <x v="0"/>
    <x v="0"/>
    <m/>
    <m/>
    <m/>
    <s v="no"/>
    <m/>
    <m/>
    <x v="3"/>
    <m/>
    <x v="0"/>
    <x v="0"/>
    <s v=""/>
    <s v=""/>
    <s v=""/>
    <s v=""/>
  </r>
  <r>
    <x v="0"/>
    <d v="2026-06-01T16:54:47"/>
    <x v="0"/>
    <n v="67750380"/>
    <n v="357385680000"/>
    <s v="8-1059-1456"/>
    <s v="Fijo"/>
    <x v="0"/>
    <x v="2"/>
    <m/>
    <m/>
    <m/>
    <s v="no"/>
    <m/>
    <m/>
    <x v="1"/>
    <m/>
    <x v="0"/>
    <x v="0"/>
    <s v=""/>
    <s v=""/>
    <s v=""/>
    <s v=""/>
  </r>
  <r>
    <x v="0"/>
    <d v="2026-06-01T16:58:25"/>
    <x v="0"/>
    <n v="67943025"/>
    <n v="355384590000"/>
    <s v="8-905-370"/>
    <s v="Fijo"/>
    <x v="0"/>
    <x v="1"/>
    <s v="Situación económica"/>
    <m/>
    <m/>
    <s v="no"/>
    <m/>
    <m/>
    <x v="3"/>
    <m/>
    <x v="0"/>
    <x v="0"/>
    <s v=""/>
    <s v=""/>
    <s v=""/>
    <s v=""/>
  </r>
  <r>
    <x v="0"/>
    <d v="2026-06-01T17:00:46"/>
    <x v="0"/>
    <n v="66680977"/>
    <n v="355386550000"/>
    <s v="6-728-2234"/>
    <s v="Fijo"/>
    <x v="0"/>
    <x v="6"/>
    <m/>
    <m/>
    <m/>
    <s v="no"/>
    <m/>
    <m/>
    <x v="0"/>
    <m/>
    <x v="0"/>
    <x v="0"/>
    <s v=""/>
    <s v=""/>
    <s v=""/>
    <s v=""/>
  </r>
  <r>
    <x v="0"/>
    <d v="2026-06-01T17:03:07"/>
    <x v="0"/>
    <n v="69224900"/>
    <n v="359386900000"/>
    <s v="9-717-805"/>
    <s v="Fijo"/>
    <x v="0"/>
    <x v="6"/>
    <m/>
    <m/>
    <m/>
    <s v="no"/>
    <m/>
    <m/>
    <x v="3"/>
    <m/>
    <x v="0"/>
    <x v="0"/>
    <s v=""/>
    <s v=""/>
    <s v=""/>
    <s v=""/>
  </r>
  <r>
    <x v="0"/>
    <d v="2026-06-01T17:14:28"/>
    <x v="0"/>
    <n v="62317186"/>
    <n v="366000210000"/>
    <s v="8-1220-192"/>
    <s v="Fijo"/>
    <x v="4"/>
    <x v="6"/>
    <m/>
    <m/>
    <m/>
    <s v="no"/>
    <m/>
    <m/>
    <x v="3"/>
    <m/>
    <x v="0"/>
    <x v="0"/>
    <s v=""/>
    <s v=""/>
    <s v=""/>
    <s v=""/>
  </r>
  <r>
    <x v="0"/>
    <d v="2026-06-01T17:21:01"/>
    <x v="0"/>
    <n v="67990181"/>
    <n v="359384340000"/>
    <s v="8-809-1503"/>
    <s v="Fijo"/>
    <x v="0"/>
    <x v="0"/>
    <m/>
    <m/>
    <m/>
    <s v="no"/>
    <m/>
    <m/>
    <x v="0"/>
    <m/>
    <x v="0"/>
    <x v="0"/>
    <s v=""/>
    <s v=""/>
    <s v=""/>
    <s v=""/>
  </r>
  <r>
    <x v="0"/>
    <d v="2026-06-01T17:25:06"/>
    <x v="0"/>
    <n v="65611323"/>
    <n v="353386890000"/>
    <s v="8-246-701"/>
    <s v="Fijo"/>
    <x v="0"/>
    <x v="2"/>
    <m/>
    <m/>
    <m/>
    <s v="no"/>
    <m/>
    <m/>
    <x v="1"/>
    <m/>
    <x v="0"/>
    <x v="0"/>
    <s v=""/>
    <s v=""/>
    <s v=""/>
    <s v=""/>
  </r>
  <r>
    <x v="0"/>
    <d v="2026-06-01T17:27:48"/>
    <x v="0"/>
    <n v="62876593"/>
    <n v="352381260000"/>
    <s v="8-511-2"/>
    <s v="Fijo"/>
    <x v="2"/>
    <x v="2"/>
    <m/>
    <m/>
    <m/>
    <s v="no"/>
    <m/>
    <m/>
    <x v="3"/>
    <m/>
    <x v="0"/>
    <x v="0"/>
    <s v=""/>
    <s v=""/>
    <s v=""/>
    <s v=""/>
  </r>
  <r>
    <x v="0"/>
    <d v="2026-06-01T17:31:37"/>
    <x v="0"/>
    <n v="64624750"/>
    <n v="354384850000"/>
    <s v="10-709-1872"/>
    <s v="Fijo"/>
    <x v="0"/>
    <x v="6"/>
    <m/>
    <m/>
    <m/>
    <s v="no"/>
    <m/>
    <m/>
    <x v="0"/>
    <m/>
    <x v="0"/>
    <x v="0"/>
    <s v=""/>
    <s v=""/>
    <s v=""/>
    <s v=""/>
  </r>
  <r>
    <x v="0"/>
    <d v="2026-06-01T17:34:15"/>
    <x v="0"/>
    <n v="63449506"/>
    <n v="361000520000"/>
    <s v="2-803-2084"/>
    <s v="Fijo"/>
    <x v="0"/>
    <x v="6"/>
    <m/>
    <m/>
    <m/>
    <s v="no"/>
    <m/>
    <m/>
    <x v="2"/>
    <m/>
    <x v="0"/>
    <x v="0"/>
    <s v=""/>
    <s v=""/>
    <s v=""/>
    <s v=""/>
  </r>
  <r>
    <x v="0"/>
    <d v="2026-06-01T17:35:34"/>
    <x v="0"/>
    <n v="65862163"/>
    <n v="369000800000"/>
    <s v="4-256-213"/>
    <s v="Fijo"/>
    <x v="4"/>
    <x v="6"/>
    <m/>
    <m/>
    <m/>
    <s v="no"/>
    <m/>
    <m/>
    <x v="0"/>
    <m/>
    <x v="0"/>
    <x v="0"/>
    <s v=""/>
    <s v=""/>
    <s v=""/>
    <s v=""/>
  </r>
  <r>
    <x v="0"/>
    <d v="2026-06-01T17:40:39"/>
    <x v="0"/>
    <n v="68259752"/>
    <n v="363001200000"/>
    <s v="8-792-2483"/>
    <s v="Fijo"/>
    <x v="0"/>
    <x v="2"/>
    <m/>
    <m/>
    <m/>
    <s v="no"/>
    <m/>
    <m/>
    <x v="3"/>
    <m/>
    <x v="0"/>
    <x v="0"/>
    <s v=""/>
    <s v=""/>
    <s v=""/>
    <s v=""/>
  </r>
  <r>
    <x v="0"/>
    <d v="2026-06-01T17:42:28"/>
    <x v="0"/>
    <n v="63464637"/>
    <n v="361000890000"/>
    <s v="3-736-2353"/>
    <s v="Fijo"/>
    <x v="0"/>
    <x v="6"/>
    <m/>
    <m/>
    <m/>
    <s v="no"/>
    <m/>
    <m/>
    <x v="0"/>
    <m/>
    <x v="0"/>
    <x v="0"/>
    <s v=""/>
    <s v=""/>
    <s v=""/>
    <s v=""/>
  </r>
  <r>
    <x v="0"/>
    <d v="2026-06-01T17:45:02"/>
    <x v="0"/>
    <n v="67282492"/>
    <n v="364001020000"/>
    <s v="3-719-1749"/>
    <s v="Fijo"/>
    <x v="0"/>
    <x v="6"/>
    <m/>
    <m/>
    <m/>
    <s v="no"/>
    <m/>
    <m/>
    <x v="0"/>
    <m/>
    <x v="0"/>
    <x v="0"/>
    <s v=""/>
    <s v=""/>
    <s v=""/>
    <s v=""/>
  </r>
  <r>
    <x v="0"/>
    <d v="2026-06-01T17:50:47"/>
    <x v="0"/>
    <n v="61080354"/>
    <n v="367000120000"/>
    <s v="8-1014-2042"/>
    <s v="Fijo"/>
    <x v="0"/>
    <x v="2"/>
    <m/>
    <m/>
    <m/>
    <s v="no"/>
    <m/>
    <m/>
    <x v="3"/>
    <m/>
    <x v="0"/>
    <x v="0"/>
    <s v=""/>
    <s v=""/>
    <s v=""/>
    <s v=""/>
  </r>
  <r>
    <x v="0"/>
    <d v="2026-06-01T17:53:25"/>
    <x v="0"/>
    <n v="64216229"/>
    <n v="358375320000"/>
    <s v="BH259962"/>
    <s v="Fijo"/>
    <x v="0"/>
    <x v="7"/>
    <m/>
    <m/>
    <m/>
    <s v="no"/>
    <m/>
    <m/>
    <x v="1"/>
    <m/>
    <x v="0"/>
    <x v="0"/>
    <s v=""/>
    <s v=""/>
    <s v=""/>
    <s v=""/>
  </r>
  <r>
    <x v="0"/>
    <d v="2026-06-01T17:55:19"/>
    <x v="0"/>
    <n v="64521528"/>
    <n v="362001930000"/>
    <s v="3-101-324"/>
    <s v="Fijo"/>
    <x v="0"/>
    <x v="6"/>
    <m/>
    <m/>
    <m/>
    <s v="no"/>
    <m/>
    <m/>
    <x v="0"/>
    <m/>
    <x v="0"/>
    <x v="0"/>
    <s v=""/>
    <s v=""/>
    <s v=""/>
    <s v=""/>
  </r>
  <r>
    <x v="0"/>
    <d v="2026-06-01T18:00:03"/>
    <x v="0"/>
    <n v="61573042"/>
    <n v="206054610000"/>
    <s v="10-706-842"/>
    <s v="Fijo"/>
    <x v="0"/>
    <x v="5"/>
    <m/>
    <m/>
    <m/>
    <s v="si"/>
    <d v="2026-06-01T00:00:00"/>
    <n v="25.68"/>
    <x v="0"/>
    <m/>
    <x v="2"/>
    <x v="0"/>
    <s v="01/jun"/>
    <s v=""/>
    <s v=""/>
    <n v="1"/>
  </r>
  <r>
    <x v="0"/>
    <d v="2026-06-01T18:05:55"/>
    <x v="0"/>
    <n v="60043073"/>
    <n v="353385040000"/>
    <s v="10-709-335"/>
    <s v="Fijo"/>
    <x v="0"/>
    <x v="5"/>
    <m/>
    <m/>
    <m/>
    <s v="si"/>
    <d v="2026-06-01T00:00:00"/>
    <n v="4.05"/>
    <x v="0"/>
    <m/>
    <x v="2"/>
    <x v="0"/>
    <s v="01/jun"/>
    <s v=""/>
    <s v=""/>
    <n v="1"/>
  </r>
  <r>
    <x v="0"/>
    <d v="2026-06-01T18:09:41"/>
    <x v="0"/>
    <n v="66735111"/>
    <n v="362069840000"/>
    <s v="8-238-806"/>
    <s v="Fijo"/>
    <x v="3"/>
    <x v="5"/>
    <m/>
    <m/>
    <m/>
    <s v="si"/>
    <d v="2026-06-01T00:00:00"/>
    <n v="30.44"/>
    <x v="1"/>
    <m/>
    <x v="2"/>
    <x v="0"/>
    <s v="01/jun"/>
    <s v=""/>
    <s v=""/>
    <n v="1"/>
  </r>
  <r>
    <x v="0"/>
    <d v="2026-06-01T18:12:28"/>
    <x v="0"/>
    <n v="63024290"/>
    <n v="366082840000"/>
    <s v="8-797-825"/>
    <s v="Fijo"/>
    <x v="3"/>
    <x v="5"/>
    <m/>
    <m/>
    <m/>
    <s v="si"/>
    <d v="2026-06-01T00:00:00"/>
    <n v="39.14"/>
    <x v="1"/>
    <m/>
    <x v="2"/>
    <x v="0"/>
    <s v="01/jun"/>
    <s v=""/>
    <s v=""/>
    <n v="1"/>
  </r>
  <r>
    <x v="1"/>
    <d v="2026-06-02T09:32:29"/>
    <x v="0"/>
    <n v="68179375"/>
    <n v="356371330000"/>
    <s v="8-732-1831"/>
    <s v="Fijo"/>
    <x v="0"/>
    <x v="2"/>
    <m/>
    <m/>
    <m/>
    <s v="no"/>
    <m/>
    <m/>
    <x v="3"/>
    <m/>
    <x v="0"/>
    <x v="0"/>
    <s v=""/>
    <s v=""/>
    <s v=""/>
    <s v=""/>
  </r>
  <r>
    <x v="1"/>
    <d v="2026-06-02T09:36:17"/>
    <x v="0"/>
    <n v="68831728"/>
    <n v="364000640000"/>
    <s v="3-727-483"/>
    <s v="Fijo"/>
    <x v="0"/>
    <x v="1"/>
    <s v="Desempleada"/>
    <m/>
    <m/>
    <s v="no"/>
    <m/>
    <m/>
    <x v="3"/>
    <m/>
    <x v="0"/>
    <x v="0"/>
    <s v=""/>
    <s v=""/>
    <s v=""/>
    <s v=""/>
  </r>
  <r>
    <x v="1"/>
    <d v="2026-06-02T09:39:10"/>
    <x v="0"/>
    <n v="68144051"/>
    <n v="351387490000"/>
    <s v="8-1044-252"/>
    <s v="Fijo"/>
    <x v="0"/>
    <x v="2"/>
    <m/>
    <m/>
    <m/>
    <s v="no"/>
    <m/>
    <m/>
    <x v="3"/>
    <m/>
    <x v="0"/>
    <x v="0"/>
    <s v=""/>
    <s v=""/>
    <s v=""/>
    <s v=""/>
  </r>
  <r>
    <x v="1"/>
    <d v="2026-06-02T09:42:15"/>
    <x v="0"/>
    <n v="69267267"/>
    <n v="358385490000"/>
    <s v="8-748-1709"/>
    <s v="Fijo"/>
    <x v="0"/>
    <x v="2"/>
    <m/>
    <m/>
    <m/>
    <s v="no"/>
    <m/>
    <m/>
    <x v="3"/>
    <m/>
    <x v="0"/>
    <x v="0"/>
    <s v=""/>
    <s v=""/>
    <s v=""/>
    <s v=""/>
  </r>
  <r>
    <x v="1"/>
    <d v="2026-06-02T09:47:27"/>
    <x v="0"/>
    <n v="64199917"/>
    <n v="366001430000"/>
    <s v="8-731-787"/>
    <s v="Fijo"/>
    <x v="2"/>
    <x v="1"/>
    <m/>
    <d v="2026-06-05T00:00:00"/>
    <n v="123.43"/>
    <s v="no"/>
    <m/>
    <m/>
    <x v="3"/>
    <m/>
    <x v="0"/>
    <x v="1"/>
    <s v=""/>
    <s v="05/jun"/>
    <n v="1"/>
    <s v=""/>
  </r>
  <r>
    <x v="1"/>
    <d v="2026-06-02T09:49:53"/>
    <x v="0"/>
    <n v="68130484"/>
    <n v="366000670000"/>
    <s v="8-971-998"/>
    <s v="Fijo"/>
    <x v="2"/>
    <x v="7"/>
    <m/>
    <m/>
    <m/>
    <s v="no"/>
    <m/>
    <m/>
    <x v="1"/>
    <m/>
    <x v="0"/>
    <x v="0"/>
    <s v=""/>
    <s v=""/>
    <s v=""/>
    <s v=""/>
  </r>
  <r>
    <x v="1"/>
    <d v="2026-06-02T09:52:28"/>
    <x v="0"/>
    <n v="66899635"/>
    <n v="365000670000"/>
    <s v="1-765-626"/>
    <s v="Fijo"/>
    <x v="0"/>
    <x v="6"/>
    <m/>
    <m/>
    <m/>
    <s v="no"/>
    <m/>
    <m/>
    <x v="0"/>
    <m/>
    <x v="0"/>
    <x v="0"/>
    <s v=""/>
    <s v=""/>
    <s v=""/>
    <s v=""/>
  </r>
  <r>
    <x v="1"/>
    <d v="2026-06-02T09:56:24"/>
    <x v="0"/>
    <n v="69373737"/>
    <n v="363001630000"/>
    <s v="4-764-1096"/>
    <s v="Fijo"/>
    <x v="0"/>
    <x v="2"/>
    <m/>
    <m/>
    <m/>
    <s v="no"/>
    <m/>
    <m/>
    <x v="3"/>
    <m/>
    <x v="0"/>
    <x v="0"/>
    <s v=""/>
    <s v=""/>
    <s v=""/>
    <s v=""/>
  </r>
  <r>
    <x v="1"/>
    <d v="2026-06-02T09:59:41"/>
    <x v="0"/>
    <n v="61980833"/>
    <n v="362001260000"/>
    <s v="3-756-211"/>
    <s v="Fijo"/>
    <x v="0"/>
    <x v="2"/>
    <m/>
    <m/>
    <m/>
    <s v="no"/>
    <m/>
    <m/>
    <x v="3"/>
    <m/>
    <x v="0"/>
    <x v="0"/>
    <s v=""/>
    <s v=""/>
    <s v=""/>
    <s v=""/>
  </r>
  <r>
    <x v="1"/>
    <d v="2026-06-02T10:02:27"/>
    <x v="0"/>
    <n v="68594101"/>
    <n v="361001490000"/>
    <s v="8-905-456"/>
    <s v="Fijo"/>
    <x v="0"/>
    <x v="3"/>
    <m/>
    <m/>
    <m/>
    <s v="no"/>
    <m/>
    <m/>
    <x v="3"/>
    <m/>
    <x v="0"/>
    <x v="0"/>
    <s v=""/>
    <s v=""/>
    <s v=""/>
    <s v=""/>
  </r>
  <r>
    <x v="1"/>
    <d v="2026-06-02T10:07:48"/>
    <x v="0"/>
    <n v="69543059"/>
    <n v="366003620000"/>
    <s v="8-487-938"/>
    <s v="Fijo"/>
    <x v="0"/>
    <x v="2"/>
    <m/>
    <m/>
    <m/>
    <s v="no"/>
    <m/>
    <m/>
    <x v="3"/>
    <m/>
    <x v="0"/>
    <x v="0"/>
    <s v=""/>
    <s v=""/>
    <s v=""/>
    <s v=""/>
  </r>
  <r>
    <x v="1"/>
    <d v="2026-06-02T10:12:30"/>
    <x v="0"/>
    <n v="65077219"/>
    <n v="214008740000"/>
    <s v="8-528-1351"/>
    <s v="Fijo"/>
    <x v="0"/>
    <x v="6"/>
    <m/>
    <m/>
    <m/>
    <s v="no"/>
    <m/>
    <m/>
    <x v="0"/>
    <m/>
    <x v="0"/>
    <x v="0"/>
    <s v=""/>
    <s v=""/>
    <s v=""/>
    <s v=""/>
  </r>
  <r>
    <x v="1"/>
    <d v="2026-06-02T10:14:18"/>
    <x v="0"/>
    <n v="67028339"/>
    <n v="367002930000"/>
    <s v="E-8-200653"/>
    <s v="Fijo"/>
    <x v="0"/>
    <x v="6"/>
    <m/>
    <m/>
    <m/>
    <s v="no"/>
    <m/>
    <m/>
    <x v="0"/>
    <m/>
    <x v="0"/>
    <x v="0"/>
    <s v=""/>
    <s v=""/>
    <s v=""/>
    <s v=""/>
  </r>
  <r>
    <x v="1"/>
    <d v="2026-06-02T10:18:53"/>
    <x v="0"/>
    <n v="68588708"/>
    <n v="366000710000"/>
    <s v="3-748-1562"/>
    <s v="Fijo"/>
    <x v="0"/>
    <x v="6"/>
    <m/>
    <m/>
    <m/>
    <s v="no"/>
    <m/>
    <m/>
    <x v="0"/>
    <m/>
    <x v="0"/>
    <x v="0"/>
    <s v=""/>
    <s v=""/>
    <s v=""/>
    <s v=""/>
  </r>
  <r>
    <x v="1"/>
    <d v="2026-06-02T10:20:53"/>
    <x v="0"/>
    <n v="67313117"/>
    <n v="365002870000"/>
    <s v="4-749-1357"/>
    <s v="Fijo"/>
    <x v="0"/>
    <x v="6"/>
    <m/>
    <m/>
    <m/>
    <s v="no"/>
    <m/>
    <m/>
    <x v="0"/>
    <m/>
    <x v="0"/>
    <x v="0"/>
    <s v=""/>
    <s v=""/>
    <s v=""/>
    <s v=""/>
  </r>
  <r>
    <x v="1"/>
    <d v="2026-06-02T10:23:34"/>
    <x v="0"/>
    <n v="60349166"/>
    <n v="367000460000"/>
    <s v="10-709-1470"/>
    <s v="Fijo"/>
    <x v="0"/>
    <x v="6"/>
    <m/>
    <m/>
    <m/>
    <s v="no"/>
    <m/>
    <m/>
    <x v="0"/>
    <m/>
    <x v="0"/>
    <x v="0"/>
    <s v=""/>
    <s v=""/>
    <s v=""/>
    <s v=""/>
  </r>
  <r>
    <x v="1"/>
    <d v="2026-06-02T10:28:53"/>
    <x v="0"/>
    <n v="64216229"/>
    <n v="363001670000"/>
    <s v="10-711-1039"/>
    <s v="Fijo"/>
    <x v="0"/>
    <x v="7"/>
    <m/>
    <m/>
    <m/>
    <s v="no"/>
    <m/>
    <m/>
    <x v="3"/>
    <m/>
    <x v="0"/>
    <x v="0"/>
    <s v=""/>
    <s v=""/>
    <s v=""/>
    <s v=""/>
  </r>
  <r>
    <x v="1"/>
    <d v="2026-06-02T10:30:04"/>
    <x v="0"/>
    <n v="63907994"/>
    <n v="358370160000"/>
    <s v="2-706-1935"/>
    <s v="Fijo"/>
    <x v="0"/>
    <x v="6"/>
    <m/>
    <m/>
    <m/>
    <s v="no"/>
    <m/>
    <m/>
    <x v="0"/>
    <m/>
    <x v="0"/>
    <x v="0"/>
    <s v=""/>
    <s v=""/>
    <s v=""/>
    <s v=""/>
  </r>
  <r>
    <x v="1"/>
    <d v="2026-06-02T10:34:26"/>
    <x v="0"/>
    <n v="64025933"/>
    <n v="272068240000"/>
    <s v="8-985-742"/>
    <s v="Fijo"/>
    <x v="4"/>
    <x v="8"/>
    <m/>
    <m/>
    <m/>
    <s v="no"/>
    <m/>
    <m/>
    <x v="1"/>
    <m/>
    <x v="0"/>
    <x v="0"/>
    <s v=""/>
    <s v=""/>
    <s v=""/>
    <s v=""/>
  </r>
  <r>
    <x v="1"/>
    <d v="2026-06-02T10:35:59"/>
    <x v="0"/>
    <n v="69636393"/>
    <n v="366001670000"/>
    <s v="4-775-1802"/>
    <s v="Fijo"/>
    <x v="0"/>
    <x v="6"/>
    <m/>
    <m/>
    <m/>
    <s v="no"/>
    <m/>
    <m/>
    <x v="1"/>
    <m/>
    <x v="0"/>
    <x v="0"/>
    <s v=""/>
    <s v=""/>
    <s v=""/>
    <s v=""/>
  </r>
  <r>
    <x v="1"/>
    <d v="2026-06-02T10:43:48"/>
    <x v="0"/>
    <n v="65404671"/>
    <n v="362004080000"/>
    <s v="8-832-230"/>
    <s v="Fijo"/>
    <x v="0"/>
    <x v="7"/>
    <m/>
    <m/>
    <m/>
    <s v="no"/>
    <m/>
    <m/>
    <x v="0"/>
    <m/>
    <x v="0"/>
    <x v="0"/>
    <s v=""/>
    <s v=""/>
    <s v=""/>
    <s v=""/>
  </r>
  <r>
    <x v="1"/>
    <d v="2026-06-02T10:50:12"/>
    <x v="0"/>
    <n v="69165201"/>
    <n v="361003810000"/>
    <s v="3-754-322"/>
    <s v="Fijo"/>
    <x v="0"/>
    <x v="2"/>
    <m/>
    <m/>
    <m/>
    <s v="no"/>
    <m/>
    <m/>
    <x v="3"/>
    <m/>
    <x v="0"/>
    <x v="0"/>
    <s v=""/>
    <s v=""/>
    <s v=""/>
    <s v=""/>
  </r>
  <r>
    <x v="1"/>
    <d v="2026-06-02T10:53:35"/>
    <x v="0"/>
    <n v="65404636"/>
    <n v="365004390000"/>
    <s v="3-712-662"/>
    <s v="Fijo"/>
    <x v="0"/>
    <x v="2"/>
    <m/>
    <m/>
    <m/>
    <s v="no"/>
    <m/>
    <m/>
    <x v="3"/>
    <m/>
    <x v="0"/>
    <x v="0"/>
    <s v=""/>
    <s v=""/>
    <s v=""/>
    <s v=""/>
  </r>
  <r>
    <x v="1"/>
    <d v="2026-06-02T10:55:30"/>
    <x v="0"/>
    <n v="63197407"/>
    <n v="275067830000"/>
    <s v="8-944-2043"/>
    <s v="Fijo"/>
    <x v="0"/>
    <x v="6"/>
    <m/>
    <m/>
    <m/>
    <s v="no"/>
    <m/>
    <m/>
    <x v="0"/>
    <m/>
    <x v="0"/>
    <x v="0"/>
    <s v=""/>
    <s v=""/>
    <s v=""/>
    <s v=""/>
  </r>
  <r>
    <x v="1"/>
    <d v="2026-06-02T10:57:45"/>
    <x v="0"/>
    <n v="67031272"/>
    <n v="361004030000"/>
    <s v="BG338244"/>
    <s v="Fijo"/>
    <x v="0"/>
    <x v="6"/>
    <m/>
    <m/>
    <m/>
    <s v="no"/>
    <m/>
    <m/>
    <x v="0"/>
    <m/>
    <x v="0"/>
    <x v="0"/>
    <s v=""/>
    <s v=""/>
    <s v=""/>
    <s v=""/>
  </r>
  <r>
    <x v="1"/>
    <d v="2026-06-02T10:59:13"/>
    <x v="0"/>
    <n v="68004840"/>
    <n v="366004010000"/>
    <s v="8-739-917"/>
    <s v="Fijo"/>
    <x v="0"/>
    <x v="6"/>
    <m/>
    <m/>
    <m/>
    <s v="no"/>
    <m/>
    <m/>
    <x v="0"/>
    <m/>
    <x v="0"/>
    <x v="0"/>
    <s v=""/>
    <s v=""/>
    <s v=""/>
    <s v=""/>
  </r>
  <r>
    <x v="1"/>
    <d v="2026-06-02T11:05:21"/>
    <x v="0"/>
    <n v="67923053"/>
    <n v="355275980000"/>
    <s v="3-748-403"/>
    <s v="Fijo"/>
    <x v="0"/>
    <x v="1"/>
    <m/>
    <d v="2026-06-15T00:00:00"/>
    <n v="131.69999999999999"/>
    <s v="no"/>
    <m/>
    <m/>
    <x v="2"/>
    <m/>
    <x v="0"/>
    <x v="1"/>
    <s v=""/>
    <s v="15/jun"/>
    <n v="1"/>
    <s v=""/>
  </r>
  <r>
    <x v="1"/>
    <d v="2026-06-02T11:16:38"/>
    <x v="0"/>
    <n v="63694637"/>
    <n v="361081420000"/>
    <s v="2-754-223"/>
    <s v="Fijo"/>
    <x v="0"/>
    <x v="2"/>
    <m/>
    <m/>
    <m/>
    <s v="no"/>
    <m/>
    <m/>
    <x v="0"/>
    <m/>
    <x v="0"/>
    <x v="0"/>
    <s v=""/>
    <s v=""/>
    <s v=""/>
    <s v=""/>
  </r>
  <r>
    <x v="1"/>
    <d v="2026-06-02T11:21:38"/>
    <x v="0"/>
    <n v="61402787"/>
    <n v="993049420000"/>
    <s v="8-477-628"/>
    <s v="Fijo"/>
    <x v="0"/>
    <x v="0"/>
    <m/>
    <m/>
    <m/>
    <s v="no"/>
    <m/>
    <m/>
    <x v="3"/>
    <m/>
    <x v="0"/>
    <x v="0"/>
    <s v=""/>
    <s v=""/>
    <s v=""/>
    <s v=""/>
  </r>
  <r>
    <x v="1"/>
    <d v="2026-06-02T11:35:19"/>
    <x v="0"/>
    <n v="68203534"/>
    <n v="365083820000"/>
    <s v="AT533169"/>
    <s v="Fijo"/>
    <x v="0"/>
    <x v="0"/>
    <m/>
    <m/>
    <m/>
    <s v="no"/>
    <m/>
    <m/>
    <x v="0"/>
    <m/>
    <x v="0"/>
    <x v="0"/>
    <s v=""/>
    <s v=""/>
    <s v=""/>
    <s v=""/>
  </r>
  <r>
    <x v="1"/>
    <d v="2026-06-02T11:43:16"/>
    <x v="0"/>
    <n v="66103004"/>
    <n v="353339160000"/>
    <s v="8-794-5030"/>
    <s v="Fijo"/>
    <x v="4"/>
    <x v="1"/>
    <s v="Problema de salud"/>
    <d v="2026-06-02T00:00:00"/>
    <n v="89.77"/>
    <s v="no"/>
    <m/>
    <m/>
    <x v="3"/>
    <m/>
    <x v="0"/>
    <x v="1"/>
    <s v=""/>
    <s v="02/jun"/>
    <n v="1"/>
    <s v=""/>
  </r>
  <r>
    <x v="1"/>
    <d v="2026-06-02T11:50:07"/>
    <x v="0"/>
    <n v="66033534"/>
    <n v="368027760000"/>
    <s v="8-1038-862"/>
    <s v="Fijo"/>
    <x v="2"/>
    <x v="2"/>
    <m/>
    <m/>
    <m/>
    <s v="no"/>
    <m/>
    <m/>
    <x v="0"/>
    <m/>
    <x v="0"/>
    <x v="0"/>
    <s v=""/>
    <s v=""/>
    <s v=""/>
    <s v=""/>
  </r>
  <r>
    <x v="1"/>
    <d v="2026-06-02T11:58:36"/>
    <x v="0"/>
    <n v="65044455"/>
    <n v="351337280000"/>
    <s v="8-365-955"/>
    <s v="Fijo"/>
    <x v="3"/>
    <x v="2"/>
    <m/>
    <m/>
    <m/>
    <s v="no"/>
    <m/>
    <m/>
    <x v="0"/>
    <m/>
    <x v="0"/>
    <x v="0"/>
    <s v=""/>
    <s v=""/>
    <s v=""/>
    <s v=""/>
  </r>
  <r>
    <x v="1"/>
    <d v="2026-06-02T12:08:13"/>
    <x v="0"/>
    <n v="64960054"/>
    <n v="995063180000"/>
    <s v="3-709-223"/>
    <s v="Fijo"/>
    <x v="0"/>
    <x v="2"/>
    <m/>
    <m/>
    <m/>
    <s v="no"/>
    <m/>
    <m/>
    <x v="0"/>
    <m/>
    <x v="0"/>
    <x v="0"/>
    <s v=""/>
    <s v=""/>
    <s v=""/>
    <s v=""/>
  </r>
  <r>
    <x v="1"/>
    <d v="2026-06-02T12:13:21"/>
    <x v="0"/>
    <n v="63528067"/>
    <n v="367054930000"/>
    <s v="8-913-1779"/>
    <s v="Fijo"/>
    <x v="0"/>
    <x v="0"/>
    <m/>
    <m/>
    <m/>
    <s v="no"/>
    <m/>
    <m/>
    <x v="0"/>
    <m/>
    <x v="0"/>
    <x v="0"/>
    <s v=""/>
    <s v=""/>
    <s v=""/>
    <s v=""/>
  </r>
  <r>
    <x v="1"/>
    <d v="2026-06-02T12:19:42"/>
    <x v="0"/>
    <n v="66392444"/>
    <n v="368091850000"/>
    <s v="9-715-831"/>
    <s v="Fijo"/>
    <x v="2"/>
    <x v="2"/>
    <m/>
    <m/>
    <m/>
    <s v="no"/>
    <m/>
    <m/>
    <x v="0"/>
    <m/>
    <x v="0"/>
    <x v="0"/>
    <s v=""/>
    <s v=""/>
    <s v=""/>
    <s v=""/>
  </r>
  <r>
    <x v="1"/>
    <d v="2026-06-02T12:25:37"/>
    <x v="0"/>
    <n v="67056432"/>
    <n v="364066190000"/>
    <s v="12-721-1241"/>
    <s v="Fijo"/>
    <x v="3"/>
    <x v="0"/>
    <m/>
    <m/>
    <m/>
    <s v="no"/>
    <m/>
    <m/>
    <x v="1"/>
    <m/>
    <x v="0"/>
    <x v="0"/>
    <s v=""/>
    <s v=""/>
    <s v=""/>
    <s v=""/>
  </r>
  <r>
    <x v="1"/>
    <d v="2026-06-02T12:29:42"/>
    <x v="0"/>
    <n v="67890453"/>
    <n v="362002010000"/>
    <s v="3-761-1921"/>
    <s v="Fijo"/>
    <x v="0"/>
    <x v="5"/>
    <m/>
    <m/>
    <m/>
    <s v="si"/>
    <d v="2026-05-29T00:00:00"/>
    <m/>
    <x v="3"/>
    <m/>
    <x v="1"/>
    <x v="0"/>
    <s v="29/may"/>
    <s v=""/>
    <s v=""/>
    <n v="1"/>
  </r>
  <r>
    <x v="1"/>
    <d v="2026-06-02T12:36:08"/>
    <x v="0"/>
    <n v="65608513"/>
    <n v="363000200000"/>
    <s v="8-360-757"/>
    <s v="Fijo"/>
    <x v="0"/>
    <x v="2"/>
    <m/>
    <m/>
    <m/>
    <s v="no"/>
    <m/>
    <m/>
    <x v="0"/>
    <m/>
    <x v="0"/>
    <x v="0"/>
    <s v=""/>
    <s v=""/>
    <s v=""/>
    <s v=""/>
  </r>
  <r>
    <x v="1"/>
    <d v="2026-06-02T12:40:46"/>
    <x v="0"/>
    <n v="62279735"/>
    <n v="359373610000"/>
    <s v="8-947-1229"/>
    <s v="Fijo"/>
    <x v="2"/>
    <x v="5"/>
    <m/>
    <m/>
    <m/>
    <s v="si"/>
    <d v="2026-06-01T00:00:00"/>
    <m/>
    <x v="2"/>
    <m/>
    <x v="2"/>
    <x v="0"/>
    <s v="01/jun"/>
    <s v=""/>
    <s v=""/>
    <n v="1"/>
  </r>
  <r>
    <x v="1"/>
    <d v="2026-06-02T12:42:56"/>
    <x v="0"/>
    <n v="63479119"/>
    <n v="363003190000"/>
    <s v="6-726-538"/>
    <s v="Fijo"/>
    <x v="0"/>
    <x v="6"/>
    <m/>
    <m/>
    <m/>
    <s v="no"/>
    <m/>
    <m/>
    <x v="0"/>
    <m/>
    <x v="0"/>
    <x v="0"/>
    <s v=""/>
    <s v=""/>
    <s v=""/>
    <s v=""/>
  </r>
  <r>
    <x v="1"/>
    <d v="2026-06-02T12:45:30"/>
    <x v="0"/>
    <n v="66042697"/>
    <n v="363003980000"/>
    <s v="4-229-752"/>
    <s v="Fijo"/>
    <x v="0"/>
    <x v="6"/>
    <m/>
    <m/>
    <m/>
    <s v="no"/>
    <m/>
    <m/>
    <x v="1"/>
    <m/>
    <x v="0"/>
    <x v="0"/>
    <s v=""/>
    <s v=""/>
    <s v=""/>
    <s v=""/>
  </r>
  <r>
    <x v="1"/>
    <d v="2026-06-02T12:47:36"/>
    <x v="0"/>
    <n v="64702061"/>
    <n v="368002400000"/>
    <s v="4-719-668"/>
    <s v="Fijo"/>
    <x v="0"/>
    <x v="6"/>
    <m/>
    <m/>
    <m/>
    <s v="no"/>
    <m/>
    <m/>
    <x v="0"/>
    <m/>
    <x v="0"/>
    <x v="0"/>
    <s v=""/>
    <s v=""/>
    <s v=""/>
    <s v=""/>
  </r>
  <r>
    <x v="1"/>
    <d v="2026-06-02T12:50:43"/>
    <x v="0"/>
    <n v="67049348"/>
    <n v="363003760000"/>
    <s v="3-753-288"/>
    <s v="Fijo"/>
    <x v="0"/>
    <x v="6"/>
    <m/>
    <m/>
    <m/>
    <s v="no"/>
    <m/>
    <m/>
    <x v="0"/>
    <m/>
    <x v="0"/>
    <x v="0"/>
    <s v=""/>
    <s v=""/>
    <s v=""/>
    <s v=""/>
  </r>
  <r>
    <x v="1"/>
    <d v="2026-06-02T12:52:46"/>
    <x v="0"/>
    <n v="64108391"/>
    <n v="362000400000"/>
    <s v="3-753-999"/>
    <s v="Fijo"/>
    <x v="0"/>
    <x v="2"/>
    <m/>
    <m/>
    <m/>
    <s v="no"/>
    <m/>
    <m/>
    <x v="3"/>
    <m/>
    <x v="0"/>
    <x v="0"/>
    <s v=""/>
    <s v=""/>
    <s v=""/>
    <s v=""/>
  </r>
  <r>
    <x v="1"/>
    <d v="2026-06-02T12:55:14"/>
    <x v="0"/>
    <n v="63373915"/>
    <n v="369002140000"/>
    <s v="3-733-1572"/>
    <s v="Fijo"/>
    <x v="0"/>
    <x v="6"/>
    <m/>
    <m/>
    <m/>
    <s v="no"/>
    <m/>
    <m/>
    <x v="0"/>
    <m/>
    <x v="0"/>
    <x v="0"/>
    <s v=""/>
    <s v=""/>
    <s v=""/>
    <s v=""/>
  </r>
  <r>
    <x v="1"/>
    <d v="2026-06-02T14:07:24"/>
    <x v="0"/>
    <n v="61055872"/>
    <n v="363003860000"/>
    <s v="4-199-19"/>
    <s v="Fijo"/>
    <x v="0"/>
    <x v="1"/>
    <s v="Situación económica"/>
    <m/>
    <m/>
    <s v="no"/>
    <m/>
    <m/>
    <x v="1"/>
    <m/>
    <x v="0"/>
    <x v="0"/>
    <s v=""/>
    <s v=""/>
    <s v=""/>
    <s v=""/>
  </r>
  <r>
    <x v="1"/>
    <d v="2026-06-02T14:10:54"/>
    <x v="0"/>
    <n v="64469237"/>
    <n v="355060390000"/>
    <s v="8-444-328"/>
    <s v="Fijo"/>
    <x v="0"/>
    <x v="2"/>
    <m/>
    <m/>
    <m/>
    <s v="no"/>
    <m/>
    <m/>
    <x v="2"/>
    <m/>
    <x v="0"/>
    <x v="0"/>
    <s v=""/>
    <s v=""/>
    <s v=""/>
    <s v=""/>
  </r>
  <r>
    <x v="1"/>
    <d v="2026-06-02T14:15:12"/>
    <x v="0"/>
    <n v="60525725"/>
    <n v="368004600000"/>
    <s v="8-208-965"/>
    <s v="Fijo"/>
    <x v="0"/>
    <x v="2"/>
    <m/>
    <m/>
    <m/>
    <s v="no"/>
    <m/>
    <m/>
    <x v="1"/>
    <m/>
    <x v="0"/>
    <x v="0"/>
    <s v=""/>
    <s v=""/>
    <s v=""/>
    <s v=""/>
  </r>
  <r>
    <x v="1"/>
    <d v="2026-06-02T14:17:37"/>
    <x v="0"/>
    <n v="65076022"/>
    <n v="369004590000"/>
    <s v="A152340"/>
    <s v="Fijo"/>
    <x v="1"/>
    <x v="2"/>
    <m/>
    <m/>
    <m/>
    <s v="no"/>
    <m/>
    <m/>
    <x v="2"/>
    <m/>
    <x v="0"/>
    <x v="0"/>
    <s v=""/>
    <s v=""/>
    <s v=""/>
    <s v=""/>
  </r>
  <r>
    <x v="1"/>
    <d v="2026-06-02T14:21:02"/>
    <x v="0"/>
    <n v="60991433"/>
    <n v="361004650000"/>
    <s v="8-503-818"/>
    <s v="Fijo"/>
    <x v="2"/>
    <x v="2"/>
    <m/>
    <m/>
    <m/>
    <s v="no"/>
    <m/>
    <m/>
    <x v="3"/>
    <m/>
    <x v="0"/>
    <x v="0"/>
    <s v=""/>
    <s v=""/>
    <s v=""/>
    <s v=""/>
  </r>
  <r>
    <x v="1"/>
    <d v="2026-06-02T14:25:22"/>
    <x v="0"/>
    <n v="61318661"/>
    <n v="352351890000"/>
    <s v="8-958-146"/>
    <s v="Fijo"/>
    <x v="2"/>
    <x v="2"/>
    <m/>
    <m/>
    <m/>
    <s v="no"/>
    <m/>
    <m/>
    <x v="3"/>
    <m/>
    <x v="0"/>
    <x v="0"/>
    <s v=""/>
    <s v=""/>
    <s v=""/>
    <s v=""/>
  </r>
  <r>
    <x v="1"/>
    <d v="2026-06-02T14:32:03"/>
    <x v="0"/>
    <n v="62083560"/>
    <n v="364001250000"/>
    <s v="8-886-2274"/>
    <s v="Fijo"/>
    <x v="0"/>
    <x v="2"/>
    <m/>
    <m/>
    <m/>
    <s v="no"/>
    <m/>
    <m/>
    <x v="3"/>
    <m/>
    <x v="0"/>
    <x v="0"/>
    <s v=""/>
    <s v=""/>
    <s v=""/>
    <s v=""/>
  </r>
  <r>
    <x v="1"/>
    <d v="2026-06-02T14:34:37"/>
    <x v="0"/>
    <n v="68268742"/>
    <n v="366005850000"/>
    <s v="10-707-314"/>
    <s v="Fijo"/>
    <x v="0"/>
    <x v="6"/>
    <m/>
    <m/>
    <m/>
    <s v="no"/>
    <m/>
    <m/>
    <x v="0"/>
    <m/>
    <x v="0"/>
    <x v="0"/>
    <s v=""/>
    <s v=""/>
    <s v=""/>
    <s v=""/>
  </r>
  <r>
    <x v="1"/>
    <d v="2026-06-02T14:38:14"/>
    <x v="0"/>
    <n v="66347468"/>
    <n v="362004820000"/>
    <s v="6-714-1138"/>
    <s v="Fijo"/>
    <x v="4"/>
    <x v="1"/>
    <s v="Situación económica"/>
    <m/>
    <m/>
    <s v="no"/>
    <m/>
    <m/>
    <x v="1"/>
    <m/>
    <x v="0"/>
    <x v="0"/>
    <s v=""/>
    <s v=""/>
    <s v=""/>
    <s v=""/>
  </r>
  <r>
    <x v="1"/>
    <d v="2026-06-02T14:42:22"/>
    <x v="0"/>
    <n v="63637887"/>
    <n v="364004400000"/>
    <s v="3-702-2081"/>
    <s v="Fijo"/>
    <x v="0"/>
    <x v="2"/>
    <m/>
    <m/>
    <m/>
    <s v="no"/>
    <m/>
    <m/>
    <x v="1"/>
    <m/>
    <x v="0"/>
    <x v="0"/>
    <s v=""/>
    <s v=""/>
    <s v=""/>
    <s v=""/>
  </r>
  <r>
    <x v="1"/>
    <d v="2026-06-02T14:44:47"/>
    <x v="0"/>
    <n v="66552224"/>
    <n v="369004970000"/>
    <s v="8-772-2438"/>
    <s v="Fijo"/>
    <x v="0"/>
    <x v="0"/>
    <m/>
    <m/>
    <m/>
    <s v="no"/>
    <m/>
    <m/>
    <x v="3"/>
    <m/>
    <x v="0"/>
    <x v="0"/>
    <s v=""/>
    <s v=""/>
    <s v=""/>
    <s v=""/>
  </r>
  <r>
    <x v="1"/>
    <d v="2026-06-02T14:48:11"/>
    <x v="0"/>
    <n v="67890543"/>
    <n v="367003030000"/>
    <s v="2-701-1276"/>
    <s v="Fijo"/>
    <x v="0"/>
    <x v="6"/>
    <m/>
    <m/>
    <m/>
    <s v="no"/>
    <m/>
    <m/>
    <x v="0"/>
    <m/>
    <x v="0"/>
    <x v="0"/>
    <s v=""/>
    <s v=""/>
    <s v=""/>
    <s v=""/>
  </r>
  <r>
    <x v="1"/>
    <d v="2026-06-02T14:50:04"/>
    <x v="0"/>
    <n v="63806351"/>
    <n v="363005870000"/>
    <s v="6-726-1326"/>
    <s v="Fijo"/>
    <x v="0"/>
    <x v="6"/>
    <m/>
    <m/>
    <m/>
    <s v="no"/>
    <m/>
    <m/>
    <x v="0"/>
    <m/>
    <x v="0"/>
    <x v="0"/>
    <s v=""/>
    <s v=""/>
    <s v=""/>
    <s v=""/>
  </r>
  <r>
    <x v="1"/>
    <d v="2026-06-02T14:53:31"/>
    <x v="0"/>
    <n v="68116008"/>
    <n v="361003580000"/>
    <s v="6-702-1623"/>
    <s v="Fijo"/>
    <x v="0"/>
    <x v="6"/>
    <m/>
    <m/>
    <m/>
    <s v="no"/>
    <m/>
    <m/>
    <x v="0"/>
    <m/>
    <x v="0"/>
    <x v="0"/>
    <s v=""/>
    <s v=""/>
    <s v=""/>
    <s v=""/>
  </r>
  <r>
    <x v="1"/>
    <d v="2026-06-02T14:58:55"/>
    <x v="0"/>
    <n v="65077219"/>
    <n v="369007940000"/>
    <s v="8-769-022"/>
    <s v="Fijo"/>
    <x v="0"/>
    <x v="6"/>
    <m/>
    <m/>
    <m/>
    <s v="no"/>
    <m/>
    <m/>
    <x v="0"/>
    <m/>
    <x v="0"/>
    <x v="0"/>
    <s v=""/>
    <s v=""/>
    <s v=""/>
    <s v=""/>
  </r>
  <r>
    <x v="1"/>
    <d v="2026-06-02T15:01:52"/>
    <x v="0"/>
    <n v="63357684"/>
    <n v="362004930000"/>
    <s v="9-730-199"/>
    <s v="Fijo"/>
    <x v="0"/>
    <x v="0"/>
    <m/>
    <m/>
    <m/>
    <s v="no"/>
    <m/>
    <m/>
    <x v="3"/>
    <m/>
    <x v="0"/>
    <x v="0"/>
    <s v=""/>
    <s v=""/>
    <s v=""/>
    <s v=""/>
  </r>
  <r>
    <x v="1"/>
    <d v="2026-06-02T15:14:54"/>
    <x v="0"/>
    <n v="64646620"/>
    <n v="369006440000"/>
    <s v="8-898-1992"/>
    <s v="Fijo"/>
    <x v="0"/>
    <x v="0"/>
    <m/>
    <m/>
    <m/>
    <s v="no"/>
    <m/>
    <m/>
    <x v="3"/>
    <m/>
    <x v="0"/>
    <x v="0"/>
    <s v=""/>
    <s v=""/>
    <s v=""/>
    <s v=""/>
  </r>
  <r>
    <x v="1"/>
    <d v="2026-06-02T15:18:11"/>
    <x v="0"/>
    <n v="68740932"/>
    <n v="364005300000"/>
    <s v="4-844-372"/>
    <s v="Fijo"/>
    <x v="0"/>
    <x v="2"/>
    <m/>
    <m/>
    <m/>
    <s v="no"/>
    <m/>
    <m/>
    <x v="3"/>
    <m/>
    <x v="0"/>
    <x v="0"/>
    <s v=""/>
    <s v=""/>
    <s v=""/>
    <s v=""/>
  </r>
  <r>
    <x v="1"/>
    <d v="2026-06-02T15:22:17"/>
    <x v="0"/>
    <n v="65475201"/>
    <n v="365005180000"/>
    <s v="AT681057"/>
    <s v="Fijo"/>
    <x v="0"/>
    <x v="2"/>
    <m/>
    <m/>
    <m/>
    <s v="no"/>
    <m/>
    <m/>
    <x v="1"/>
    <m/>
    <x v="0"/>
    <x v="0"/>
    <s v=""/>
    <s v=""/>
    <s v=""/>
    <s v=""/>
  </r>
  <r>
    <x v="1"/>
    <d v="2026-06-02T15:26:26"/>
    <x v="0"/>
    <n v="62469954"/>
    <n v="358385440000"/>
    <s v="8-941-814"/>
    <s v="Fijo"/>
    <x v="0"/>
    <x v="2"/>
    <m/>
    <m/>
    <m/>
    <s v="no"/>
    <m/>
    <m/>
    <x v="1"/>
    <m/>
    <x v="0"/>
    <x v="0"/>
    <s v=""/>
    <s v=""/>
    <s v=""/>
    <s v=""/>
  </r>
  <r>
    <x v="1"/>
    <d v="2026-06-02T15:39:24"/>
    <x v="0"/>
    <n v="69188458"/>
    <n v="368006870000"/>
    <s v="8-114-204"/>
    <s v="Fijo"/>
    <x v="0"/>
    <x v="1"/>
    <s v="Desempleada"/>
    <d v="2026-06-04T00:00:00"/>
    <n v="20"/>
    <s v="no"/>
    <m/>
    <m/>
    <x v="1"/>
    <m/>
    <x v="0"/>
    <x v="1"/>
    <s v=""/>
    <s v="04/jun"/>
    <n v="1"/>
    <s v=""/>
  </r>
  <r>
    <x v="1"/>
    <d v="2026-06-02T15:43:07"/>
    <x v="0"/>
    <n v="68179375"/>
    <n v="356371330000"/>
    <s v="8-732-1831"/>
    <s v="Fijo"/>
    <x v="0"/>
    <x v="2"/>
    <m/>
    <m/>
    <m/>
    <s v="no"/>
    <m/>
    <m/>
    <x v="3"/>
    <m/>
    <x v="0"/>
    <x v="0"/>
    <s v=""/>
    <s v=""/>
    <s v=""/>
    <s v=""/>
  </r>
  <r>
    <x v="1"/>
    <d v="2026-06-02T15:46:37"/>
    <x v="0"/>
    <n v="68343299"/>
    <n v="365006330000"/>
    <s v="8-314-707"/>
    <s v="Fijo"/>
    <x v="0"/>
    <x v="2"/>
    <m/>
    <m/>
    <m/>
    <s v="no"/>
    <m/>
    <m/>
    <x v="3"/>
    <m/>
    <x v="0"/>
    <x v="0"/>
    <s v=""/>
    <s v=""/>
    <s v=""/>
    <s v=""/>
  </r>
  <r>
    <x v="1"/>
    <d v="2026-06-02T15:49:39"/>
    <x v="0"/>
    <n v="69787829"/>
    <n v="368006930000"/>
    <s v="BR0213040"/>
    <s v="Fijo"/>
    <x v="0"/>
    <x v="2"/>
    <m/>
    <m/>
    <m/>
    <s v="no"/>
    <m/>
    <m/>
    <x v="3"/>
    <m/>
    <x v="0"/>
    <x v="0"/>
    <s v=""/>
    <s v=""/>
    <s v=""/>
    <s v=""/>
  </r>
  <r>
    <x v="1"/>
    <d v="2026-06-02T15:52:38"/>
    <x v="0"/>
    <n v="68917736"/>
    <n v="354384140000"/>
    <s v="8-1010-1337"/>
    <s v="Fijo"/>
    <x v="0"/>
    <x v="2"/>
    <m/>
    <m/>
    <m/>
    <s v="no"/>
    <m/>
    <m/>
    <x v="1"/>
    <m/>
    <x v="0"/>
    <x v="0"/>
    <s v=""/>
    <s v=""/>
    <s v=""/>
    <s v=""/>
  </r>
  <r>
    <x v="1"/>
    <d v="2026-06-02T15:57:01"/>
    <x v="0"/>
    <n v="67218915"/>
    <n v="233021960000"/>
    <s v="8-775-1692"/>
    <s v="Fijo"/>
    <x v="0"/>
    <x v="0"/>
    <m/>
    <m/>
    <m/>
    <s v="no"/>
    <m/>
    <m/>
    <x v="2"/>
    <m/>
    <x v="0"/>
    <x v="0"/>
    <s v=""/>
    <s v=""/>
    <s v=""/>
    <s v=""/>
  </r>
  <r>
    <x v="1"/>
    <d v="2026-06-02T15:59:23"/>
    <x v="0"/>
    <n v="68283204"/>
    <n v="365007020000"/>
    <s v="8-440-565"/>
    <s v="Fijo"/>
    <x v="0"/>
    <x v="6"/>
    <m/>
    <m/>
    <m/>
    <s v="no"/>
    <m/>
    <m/>
    <x v="2"/>
    <m/>
    <x v="0"/>
    <x v="0"/>
    <s v=""/>
    <s v=""/>
    <s v=""/>
    <s v=""/>
  </r>
  <r>
    <x v="1"/>
    <d v="2026-06-02T16:03:09"/>
    <x v="0"/>
    <n v="65510120"/>
    <n v="362005030000"/>
    <s v="8-957-821"/>
    <s v="Fijo"/>
    <x v="2"/>
    <x v="5"/>
    <m/>
    <m/>
    <m/>
    <s v="si"/>
    <d v="2026-05-27T00:00:00"/>
    <m/>
    <x v="0"/>
    <m/>
    <x v="1"/>
    <x v="0"/>
    <s v="27/may"/>
    <s v=""/>
    <s v=""/>
    <n v="1"/>
  </r>
  <r>
    <x v="1"/>
    <d v="2026-06-02T16:07:15"/>
    <x v="0"/>
    <n v="67795674"/>
    <n v="363003630000"/>
    <s v="E-8-197541"/>
    <s v="Fijo"/>
    <x v="2"/>
    <x v="2"/>
    <m/>
    <m/>
    <m/>
    <s v="no"/>
    <m/>
    <m/>
    <x v="1"/>
    <m/>
    <x v="0"/>
    <x v="0"/>
    <s v=""/>
    <s v=""/>
    <s v=""/>
    <s v=""/>
  </r>
  <r>
    <x v="1"/>
    <d v="2026-06-02T16:14:20"/>
    <x v="0"/>
    <n v="62256136"/>
    <n v="306081300000"/>
    <s v="8-705-2281"/>
    <s v="Fijo"/>
    <x v="0"/>
    <x v="2"/>
    <m/>
    <m/>
    <m/>
    <s v="no"/>
    <m/>
    <m/>
    <x v="1"/>
    <m/>
    <x v="0"/>
    <x v="0"/>
    <s v=""/>
    <s v=""/>
    <s v=""/>
    <s v=""/>
  </r>
  <r>
    <x v="1"/>
    <d v="2026-06-02T16:17:26"/>
    <x v="0"/>
    <n v="60199324"/>
    <n v="368006110000"/>
    <s v="7-710-1493"/>
    <s v="Fijo"/>
    <x v="0"/>
    <x v="6"/>
    <m/>
    <m/>
    <m/>
    <s v="no"/>
    <m/>
    <m/>
    <x v="3"/>
    <m/>
    <x v="0"/>
    <x v="0"/>
    <s v=""/>
    <s v=""/>
    <s v=""/>
    <s v=""/>
  </r>
  <r>
    <x v="1"/>
    <d v="2026-06-02T16:19:55"/>
    <x v="0"/>
    <n v="60243522"/>
    <n v="369006520000"/>
    <s v="5-17-995"/>
    <s v="Fijo"/>
    <x v="0"/>
    <x v="6"/>
    <m/>
    <m/>
    <m/>
    <s v="no"/>
    <m/>
    <m/>
    <x v="2"/>
    <m/>
    <x v="0"/>
    <x v="0"/>
    <s v=""/>
    <s v=""/>
    <s v=""/>
    <s v=""/>
  </r>
  <r>
    <x v="1"/>
    <d v="2026-06-02T16:23:14"/>
    <x v="0"/>
    <n v="67680317"/>
    <n v="237004350000"/>
    <s v="4-734-948"/>
    <s v="Fijo"/>
    <x v="0"/>
    <x v="7"/>
    <m/>
    <m/>
    <m/>
    <s v="no"/>
    <m/>
    <m/>
    <x v="3"/>
    <m/>
    <x v="0"/>
    <x v="0"/>
    <s v=""/>
    <s v=""/>
    <s v=""/>
    <s v=""/>
  </r>
  <r>
    <x v="1"/>
    <d v="2026-06-02T16:25:31"/>
    <x v="0"/>
    <n v="68166328"/>
    <n v="368005690000"/>
    <s v="4-99-2378"/>
    <s v="Fijo"/>
    <x v="0"/>
    <x v="6"/>
    <m/>
    <m/>
    <m/>
    <s v="no"/>
    <m/>
    <m/>
    <x v="1"/>
    <m/>
    <x v="0"/>
    <x v="0"/>
    <s v=""/>
    <s v=""/>
    <s v=""/>
    <s v=""/>
  </r>
  <r>
    <x v="1"/>
    <d v="2026-06-02T16:27:43"/>
    <x v="0"/>
    <n v="61643569"/>
    <n v="367003900000"/>
    <s v="8-1068-1846"/>
    <s v="Fijo"/>
    <x v="0"/>
    <x v="6"/>
    <m/>
    <m/>
    <m/>
    <s v="no"/>
    <m/>
    <m/>
    <x v="1"/>
    <m/>
    <x v="0"/>
    <x v="0"/>
    <s v=""/>
    <s v=""/>
    <s v=""/>
    <s v=""/>
  </r>
  <r>
    <x v="1"/>
    <d v="2026-06-02T16:32:53"/>
    <x v="0"/>
    <n v="66893893"/>
    <n v="368005230000"/>
    <s v="C02054220"/>
    <s v="Fijo"/>
    <x v="0"/>
    <x v="7"/>
    <m/>
    <m/>
    <m/>
    <s v="no"/>
    <m/>
    <m/>
    <x v="1"/>
    <m/>
    <x v="0"/>
    <x v="0"/>
    <s v=""/>
    <s v=""/>
    <s v=""/>
    <s v=""/>
  </r>
  <r>
    <x v="1"/>
    <d v="2026-06-02T16:35:07"/>
    <x v="0"/>
    <n v="67690197"/>
    <n v="363006690000"/>
    <s v="2-716-2348"/>
    <s v="Fijo"/>
    <x v="0"/>
    <x v="6"/>
    <m/>
    <m/>
    <m/>
    <s v="no"/>
    <m/>
    <m/>
    <x v="2"/>
    <m/>
    <x v="0"/>
    <x v="0"/>
    <s v=""/>
    <s v=""/>
    <s v=""/>
    <s v=""/>
  </r>
  <r>
    <x v="1"/>
    <d v="2026-06-02T16:37:38"/>
    <x v="0"/>
    <n v="61001147"/>
    <n v="362005830000"/>
    <s v="10-5-1140"/>
    <s v="Fijo"/>
    <x v="0"/>
    <x v="2"/>
    <m/>
    <m/>
    <m/>
    <s v="no"/>
    <m/>
    <m/>
    <x v="3"/>
    <m/>
    <x v="0"/>
    <x v="0"/>
    <s v=""/>
    <s v=""/>
    <s v=""/>
    <s v=""/>
  </r>
  <r>
    <x v="1"/>
    <d v="2026-06-02T16:50:22"/>
    <x v="0"/>
    <n v="64193122"/>
    <n v="364006990000"/>
    <s v="8-1056-1162"/>
    <s v="Fijo"/>
    <x v="0"/>
    <x v="6"/>
    <m/>
    <m/>
    <m/>
    <s v="no"/>
    <m/>
    <m/>
    <x v="0"/>
    <m/>
    <x v="0"/>
    <x v="0"/>
    <s v=""/>
    <s v=""/>
    <s v=""/>
    <s v=""/>
  </r>
  <r>
    <x v="1"/>
    <d v="2026-06-02T16:51:35"/>
    <x v="0"/>
    <n v="67898031"/>
    <n v="361006340000"/>
    <s v="3-79-2494"/>
    <s v="Fijo"/>
    <x v="0"/>
    <x v="6"/>
    <m/>
    <m/>
    <m/>
    <s v="no"/>
    <m/>
    <m/>
    <x v="0"/>
    <m/>
    <x v="0"/>
    <x v="0"/>
    <s v=""/>
    <s v=""/>
    <s v=""/>
    <s v=""/>
  </r>
  <r>
    <x v="1"/>
    <d v="2026-06-02T16:54:39"/>
    <x v="0"/>
    <n v="67890543"/>
    <n v="361009160000"/>
    <s v="8-857-524"/>
    <s v="Fijo"/>
    <x v="0"/>
    <x v="2"/>
    <m/>
    <m/>
    <m/>
    <s v="no"/>
    <m/>
    <m/>
    <x v="3"/>
    <m/>
    <x v="0"/>
    <x v="0"/>
    <s v=""/>
    <s v=""/>
    <s v=""/>
    <s v=""/>
  </r>
  <r>
    <x v="1"/>
    <d v="2026-06-02T16:56:24"/>
    <x v="0"/>
    <n v="63573718"/>
    <n v="369007690000"/>
    <s v="BF006377"/>
    <s v="Fijo"/>
    <x v="0"/>
    <x v="6"/>
    <m/>
    <m/>
    <m/>
    <s v="no"/>
    <m/>
    <m/>
    <x v="0"/>
    <m/>
    <x v="0"/>
    <x v="0"/>
    <s v=""/>
    <s v=""/>
    <s v=""/>
    <s v=""/>
  </r>
  <r>
    <x v="1"/>
    <d v="2026-06-02T17:00:15"/>
    <x v="0"/>
    <n v="67979808"/>
    <n v="362002510000"/>
    <s v="8-174-877"/>
    <s v="Fijo"/>
    <x v="0"/>
    <x v="2"/>
    <m/>
    <m/>
    <m/>
    <s v="no"/>
    <m/>
    <m/>
    <x v="3"/>
    <m/>
    <x v="0"/>
    <x v="0"/>
    <s v=""/>
    <s v=""/>
    <s v=""/>
    <s v=""/>
  </r>
  <r>
    <x v="1"/>
    <d v="2026-06-02T17:05:40"/>
    <x v="0"/>
    <n v="66662742"/>
    <n v="365006310000"/>
    <s v="E-8-195915"/>
    <s v="Fijo"/>
    <x v="2"/>
    <x v="2"/>
    <m/>
    <m/>
    <m/>
    <s v="no"/>
    <m/>
    <m/>
    <x v="3"/>
    <m/>
    <x v="0"/>
    <x v="0"/>
    <s v=""/>
    <s v=""/>
    <s v=""/>
    <s v=""/>
  </r>
  <r>
    <x v="1"/>
    <d v="2026-06-02T17:11:08"/>
    <x v="0"/>
    <n v="67350912"/>
    <n v="368008600000"/>
    <s v="8-1027-190"/>
    <s v="Fijo"/>
    <x v="0"/>
    <x v="1"/>
    <m/>
    <d v="2026-06-08T00:00:00"/>
    <n v="20.18"/>
    <s v="no"/>
    <m/>
    <m/>
    <x v="2"/>
    <m/>
    <x v="0"/>
    <x v="1"/>
    <s v=""/>
    <s v="08/jun"/>
    <n v="1"/>
    <s v=""/>
  </r>
  <r>
    <x v="1"/>
    <d v="2026-06-02T17:13:38"/>
    <x v="0"/>
    <n v="66917941"/>
    <n v="367007500000"/>
    <s v="2-137-731"/>
    <s v="Fijo"/>
    <x v="0"/>
    <x v="2"/>
    <m/>
    <m/>
    <m/>
    <s v="no"/>
    <m/>
    <m/>
    <x v="3"/>
    <m/>
    <x v="0"/>
    <x v="0"/>
    <s v=""/>
    <s v=""/>
    <s v=""/>
    <s v=""/>
  </r>
  <r>
    <x v="1"/>
    <d v="2026-06-02T17:15:20"/>
    <x v="0"/>
    <n v="62817551"/>
    <n v="365008190000"/>
    <s v="8-700-1964"/>
    <s v="Fijo"/>
    <x v="3"/>
    <x v="6"/>
    <m/>
    <m/>
    <m/>
    <s v="no"/>
    <m/>
    <m/>
    <x v="3"/>
    <m/>
    <x v="0"/>
    <x v="0"/>
    <s v=""/>
    <s v=""/>
    <s v=""/>
    <s v=""/>
  </r>
  <r>
    <x v="1"/>
    <d v="2026-06-02T17:18:54"/>
    <x v="0"/>
    <n v="68747465"/>
    <n v="364008500000"/>
    <s v="8-885-1900"/>
    <s v="Fijo"/>
    <x v="4"/>
    <x v="1"/>
    <m/>
    <m/>
    <m/>
    <s v="no"/>
    <m/>
    <m/>
    <x v="1"/>
    <m/>
    <x v="0"/>
    <x v="0"/>
    <s v=""/>
    <s v=""/>
    <s v=""/>
    <s v=""/>
  </r>
  <r>
    <x v="1"/>
    <d v="2026-06-02T17:20:46"/>
    <x v="0"/>
    <n v="68184307"/>
    <n v="346382020000"/>
    <s v="3-753-110"/>
    <s v="Fijo"/>
    <x v="0"/>
    <x v="6"/>
    <m/>
    <m/>
    <m/>
    <s v="no"/>
    <m/>
    <m/>
    <x v="0"/>
    <m/>
    <x v="0"/>
    <x v="0"/>
    <s v=""/>
    <s v=""/>
    <s v=""/>
    <s v=""/>
  </r>
  <r>
    <x v="1"/>
    <d v="2026-06-02T17:23:39"/>
    <x v="0"/>
    <n v="61811161"/>
    <n v="365007850000"/>
    <s v="E-8-221468"/>
    <s v="Fijo"/>
    <x v="0"/>
    <x v="3"/>
    <m/>
    <m/>
    <m/>
    <s v="no"/>
    <m/>
    <m/>
    <x v="3"/>
    <m/>
    <x v="0"/>
    <x v="0"/>
    <s v=""/>
    <s v=""/>
    <s v=""/>
    <s v=""/>
  </r>
  <r>
    <x v="1"/>
    <d v="2026-06-02T17:27:08"/>
    <x v="0"/>
    <n v="65202716"/>
    <n v="362008910000"/>
    <s v="8-841-2108"/>
    <s v="Fijo"/>
    <x v="0"/>
    <x v="3"/>
    <m/>
    <m/>
    <m/>
    <s v="no"/>
    <m/>
    <m/>
    <x v="3"/>
    <m/>
    <x v="0"/>
    <x v="0"/>
    <s v=""/>
    <s v=""/>
    <s v=""/>
    <s v=""/>
  </r>
  <r>
    <x v="2"/>
    <d v="2026-06-03T09:24:03"/>
    <x v="0"/>
    <n v="68857743"/>
    <n v="369008730000"/>
    <s v="FB655773"/>
    <s v="Fijo"/>
    <x v="0"/>
    <x v="3"/>
    <m/>
    <m/>
    <m/>
    <s v="no"/>
    <m/>
    <m/>
    <x v="3"/>
    <m/>
    <x v="0"/>
    <x v="0"/>
    <s v=""/>
    <s v=""/>
    <s v=""/>
    <s v=""/>
  </r>
  <r>
    <x v="2"/>
    <d v="2026-06-03T09:26:39"/>
    <x v="0"/>
    <n v="68470179"/>
    <n v="368009960000"/>
    <s v="8-976-1116"/>
    <s v="Fijo"/>
    <x v="0"/>
    <x v="0"/>
    <m/>
    <m/>
    <m/>
    <s v="no"/>
    <m/>
    <m/>
    <x v="3"/>
    <m/>
    <x v="0"/>
    <x v="0"/>
    <s v=""/>
    <s v=""/>
    <s v=""/>
    <s v=""/>
  </r>
  <r>
    <x v="2"/>
    <d v="2026-06-03T09:28:27"/>
    <x v="0"/>
    <n v="63140940"/>
    <n v="216045700000"/>
    <s v="8-229-824"/>
    <s v="Fijo"/>
    <x v="0"/>
    <x v="6"/>
    <m/>
    <m/>
    <m/>
    <s v="no"/>
    <m/>
    <m/>
    <x v="0"/>
    <m/>
    <x v="0"/>
    <x v="0"/>
    <s v=""/>
    <s v=""/>
    <s v=""/>
    <s v=""/>
  </r>
  <r>
    <x v="2"/>
    <d v="2026-06-03T09:30:03"/>
    <x v="0"/>
    <n v="64620677"/>
    <n v="362010160000"/>
    <s v="8-770-1669"/>
    <s v="Fijo"/>
    <x v="0"/>
    <x v="6"/>
    <m/>
    <m/>
    <m/>
    <s v="no"/>
    <m/>
    <m/>
    <x v="0"/>
    <m/>
    <x v="0"/>
    <x v="0"/>
    <s v=""/>
    <s v=""/>
    <s v=""/>
    <s v=""/>
  </r>
  <r>
    <x v="2"/>
    <d v="2026-06-03T09:33:17"/>
    <x v="0"/>
    <n v="68084703"/>
    <n v="347453750000"/>
    <s v="8-870-38"/>
    <s v="Fijo"/>
    <x v="0"/>
    <x v="6"/>
    <m/>
    <m/>
    <m/>
    <s v="no"/>
    <m/>
    <m/>
    <x v="0"/>
    <m/>
    <x v="0"/>
    <x v="0"/>
    <s v=""/>
    <s v=""/>
    <s v=""/>
    <s v=""/>
  </r>
  <r>
    <x v="2"/>
    <d v="2026-06-03T09:36:19"/>
    <x v="0"/>
    <n v="67262304"/>
    <n v="368010570000"/>
    <s v="2-110-430"/>
    <s v="Fijo"/>
    <x v="0"/>
    <x v="6"/>
    <m/>
    <m/>
    <m/>
    <s v="no"/>
    <m/>
    <m/>
    <x v="0"/>
    <m/>
    <x v="0"/>
    <x v="0"/>
    <s v=""/>
    <s v=""/>
    <s v=""/>
    <s v=""/>
  </r>
  <r>
    <x v="2"/>
    <d v="2026-06-03T09:42:15"/>
    <x v="0"/>
    <n v="69142485"/>
    <n v="344453680000"/>
    <s v="8-917-2294"/>
    <s v="Fijo"/>
    <x v="0"/>
    <x v="2"/>
    <m/>
    <m/>
    <m/>
    <s v="no"/>
    <m/>
    <m/>
    <x v="1"/>
    <m/>
    <x v="0"/>
    <x v="0"/>
    <s v=""/>
    <s v=""/>
    <s v=""/>
    <s v=""/>
  </r>
  <r>
    <x v="2"/>
    <d v="2026-06-03T09:43:51"/>
    <x v="0"/>
    <n v="62281473"/>
    <n v="365007830000"/>
    <s v="2-746-1771"/>
    <s v="Fijo"/>
    <x v="0"/>
    <x v="7"/>
    <m/>
    <m/>
    <m/>
    <s v="no"/>
    <m/>
    <m/>
    <x v="3"/>
    <m/>
    <x v="0"/>
    <x v="0"/>
    <s v=""/>
    <s v=""/>
    <s v=""/>
    <s v=""/>
  </r>
  <r>
    <x v="2"/>
    <d v="2026-06-03T09:47:21"/>
    <x v="0"/>
    <n v="69143489"/>
    <n v="361004700000"/>
    <s v="1-708-1886"/>
    <s v="Fijo"/>
    <x v="2"/>
    <x v="0"/>
    <m/>
    <m/>
    <m/>
    <s v="no"/>
    <m/>
    <m/>
    <x v="0"/>
    <m/>
    <x v="0"/>
    <x v="0"/>
    <s v=""/>
    <s v=""/>
    <s v=""/>
    <s v=""/>
  </r>
  <r>
    <x v="2"/>
    <d v="2026-06-03T09:49:09"/>
    <x v="0"/>
    <n v="65321023"/>
    <n v="356381500000"/>
    <s v="E-8-204693"/>
    <s v="Fijo"/>
    <x v="2"/>
    <x v="6"/>
    <m/>
    <m/>
    <m/>
    <s v="no"/>
    <m/>
    <m/>
    <x v="0"/>
    <m/>
    <x v="0"/>
    <x v="0"/>
    <s v=""/>
    <s v=""/>
    <s v=""/>
    <s v=""/>
  </r>
  <r>
    <x v="2"/>
    <d v="2026-06-03T10:00:38"/>
    <x v="0"/>
    <n v="67682369"/>
    <n v="362081720000"/>
    <s v="8-948-1176"/>
    <s v="Fijo"/>
    <x v="3"/>
    <x v="5"/>
    <m/>
    <m/>
    <m/>
    <s v="si"/>
    <d v="2026-06-02T00:00:00"/>
    <n v="34.85"/>
    <x v="1"/>
    <s v="Cumple promesa."/>
    <x v="2"/>
    <x v="0"/>
    <s v="02/jun"/>
    <s v=""/>
    <s v=""/>
    <n v="1"/>
  </r>
  <r>
    <x v="2"/>
    <d v="2026-06-03T10:09:22"/>
    <x v="0"/>
    <n v="65501305"/>
    <n v="354376950000"/>
    <s v="8-735-1520"/>
    <s v="Fijo"/>
    <x v="2"/>
    <x v="2"/>
    <m/>
    <m/>
    <m/>
    <s v="no"/>
    <m/>
    <m/>
    <x v="0"/>
    <m/>
    <x v="0"/>
    <x v="0"/>
    <s v=""/>
    <s v=""/>
    <s v=""/>
    <s v=""/>
  </r>
  <r>
    <x v="2"/>
    <d v="2026-06-03T10:14:49"/>
    <x v="0"/>
    <n v="68661624"/>
    <n v="269018190000"/>
    <s v="10-701-1243"/>
    <s v="Fijo"/>
    <x v="0"/>
    <x v="6"/>
    <m/>
    <m/>
    <m/>
    <s v="no"/>
    <m/>
    <m/>
    <x v="0"/>
    <m/>
    <x v="0"/>
    <x v="0"/>
    <s v=""/>
    <s v=""/>
    <s v=""/>
    <s v=""/>
  </r>
  <r>
    <x v="2"/>
    <d v="2026-06-03T10:18:01"/>
    <x v="0"/>
    <n v="69267566"/>
    <n v="362010280000"/>
    <s v="5-718-409"/>
    <s v="Fijo"/>
    <x v="0"/>
    <x v="6"/>
    <m/>
    <m/>
    <m/>
    <s v="no"/>
    <m/>
    <m/>
    <x v="0"/>
    <m/>
    <x v="0"/>
    <x v="0"/>
    <s v=""/>
    <s v=""/>
    <s v=""/>
    <s v=""/>
  </r>
  <r>
    <x v="2"/>
    <d v="2026-06-03T10:21:32"/>
    <x v="0"/>
    <n v="62997078"/>
    <n v="347291710000"/>
    <s v="2-754-112"/>
    <s v="Fijo"/>
    <x v="0"/>
    <x v="2"/>
    <m/>
    <m/>
    <m/>
    <s v="no"/>
    <m/>
    <m/>
    <x v="3"/>
    <m/>
    <x v="0"/>
    <x v="0"/>
    <s v=""/>
    <s v=""/>
    <s v=""/>
    <s v=""/>
  </r>
  <r>
    <x v="2"/>
    <d v="2026-06-03T10:23:42"/>
    <x v="0"/>
    <n v="63345226"/>
    <n v="223023930000"/>
    <s v="8-768-1447"/>
    <s v="Fijo"/>
    <x v="3"/>
    <x v="6"/>
    <m/>
    <m/>
    <m/>
    <s v="no"/>
    <m/>
    <m/>
    <x v="0"/>
    <m/>
    <x v="0"/>
    <x v="0"/>
    <s v=""/>
    <s v=""/>
    <s v=""/>
    <s v=""/>
  </r>
  <r>
    <x v="2"/>
    <d v="2026-06-03T10:28:40"/>
    <x v="0"/>
    <n v="67981892"/>
    <n v="369010280000"/>
    <s v="4-702-280"/>
    <s v="Fijo"/>
    <x v="0"/>
    <x v="0"/>
    <m/>
    <m/>
    <m/>
    <s v="no"/>
    <m/>
    <m/>
    <x v="1"/>
    <m/>
    <x v="0"/>
    <x v="0"/>
    <s v=""/>
    <s v=""/>
    <s v=""/>
    <s v=""/>
  </r>
  <r>
    <x v="2"/>
    <d v="2026-06-03T10:33:36"/>
    <x v="0"/>
    <n v="68307896"/>
    <n v="367008060000"/>
    <s v="BG889341"/>
    <s v="Fijo"/>
    <x v="0"/>
    <x v="0"/>
    <m/>
    <m/>
    <m/>
    <s v="no"/>
    <m/>
    <m/>
    <x v="1"/>
    <m/>
    <x v="0"/>
    <x v="0"/>
    <s v=""/>
    <s v=""/>
    <s v=""/>
    <s v=""/>
  </r>
  <r>
    <x v="2"/>
    <d v="2026-06-03T12:14:20"/>
    <x v="0"/>
    <n v="67081870"/>
    <n v="356385490000"/>
    <s v="8-362-565"/>
    <s v="Fijo"/>
    <x v="0"/>
    <x v="0"/>
    <m/>
    <m/>
    <m/>
    <s v="no"/>
    <m/>
    <m/>
    <x v="3"/>
    <m/>
    <x v="0"/>
    <x v="0"/>
    <s v=""/>
    <s v=""/>
    <s v=""/>
    <s v=""/>
  </r>
  <r>
    <x v="2"/>
    <d v="2026-06-03T12:20:19"/>
    <x v="0"/>
    <n v="62281473"/>
    <n v="365007830000"/>
    <s v="2-746-1771"/>
    <s v="Fijo"/>
    <x v="0"/>
    <x v="7"/>
    <m/>
    <m/>
    <m/>
    <s v="no"/>
    <m/>
    <m/>
    <x v="3"/>
    <m/>
    <x v="0"/>
    <x v="0"/>
    <s v=""/>
    <s v=""/>
    <s v=""/>
    <s v=""/>
  </r>
  <r>
    <x v="2"/>
    <d v="2026-06-03T12:27:09"/>
    <x v="0"/>
    <n v="69143489"/>
    <n v="361004700000"/>
    <s v="1-708-1886"/>
    <s v="Fijo"/>
    <x v="2"/>
    <x v="0"/>
    <m/>
    <m/>
    <m/>
    <s v="no"/>
    <m/>
    <m/>
    <x v="3"/>
    <m/>
    <x v="0"/>
    <x v="0"/>
    <s v=""/>
    <s v=""/>
    <s v=""/>
    <s v=""/>
  </r>
  <r>
    <x v="2"/>
    <d v="2026-06-03T12:42:38"/>
    <x v="0"/>
    <n v="68307896"/>
    <n v="367008060000"/>
    <s v="BG889341"/>
    <s v="Fijo"/>
    <x v="0"/>
    <x v="1"/>
    <m/>
    <d v="2026-06-09T00:00:00"/>
    <n v="34.85"/>
    <s v="no"/>
    <m/>
    <m/>
    <x v="1"/>
    <m/>
    <x v="0"/>
    <x v="1"/>
    <s v=""/>
    <s v="09/jun"/>
    <n v="1"/>
    <s v=""/>
  </r>
  <r>
    <x v="2"/>
    <d v="2026-06-03T12:48:11"/>
    <x v="0"/>
    <n v="65080085"/>
    <n v="366007080000"/>
    <s v="8-881-1803"/>
    <s v="Fijo"/>
    <x v="0"/>
    <x v="2"/>
    <m/>
    <m/>
    <m/>
    <s v="no"/>
    <m/>
    <m/>
    <x v="3"/>
    <m/>
    <x v="0"/>
    <x v="0"/>
    <s v=""/>
    <s v=""/>
    <s v=""/>
    <s v=""/>
  </r>
  <r>
    <x v="2"/>
    <d v="2026-06-03T12:56:55"/>
    <x v="0"/>
    <n v="63857304"/>
    <n v="362010700000"/>
    <s v="8-998-904"/>
    <s v="Fijo"/>
    <x v="0"/>
    <x v="2"/>
    <m/>
    <m/>
    <m/>
    <s v="no"/>
    <m/>
    <m/>
    <x v="1"/>
    <m/>
    <x v="0"/>
    <x v="0"/>
    <s v=""/>
    <s v=""/>
    <s v=""/>
    <s v=""/>
  </r>
  <r>
    <x v="2"/>
    <d v="2026-06-03T14:12:38"/>
    <x v="0"/>
    <n v="66558002"/>
    <n v="366011780000"/>
    <s v="3-712-1732"/>
    <s v="Fijo"/>
    <x v="0"/>
    <x v="2"/>
    <m/>
    <m/>
    <m/>
    <s v="no"/>
    <m/>
    <m/>
    <x v="1"/>
    <m/>
    <x v="0"/>
    <x v="0"/>
    <s v=""/>
    <s v=""/>
    <s v=""/>
    <s v=""/>
  </r>
  <r>
    <x v="2"/>
    <d v="2026-06-03T14:20:50"/>
    <x v="0"/>
    <n v="61647645"/>
    <n v="368008220000"/>
    <s v="3-761-2309"/>
    <s v="Fijo"/>
    <x v="0"/>
    <x v="2"/>
    <m/>
    <m/>
    <m/>
    <s v="no"/>
    <m/>
    <m/>
    <x v="3"/>
    <m/>
    <x v="0"/>
    <x v="0"/>
    <s v=""/>
    <s v=""/>
    <s v=""/>
    <s v=""/>
  </r>
  <r>
    <x v="2"/>
    <d v="2026-06-03T14:26:36"/>
    <x v="0"/>
    <n v="68119213"/>
    <n v="368010160000"/>
    <s v="E-8-71060"/>
    <s v="Fijo"/>
    <x v="0"/>
    <x v="3"/>
    <m/>
    <m/>
    <m/>
    <s v="no"/>
    <m/>
    <m/>
    <x v="2"/>
    <m/>
    <x v="0"/>
    <x v="0"/>
    <s v=""/>
    <s v=""/>
    <s v=""/>
    <s v=""/>
  </r>
  <r>
    <x v="2"/>
    <d v="2026-06-03T14:35:35"/>
    <x v="0"/>
    <n v="65979191"/>
    <n v="367010560000"/>
    <s v="4-769-2415"/>
    <s v="Fijo"/>
    <x v="0"/>
    <x v="2"/>
    <m/>
    <m/>
    <m/>
    <s v="no"/>
    <m/>
    <m/>
    <x v="1"/>
    <m/>
    <x v="0"/>
    <x v="0"/>
    <s v=""/>
    <s v=""/>
    <s v=""/>
    <s v=""/>
  </r>
  <r>
    <x v="2"/>
    <d v="2026-06-03T14:42:40"/>
    <x v="0"/>
    <n v="66484934"/>
    <n v="367010650000"/>
    <s v="6-721-176"/>
    <s v="Fijo"/>
    <x v="2"/>
    <x v="0"/>
    <m/>
    <m/>
    <m/>
    <s v="no"/>
    <m/>
    <m/>
    <x v="2"/>
    <m/>
    <x v="0"/>
    <x v="0"/>
    <s v=""/>
    <s v=""/>
    <s v=""/>
    <s v=""/>
  </r>
  <r>
    <x v="2"/>
    <d v="2026-06-03T14:48:27"/>
    <x v="0"/>
    <n v="69821704"/>
    <n v="291013690000"/>
    <s v="1-717-357"/>
    <s v="Fijo"/>
    <x v="0"/>
    <x v="0"/>
    <m/>
    <m/>
    <m/>
    <s v="no"/>
    <m/>
    <m/>
    <x v="2"/>
    <m/>
    <x v="0"/>
    <x v="0"/>
    <s v=""/>
    <s v=""/>
    <s v=""/>
    <s v=""/>
  </r>
  <r>
    <x v="2"/>
    <d v="2026-06-03T14:55:24"/>
    <x v="0"/>
    <n v="65675141"/>
    <n v="363009000000"/>
    <s v="AU915051"/>
    <s v="Fijo"/>
    <x v="0"/>
    <x v="2"/>
    <m/>
    <m/>
    <m/>
    <s v="no"/>
    <m/>
    <m/>
    <x v="3"/>
    <m/>
    <x v="0"/>
    <x v="0"/>
    <s v=""/>
    <s v=""/>
    <s v=""/>
    <s v=""/>
  </r>
  <r>
    <x v="2"/>
    <d v="2026-06-03T15:00:03"/>
    <x v="0"/>
    <n v="60146263"/>
    <n v="369013330000"/>
    <s v="8-1061-2059"/>
    <s v="Fijo"/>
    <x v="0"/>
    <x v="0"/>
    <m/>
    <m/>
    <m/>
    <s v="no"/>
    <m/>
    <m/>
    <x v="3"/>
    <m/>
    <x v="0"/>
    <x v="0"/>
    <s v=""/>
    <s v=""/>
    <s v=""/>
    <s v=""/>
  </r>
  <r>
    <x v="2"/>
    <d v="2026-06-03T15:08:18"/>
    <x v="0"/>
    <n v="67890543"/>
    <n v="368010580000"/>
    <s v="8-522-1667"/>
    <s v="Fijo"/>
    <x v="0"/>
    <x v="2"/>
    <m/>
    <m/>
    <m/>
    <s v="no"/>
    <m/>
    <m/>
    <x v="3"/>
    <m/>
    <x v="0"/>
    <x v="0"/>
    <s v=""/>
    <s v=""/>
    <s v=""/>
    <s v=""/>
  </r>
  <r>
    <x v="2"/>
    <d v="2026-06-03T15:13:25"/>
    <x v="0"/>
    <n v="66230673"/>
    <n v="365011550000"/>
    <s v="10-712-17"/>
    <s v="Fijo"/>
    <x v="0"/>
    <x v="2"/>
    <m/>
    <m/>
    <m/>
    <s v="no"/>
    <m/>
    <m/>
    <x v="1"/>
    <m/>
    <x v="0"/>
    <x v="0"/>
    <s v=""/>
    <s v=""/>
    <s v=""/>
    <s v=""/>
  </r>
  <r>
    <x v="2"/>
    <d v="2026-06-03T15:18:26"/>
    <x v="0"/>
    <n v="65712096"/>
    <n v="365008770000"/>
    <s v="8-1042-854"/>
    <s v="Fijo"/>
    <x v="0"/>
    <x v="2"/>
    <m/>
    <m/>
    <m/>
    <s v="no"/>
    <m/>
    <m/>
    <x v="3"/>
    <m/>
    <x v="0"/>
    <x v="0"/>
    <s v=""/>
    <s v=""/>
    <s v=""/>
    <s v=""/>
  </r>
  <r>
    <x v="2"/>
    <d v="2026-06-03T15:24:17"/>
    <x v="0"/>
    <n v="64883347"/>
    <n v="368014210000"/>
    <n v="187320623"/>
    <s v="Fijo"/>
    <x v="0"/>
    <x v="7"/>
    <m/>
    <m/>
    <m/>
    <s v="no"/>
    <m/>
    <m/>
    <x v="3"/>
    <m/>
    <x v="0"/>
    <x v="0"/>
    <s v=""/>
    <s v=""/>
    <s v=""/>
    <s v=""/>
  </r>
  <r>
    <x v="2"/>
    <d v="2026-06-03T15:30:23"/>
    <x v="0"/>
    <n v="69550116"/>
    <n v="364012000000"/>
    <s v="8-906-1946"/>
    <s v="Fijo"/>
    <x v="0"/>
    <x v="0"/>
    <m/>
    <m/>
    <m/>
    <s v="no"/>
    <m/>
    <m/>
    <x v="3"/>
    <m/>
    <x v="0"/>
    <x v="0"/>
    <s v=""/>
    <s v=""/>
    <s v=""/>
    <s v=""/>
  </r>
  <r>
    <x v="2"/>
    <d v="2026-06-03T15:38:32"/>
    <x v="0"/>
    <n v="68463089"/>
    <n v="354196330000"/>
    <s v="8-997-2149"/>
    <s v="Fijo"/>
    <x v="0"/>
    <x v="1"/>
    <s v="Desempleada"/>
    <m/>
    <m/>
    <s v="no"/>
    <m/>
    <m/>
    <x v="3"/>
    <m/>
    <x v="0"/>
    <x v="0"/>
    <s v=""/>
    <s v=""/>
    <s v=""/>
    <s v=""/>
  </r>
  <r>
    <x v="2"/>
    <d v="2026-06-03T15:44:33"/>
    <x v="0"/>
    <n v="62620001"/>
    <n v="363007850000"/>
    <s v="8-887-2130"/>
    <s v="Fijo"/>
    <x v="0"/>
    <x v="0"/>
    <m/>
    <m/>
    <m/>
    <s v="no"/>
    <m/>
    <m/>
    <x v="1"/>
    <m/>
    <x v="0"/>
    <x v="0"/>
    <s v=""/>
    <s v=""/>
    <s v=""/>
    <s v=""/>
  </r>
  <r>
    <x v="2"/>
    <d v="2026-06-03T15:49:40"/>
    <x v="0"/>
    <n v="68326091"/>
    <n v="366005830000"/>
    <s v="3-728-325"/>
    <s v="Fijo"/>
    <x v="0"/>
    <x v="2"/>
    <m/>
    <m/>
    <m/>
    <s v="no"/>
    <m/>
    <m/>
    <x v="3"/>
    <m/>
    <x v="0"/>
    <x v="0"/>
    <s v=""/>
    <s v=""/>
    <s v=""/>
    <s v=""/>
  </r>
  <r>
    <x v="2"/>
    <d v="2026-06-03T16:04:12"/>
    <x v="0"/>
    <n v="65080085"/>
    <n v="366007080000"/>
    <s v="8-881-1803"/>
    <s v="Fijo"/>
    <x v="0"/>
    <x v="2"/>
    <m/>
    <m/>
    <m/>
    <s v="no"/>
    <m/>
    <m/>
    <x v="3"/>
    <m/>
    <x v="0"/>
    <x v="0"/>
    <s v=""/>
    <s v=""/>
    <s v=""/>
    <s v=""/>
  </r>
  <r>
    <x v="2"/>
    <d v="2026-06-03T16:06:22"/>
    <x v="0"/>
    <n v="68587773"/>
    <n v="362008530000"/>
    <s v="10-705-2365"/>
    <s v="Fijo"/>
    <x v="0"/>
    <x v="6"/>
    <m/>
    <m/>
    <m/>
    <s v="no"/>
    <m/>
    <m/>
    <x v="0"/>
    <m/>
    <x v="0"/>
    <x v="0"/>
    <s v=""/>
    <s v=""/>
    <s v=""/>
    <s v=""/>
  </r>
  <r>
    <x v="2"/>
    <d v="2026-06-03T16:08:33"/>
    <x v="0"/>
    <n v="66257200"/>
    <n v="336035180000"/>
    <s v="8-763-1043"/>
    <s v="Fijo"/>
    <x v="0"/>
    <x v="6"/>
    <m/>
    <m/>
    <m/>
    <s v="no"/>
    <m/>
    <m/>
    <x v="0"/>
    <m/>
    <x v="0"/>
    <x v="0"/>
    <s v=""/>
    <s v=""/>
    <s v=""/>
    <s v=""/>
  </r>
  <r>
    <x v="2"/>
    <d v="2026-06-03T16:12:35"/>
    <x v="0"/>
    <n v="63857304"/>
    <n v="362010700000"/>
    <s v="8-998-904"/>
    <s v="Fijo"/>
    <x v="0"/>
    <x v="2"/>
    <m/>
    <m/>
    <m/>
    <s v="no"/>
    <m/>
    <m/>
    <x v="1"/>
    <m/>
    <x v="0"/>
    <x v="0"/>
    <s v=""/>
    <s v=""/>
    <s v=""/>
    <s v=""/>
  </r>
  <r>
    <x v="2"/>
    <d v="2026-06-03T16:15:52"/>
    <x v="0"/>
    <n v="62466715"/>
    <n v="369006660000"/>
    <s v="8-792-1280"/>
    <s v="Fijo"/>
    <x v="0"/>
    <x v="6"/>
    <m/>
    <m/>
    <m/>
    <s v="no"/>
    <m/>
    <m/>
    <x v="1"/>
    <m/>
    <x v="0"/>
    <x v="0"/>
    <s v=""/>
    <s v=""/>
    <s v=""/>
    <s v=""/>
  </r>
  <r>
    <x v="2"/>
    <d v="2026-06-03T16:19:30"/>
    <x v="0"/>
    <n v="66558002"/>
    <n v="366011780000"/>
    <s v="3-712-1732"/>
    <s v="Fijo"/>
    <x v="0"/>
    <x v="1"/>
    <s v="Desempleada"/>
    <m/>
    <m/>
    <s v="no"/>
    <m/>
    <m/>
    <x v="1"/>
    <m/>
    <x v="0"/>
    <x v="0"/>
    <s v=""/>
    <s v=""/>
    <s v=""/>
    <s v=""/>
  </r>
  <r>
    <x v="2"/>
    <d v="2026-06-03T16:23:32"/>
    <x v="0"/>
    <n v="61647645"/>
    <n v="368008220000"/>
    <s v="3-761-2309"/>
    <s v="Fijo"/>
    <x v="0"/>
    <x v="2"/>
    <m/>
    <m/>
    <m/>
    <s v="no"/>
    <m/>
    <m/>
    <x v="3"/>
    <m/>
    <x v="0"/>
    <x v="0"/>
    <s v=""/>
    <s v=""/>
    <s v=""/>
    <s v=""/>
  </r>
  <r>
    <x v="2"/>
    <d v="2026-06-03T16:26:30"/>
    <x v="0"/>
    <n v="69185227"/>
    <n v="363005140000"/>
    <s v="8-1054-506"/>
    <s v="Fijo"/>
    <x v="0"/>
    <x v="6"/>
    <m/>
    <m/>
    <m/>
    <s v="no"/>
    <m/>
    <m/>
    <x v="3"/>
    <m/>
    <x v="0"/>
    <x v="0"/>
    <s v=""/>
    <s v=""/>
    <s v=""/>
    <s v=""/>
  </r>
  <r>
    <x v="2"/>
    <d v="2026-06-03T16:29:06"/>
    <x v="0"/>
    <n v="64737651"/>
    <n v="364008810000"/>
    <s v="8-925-1400"/>
    <s v="Fijo"/>
    <x v="0"/>
    <x v="5"/>
    <m/>
    <m/>
    <m/>
    <s v="si"/>
    <d v="2026-06-02T00:00:00"/>
    <m/>
    <x v="1"/>
    <m/>
    <x v="2"/>
    <x v="0"/>
    <s v="02/jun"/>
    <s v=""/>
    <s v=""/>
    <n v="1"/>
  </r>
  <r>
    <x v="2"/>
    <d v="2026-06-03T16:33:39"/>
    <x v="0"/>
    <n v="68119213"/>
    <n v="368010160000"/>
    <s v="E-8-71060"/>
    <s v="Fijo"/>
    <x v="0"/>
    <x v="0"/>
    <m/>
    <m/>
    <m/>
    <s v="no"/>
    <m/>
    <m/>
    <x v="2"/>
    <m/>
    <x v="0"/>
    <x v="0"/>
    <s v=""/>
    <s v=""/>
    <s v=""/>
    <s v=""/>
  </r>
  <r>
    <x v="2"/>
    <d v="2026-06-03T16:35:39"/>
    <x v="0"/>
    <n v="69984531"/>
    <n v="362006100000"/>
    <s v="8-765-51"/>
    <s v="Fijo"/>
    <x v="0"/>
    <x v="6"/>
    <m/>
    <m/>
    <m/>
    <s v="no"/>
    <m/>
    <m/>
    <x v="0"/>
    <m/>
    <x v="0"/>
    <x v="0"/>
    <s v=""/>
    <s v=""/>
    <s v=""/>
    <s v=""/>
  </r>
  <r>
    <x v="2"/>
    <d v="2026-06-03T16:39:11"/>
    <x v="0"/>
    <n v="65979191"/>
    <n v="367010560000"/>
    <s v="4-769-2415"/>
    <s v="Fijo"/>
    <x v="0"/>
    <x v="2"/>
    <m/>
    <m/>
    <m/>
    <s v="no"/>
    <m/>
    <m/>
    <x v="1"/>
    <m/>
    <x v="0"/>
    <x v="0"/>
    <s v=""/>
    <s v=""/>
    <s v=""/>
    <s v=""/>
  </r>
  <r>
    <x v="2"/>
    <d v="2026-06-03T16:41:20"/>
    <x v="0"/>
    <n v="68364042"/>
    <n v="361009980000"/>
    <s v="E-8-77217"/>
    <s v="Fijo"/>
    <x v="2"/>
    <x v="6"/>
    <m/>
    <m/>
    <m/>
    <s v="no"/>
    <m/>
    <m/>
    <x v="1"/>
    <m/>
    <x v="0"/>
    <x v="0"/>
    <s v=""/>
    <s v=""/>
    <s v=""/>
    <s v=""/>
  </r>
  <r>
    <x v="2"/>
    <d v="2026-06-03T16:44:41"/>
    <x v="0"/>
    <n v="66484934"/>
    <n v="367010650000"/>
    <s v="6-721-176"/>
    <s v="Fijo"/>
    <x v="2"/>
    <x v="0"/>
    <m/>
    <m/>
    <m/>
    <s v="no"/>
    <m/>
    <m/>
    <x v="2"/>
    <m/>
    <x v="0"/>
    <x v="0"/>
    <s v=""/>
    <s v=""/>
    <s v=""/>
    <s v=""/>
  </r>
  <r>
    <x v="2"/>
    <d v="2026-06-03T16:51:49"/>
    <x v="0"/>
    <n v="65675141"/>
    <n v="363009000000"/>
    <s v="AU195051"/>
    <s v="Fijo"/>
    <x v="0"/>
    <x v="2"/>
    <m/>
    <m/>
    <m/>
    <s v="no"/>
    <m/>
    <m/>
    <x v="3"/>
    <m/>
    <x v="0"/>
    <x v="0"/>
    <s v=""/>
    <s v=""/>
    <s v=""/>
    <s v=""/>
  </r>
  <r>
    <x v="2"/>
    <d v="2026-06-03T16:54:07"/>
    <x v="0"/>
    <n v="68575575"/>
    <n v="154058290000"/>
    <s v="8-748-1351"/>
    <s v="Fijo"/>
    <x v="0"/>
    <x v="6"/>
    <m/>
    <m/>
    <m/>
    <s v="no"/>
    <m/>
    <m/>
    <x v="0"/>
    <m/>
    <x v="0"/>
    <x v="0"/>
    <s v=""/>
    <s v=""/>
    <s v=""/>
    <s v=""/>
  </r>
  <r>
    <x v="2"/>
    <d v="2026-06-03T16:57:10"/>
    <x v="0"/>
    <n v="60146263"/>
    <n v="369013330000"/>
    <s v="8-1061-2059"/>
    <s v="Fijo"/>
    <x v="0"/>
    <x v="0"/>
    <m/>
    <m/>
    <m/>
    <s v="no"/>
    <m/>
    <m/>
    <x v="3"/>
    <m/>
    <x v="0"/>
    <x v="0"/>
    <s v=""/>
    <s v=""/>
    <s v=""/>
    <s v=""/>
  </r>
  <r>
    <x v="2"/>
    <d v="2026-06-03T17:01:41"/>
    <x v="0"/>
    <n v="67890543"/>
    <n v="368010580000"/>
    <s v="8-522-1667"/>
    <s v="Fijo"/>
    <x v="0"/>
    <x v="2"/>
    <m/>
    <m/>
    <m/>
    <s v="no"/>
    <m/>
    <m/>
    <x v="3"/>
    <m/>
    <x v="0"/>
    <x v="0"/>
    <s v=""/>
    <s v=""/>
    <s v=""/>
    <s v=""/>
  </r>
  <r>
    <x v="2"/>
    <d v="2026-06-03T17:04:22"/>
    <x v="0"/>
    <n v="66230673"/>
    <n v="365011550000"/>
    <s v="10-712-17"/>
    <s v="Fijo"/>
    <x v="0"/>
    <x v="2"/>
    <m/>
    <m/>
    <m/>
    <s v="no"/>
    <m/>
    <m/>
    <x v="1"/>
    <m/>
    <x v="0"/>
    <x v="0"/>
    <s v=""/>
    <s v=""/>
    <s v=""/>
    <s v=""/>
  </r>
  <r>
    <x v="2"/>
    <d v="2026-06-03T17:18:43"/>
    <x v="0"/>
    <n v="69710973"/>
    <n v="369056820000"/>
    <n v="179147236"/>
    <s v="Fijo"/>
    <x v="1"/>
    <x v="1"/>
    <m/>
    <m/>
    <m/>
    <s v="si"/>
    <d v="2026-06-02T00:00:00"/>
    <n v="27.02"/>
    <x v="0"/>
    <s v="Cumple promesa de abono."/>
    <x v="2"/>
    <x v="0"/>
    <s v="02/jun"/>
    <s v=""/>
    <s v=""/>
    <n v="1"/>
  </r>
  <r>
    <x v="2"/>
    <d v="2026-06-03T17:27:32"/>
    <x v="0"/>
    <n v="64701986"/>
    <n v="303032830000"/>
    <s v="3-738-1347"/>
    <s v="Fijo"/>
    <x v="3"/>
    <x v="6"/>
    <m/>
    <m/>
    <m/>
    <s v="no"/>
    <m/>
    <m/>
    <x v="0"/>
    <m/>
    <x v="0"/>
    <x v="0"/>
    <s v=""/>
    <s v=""/>
    <s v=""/>
    <s v=""/>
  </r>
  <r>
    <x v="2"/>
    <d v="2026-06-03T17:31:18"/>
    <x v="0"/>
    <n v="65712096"/>
    <n v="365008770000"/>
    <s v="8-1042-854"/>
    <s v="Fijo"/>
    <x v="0"/>
    <x v="2"/>
    <m/>
    <m/>
    <m/>
    <s v="no"/>
    <m/>
    <m/>
    <x v="3"/>
    <m/>
    <x v="0"/>
    <x v="0"/>
    <s v=""/>
    <s v=""/>
    <s v=""/>
    <s v=""/>
  </r>
  <r>
    <x v="2"/>
    <d v="2026-06-03T17:34:36"/>
    <x v="0"/>
    <n v="68880415"/>
    <n v="367011930000"/>
    <s v="9-749-19"/>
    <s v="Fijo"/>
    <x v="0"/>
    <x v="5"/>
    <m/>
    <m/>
    <m/>
    <s v="si"/>
    <d v="2026-05-30T00:00:00"/>
    <m/>
    <x v="1"/>
    <m/>
    <x v="1"/>
    <x v="0"/>
    <s v="30/may"/>
    <s v=""/>
    <s v=""/>
    <n v="1"/>
  </r>
  <r>
    <x v="2"/>
    <d v="2026-06-03T17:37:28"/>
    <x v="0"/>
    <n v="64883347"/>
    <n v="368014210000"/>
    <n v="187320623"/>
    <s v="Fijo"/>
    <x v="0"/>
    <x v="2"/>
    <m/>
    <m/>
    <m/>
    <s v="no"/>
    <m/>
    <m/>
    <x v="3"/>
    <m/>
    <x v="0"/>
    <x v="0"/>
    <s v=""/>
    <s v=""/>
    <s v=""/>
    <s v=""/>
  </r>
  <r>
    <x v="3"/>
    <d v="2026-06-04T09:06:34"/>
    <x v="0"/>
    <n v="64494708"/>
    <n v="369014590000"/>
    <s v="4-755-2474"/>
    <s v="Fijo"/>
    <x v="0"/>
    <x v="2"/>
    <m/>
    <m/>
    <m/>
    <s v="no"/>
    <m/>
    <m/>
    <x v="2"/>
    <m/>
    <x v="0"/>
    <x v="0"/>
    <s v=""/>
    <s v=""/>
    <s v=""/>
    <s v=""/>
  </r>
  <r>
    <x v="3"/>
    <d v="2026-06-04T09:11:58"/>
    <x v="0"/>
    <n v="68463089"/>
    <n v="354196330000"/>
    <s v="8-997-2149"/>
    <s v="Fijo"/>
    <x v="0"/>
    <x v="1"/>
    <m/>
    <m/>
    <m/>
    <s v="no"/>
    <m/>
    <m/>
    <x v="3"/>
    <m/>
    <x v="0"/>
    <x v="0"/>
    <s v=""/>
    <s v=""/>
    <s v=""/>
    <s v=""/>
  </r>
  <r>
    <x v="3"/>
    <d v="2026-06-04T09:16:41"/>
    <x v="0"/>
    <n v="68326091"/>
    <n v="366005830000"/>
    <s v="3-728-325"/>
    <s v="Fijo"/>
    <x v="0"/>
    <x v="2"/>
    <m/>
    <m/>
    <m/>
    <s v="no"/>
    <m/>
    <m/>
    <x v="3"/>
    <m/>
    <x v="0"/>
    <x v="0"/>
    <s v=""/>
    <s v=""/>
    <s v=""/>
    <s v=""/>
  </r>
  <r>
    <x v="3"/>
    <d v="2026-06-04T09:19:40"/>
    <x v="0"/>
    <n v="67887976"/>
    <n v="369010570000"/>
    <s v="8-881-622"/>
    <s v="Fijo"/>
    <x v="0"/>
    <x v="2"/>
    <m/>
    <m/>
    <m/>
    <s v="no"/>
    <m/>
    <m/>
    <x v="3"/>
    <m/>
    <x v="0"/>
    <x v="0"/>
    <s v=""/>
    <s v=""/>
    <s v=""/>
    <s v=""/>
  </r>
  <r>
    <x v="3"/>
    <d v="2026-06-04T09:28:41"/>
    <x v="0"/>
    <n v="69605477"/>
    <n v="369007970000"/>
    <s v="8-799-428"/>
    <s v="Fijo"/>
    <x v="0"/>
    <x v="7"/>
    <m/>
    <m/>
    <m/>
    <s v="no"/>
    <m/>
    <m/>
    <x v="1"/>
    <m/>
    <x v="0"/>
    <x v="0"/>
    <s v=""/>
    <s v=""/>
    <s v=""/>
    <s v=""/>
  </r>
  <r>
    <x v="3"/>
    <d v="2026-06-04T09:32:19"/>
    <x v="0"/>
    <n v="68303645"/>
    <n v="366010260000"/>
    <s v="5-716-1708"/>
    <s v="Fijo"/>
    <x v="0"/>
    <x v="3"/>
    <m/>
    <m/>
    <m/>
    <s v="no"/>
    <m/>
    <m/>
    <x v="3"/>
    <s v="69785282 titular"/>
    <x v="0"/>
    <x v="0"/>
    <s v=""/>
    <s v=""/>
    <s v=""/>
    <s v=""/>
  </r>
  <r>
    <x v="3"/>
    <d v="2026-06-04T09:35:28"/>
    <x v="0"/>
    <n v="64024594"/>
    <n v="367012450000"/>
    <s v="10-706-1839"/>
    <s v="Fijo"/>
    <x v="0"/>
    <x v="6"/>
    <m/>
    <m/>
    <m/>
    <s v="no"/>
    <m/>
    <m/>
    <x v="0"/>
    <m/>
    <x v="0"/>
    <x v="0"/>
    <s v=""/>
    <s v=""/>
    <s v=""/>
    <s v=""/>
  </r>
  <r>
    <x v="3"/>
    <d v="2026-06-04T09:37:57"/>
    <x v="0"/>
    <n v="68211838"/>
    <n v="368011420000"/>
    <s v="9-746-1198"/>
    <s v="Fijo"/>
    <x v="0"/>
    <x v="6"/>
    <m/>
    <m/>
    <m/>
    <s v="no"/>
    <m/>
    <m/>
    <x v="0"/>
    <m/>
    <x v="0"/>
    <x v="0"/>
    <s v=""/>
    <s v=""/>
    <s v=""/>
    <s v=""/>
  </r>
  <r>
    <x v="3"/>
    <d v="2026-06-04T09:40:51"/>
    <x v="0"/>
    <n v="67127141"/>
    <n v="296054960000"/>
    <s v="8-840-1324"/>
    <s v="Fijo"/>
    <x v="3"/>
    <x v="6"/>
    <m/>
    <m/>
    <m/>
    <s v="no"/>
    <m/>
    <m/>
    <x v="3"/>
    <m/>
    <x v="0"/>
    <x v="0"/>
    <s v=""/>
    <s v=""/>
    <s v=""/>
    <s v=""/>
  </r>
  <r>
    <x v="3"/>
    <d v="2026-06-04T09:48:58"/>
    <x v="0"/>
    <n v="66153227"/>
    <n v="363014190000"/>
    <s v="4-837-1645"/>
    <s v="Fijo"/>
    <x v="0"/>
    <x v="2"/>
    <m/>
    <m/>
    <m/>
    <s v="no"/>
    <m/>
    <m/>
    <x v="3"/>
    <m/>
    <x v="0"/>
    <x v="0"/>
    <s v=""/>
    <s v=""/>
    <s v=""/>
    <s v=""/>
  </r>
  <r>
    <x v="3"/>
    <d v="2026-06-04T09:55:35"/>
    <x v="0"/>
    <n v="63500846"/>
    <n v="361013340000"/>
    <s v="10-714-2028"/>
    <s v="Fijo"/>
    <x v="0"/>
    <x v="3"/>
    <m/>
    <m/>
    <m/>
    <s v="no"/>
    <m/>
    <m/>
    <x v="3"/>
    <m/>
    <x v="0"/>
    <x v="0"/>
    <s v=""/>
    <s v=""/>
    <s v=""/>
    <s v=""/>
  </r>
  <r>
    <x v="3"/>
    <d v="2026-06-04T09:59:26"/>
    <x v="0"/>
    <n v="65294266"/>
    <n v="361013330000"/>
    <s v="8-007-281"/>
    <s v="Fijo"/>
    <x v="0"/>
    <x v="2"/>
    <m/>
    <m/>
    <m/>
    <s v="no"/>
    <m/>
    <m/>
    <x v="1"/>
    <m/>
    <x v="0"/>
    <x v="0"/>
    <s v=""/>
    <s v=""/>
    <s v=""/>
    <s v=""/>
  </r>
  <r>
    <x v="3"/>
    <d v="2026-06-04T10:02:47"/>
    <x v="0"/>
    <n v="67082818"/>
    <n v="362011030000"/>
    <s v="8-441-11"/>
    <s v="Fijo"/>
    <x v="0"/>
    <x v="6"/>
    <m/>
    <m/>
    <m/>
    <s v="no"/>
    <m/>
    <m/>
    <x v="0"/>
    <m/>
    <x v="0"/>
    <x v="0"/>
    <s v=""/>
    <s v=""/>
    <s v=""/>
    <s v=""/>
  </r>
  <r>
    <x v="3"/>
    <d v="2026-06-04T10:18:39"/>
    <x v="0"/>
    <n v="64296356"/>
    <n v="351247450000"/>
    <s v="3-730-2220"/>
    <s v="Fijo"/>
    <x v="0"/>
    <x v="6"/>
    <m/>
    <m/>
    <m/>
    <s v="no"/>
    <m/>
    <m/>
    <x v="0"/>
    <m/>
    <x v="0"/>
    <x v="0"/>
    <s v=""/>
    <s v=""/>
    <s v=""/>
    <s v=""/>
  </r>
  <r>
    <x v="3"/>
    <d v="2026-06-04T10:22:06"/>
    <x v="0"/>
    <n v="68211872"/>
    <n v="368014280000"/>
    <s v="Bf558050"/>
    <s v="Fijo"/>
    <x v="2"/>
    <x v="2"/>
    <m/>
    <m/>
    <m/>
    <s v="no"/>
    <m/>
    <m/>
    <x v="0"/>
    <m/>
    <x v="0"/>
    <x v="0"/>
    <s v=""/>
    <s v=""/>
    <s v=""/>
    <s v=""/>
  </r>
  <r>
    <x v="3"/>
    <d v="2026-06-04T10:25:53"/>
    <x v="0"/>
    <n v="63835021"/>
    <n v="362012510000"/>
    <s v="5-712-2177"/>
    <s v="Fijo"/>
    <x v="0"/>
    <x v="6"/>
    <m/>
    <m/>
    <m/>
    <s v="no"/>
    <m/>
    <m/>
    <x v="0"/>
    <m/>
    <x v="0"/>
    <x v="0"/>
    <s v=""/>
    <s v=""/>
    <s v=""/>
    <s v=""/>
  </r>
  <r>
    <x v="3"/>
    <d v="2026-06-04T10:41:52"/>
    <x v="0"/>
    <n v="63393120"/>
    <n v="353244970000"/>
    <s v="2-106-1509"/>
    <s v="Fijo"/>
    <x v="0"/>
    <x v="1"/>
    <s v="Situación económica"/>
    <d v="2026-06-15T00:00:00"/>
    <n v="50"/>
    <s v="no"/>
    <m/>
    <m/>
    <x v="1"/>
    <m/>
    <x v="0"/>
    <x v="1"/>
    <s v=""/>
    <s v="15/jun"/>
    <n v="1"/>
    <s v=""/>
  </r>
  <r>
    <x v="3"/>
    <d v="2026-06-04T10:46:45"/>
    <x v="0"/>
    <n v="69868393"/>
    <n v="362016470000"/>
    <s v="8-784-361"/>
    <s v="Fijo"/>
    <x v="3"/>
    <x v="6"/>
    <m/>
    <m/>
    <m/>
    <s v="no"/>
    <m/>
    <m/>
    <x v="0"/>
    <m/>
    <x v="0"/>
    <x v="0"/>
    <s v=""/>
    <s v=""/>
    <s v=""/>
    <s v=""/>
  </r>
  <r>
    <x v="3"/>
    <d v="2026-06-04T10:49:38"/>
    <x v="0"/>
    <n v="64364799"/>
    <n v="365014860000"/>
    <s v="8-201-1311"/>
    <s v="Fijo"/>
    <x v="0"/>
    <x v="6"/>
    <m/>
    <m/>
    <m/>
    <s v="no"/>
    <m/>
    <m/>
    <x v="0"/>
    <m/>
    <x v="0"/>
    <x v="0"/>
    <s v=""/>
    <s v=""/>
    <s v=""/>
    <s v=""/>
  </r>
  <r>
    <x v="3"/>
    <d v="2026-06-04T10:54:59"/>
    <x v="0"/>
    <n v="64011148"/>
    <n v="368006620000"/>
    <s v="3-754-1766"/>
    <s v="Fijo"/>
    <x v="0"/>
    <x v="1"/>
    <m/>
    <m/>
    <m/>
    <s v="no"/>
    <m/>
    <m/>
    <x v="2"/>
    <s v="Se encontraba de licencia."/>
    <x v="0"/>
    <x v="0"/>
    <s v=""/>
    <s v=""/>
    <s v=""/>
    <s v=""/>
  </r>
  <r>
    <x v="3"/>
    <d v="2026-06-04T10:58:32"/>
    <x v="0"/>
    <n v="66599184"/>
    <n v="297068920000"/>
    <s v="8-839-1532"/>
    <s v="Fijo"/>
    <x v="0"/>
    <x v="2"/>
    <m/>
    <m/>
    <m/>
    <s v="no"/>
    <m/>
    <m/>
    <x v="3"/>
    <m/>
    <x v="0"/>
    <x v="0"/>
    <s v=""/>
    <s v=""/>
    <s v=""/>
    <s v=""/>
  </r>
  <r>
    <x v="3"/>
    <d v="2026-06-04T11:01:13"/>
    <x v="0"/>
    <n v="67542007"/>
    <n v="362013760000"/>
    <n v="312109"/>
    <s v="Fijo"/>
    <x v="0"/>
    <x v="6"/>
    <m/>
    <m/>
    <m/>
    <s v="no"/>
    <m/>
    <m/>
    <x v="0"/>
    <m/>
    <x v="0"/>
    <x v="0"/>
    <s v=""/>
    <s v=""/>
    <s v=""/>
    <s v=""/>
  </r>
  <r>
    <x v="3"/>
    <d v="2026-06-04T11:05:17"/>
    <x v="0"/>
    <n v="68466612"/>
    <n v="364006210000"/>
    <s v="8-1002-2265"/>
    <s v="Fijo"/>
    <x v="0"/>
    <x v="0"/>
    <m/>
    <m/>
    <m/>
    <s v="no"/>
    <m/>
    <m/>
    <x v="1"/>
    <m/>
    <x v="0"/>
    <x v="0"/>
    <s v=""/>
    <s v=""/>
    <s v=""/>
    <s v=""/>
  </r>
  <r>
    <x v="3"/>
    <d v="2026-06-04T11:08:43"/>
    <x v="0"/>
    <n v="66056107"/>
    <n v="368014530000"/>
    <s v="2-709-2020"/>
    <s v="Fijo"/>
    <x v="0"/>
    <x v="6"/>
    <m/>
    <m/>
    <m/>
    <s v="no"/>
    <m/>
    <m/>
    <x v="0"/>
    <m/>
    <x v="0"/>
    <x v="0"/>
    <s v=""/>
    <s v=""/>
    <s v=""/>
    <s v=""/>
  </r>
  <r>
    <x v="3"/>
    <d v="2026-06-04T11:14:15"/>
    <x v="0"/>
    <n v="61698682"/>
    <n v="367015400000"/>
    <s v="2-748-1509"/>
    <s v="Fijo"/>
    <x v="0"/>
    <x v="2"/>
    <m/>
    <m/>
    <m/>
    <s v="no"/>
    <m/>
    <m/>
    <x v="3"/>
    <m/>
    <x v="0"/>
    <x v="0"/>
    <s v=""/>
    <s v=""/>
    <s v=""/>
    <s v=""/>
  </r>
  <r>
    <x v="3"/>
    <d v="2026-06-04T11:19:45"/>
    <x v="0"/>
    <n v="65194547"/>
    <n v="366016460000"/>
    <s v="8-872-512"/>
    <s v="Fijo"/>
    <x v="0"/>
    <x v="3"/>
    <m/>
    <m/>
    <m/>
    <s v="no"/>
    <m/>
    <m/>
    <x v="3"/>
    <m/>
    <x v="0"/>
    <x v="0"/>
    <s v=""/>
    <s v=""/>
    <s v=""/>
    <s v=""/>
  </r>
  <r>
    <x v="3"/>
    <d v="2026-06-04T11:22:38"/>
    <x v="0"/>
    <n v="65077219"/>
    <n v="361016910000"/>
    <s v="8-901-7164"/>
    <s v="Fijo"/>
    <x v="0"/>
    <x v="6"/>
    <m/>
    <m/>
    <m/>
    <s v="no"/>
    <m/>
    <m/>
    <x v="0"/>
    <m/>
    <x v="0"/>
    <x v="0"/>
    <s v=""/>
    <s v=""/>
    <s v=""/>
    <s v=""/>
  </r>
  <r>
    <x v="3"/>
    <d v="2026-06-04T11:26:19"/>
    <x v="0"/>
    <n v="61989416"/>
    <n v="362008590000"/>
    <s v="10-709-2357"/>
    <s v="Fijo"/>
    <x v="0"/>
    <x v="2"/>
    <m/>
    <m/>
    <m/>
    <s v="no"/>
    <m/>
    <m/>
    <x v="3"/>
    <m/>
    <x v="0"/>
    <x v="0"/>
    <s v=""/>
    <s v=""/>
    <s v=""/>
    <s v=""/>
  </r>
  <r>
    <x v="3"/>
    <d v="2026-06-04T11:31:29"/>
    <x v="0"/>
    <n v="69455189"/>
    <n v="369010770000"/>
    <s v="10-715-601"/>
    <s v="Fijo"/>
    <x v="0"/>
    <x v="2"/>
    <m/>
    <m/>
    <m/>
    <s v="no"/>
    <m/>
    <m/>
    <x v="3"/>
    <m/>
    <x v="0"/>
    <x v="0"/>
    <s v=""/>
    <s v=""/>
    <s v=""/>
    <s v=""/>
  </r>
  <r>
    <x v="3"/>
    <d v="2026-06-04T11:34:41"/>
    <x v="0"/>
    <n v="66015214"/>
    <n v="368012950000"/>
    <s v="XDF207091"/>
    <s v="Fijo"/>
    <x v="0"/>
    <x v="2"/>
    <m/>
    <m/>
    <m/>
    <s v="no"/>
    <m/>
    <m/>
    <x v="3"/>
    <m/>
    <x v="0"/>
    <x v="0"/>
    <s v=""/>
    <s v=""/>
    <s v=""/>
    <s v=""/>
  </r>
  <r>
    <x v="3"/>
    <d v="2026-06-04T11:44:55"/>
    <x v="0"/>
    <n v="68983295"/>
    <n v="361014320000"/>
    <s v="8-957-400"/>
    <s v="Fijo"/>
    <x v="0"/>
    <x v="7"/>
    <m/>
    <m/>
    <m/>
    <s v="no"/>
    <m/>
    <m/>
    <x v="3"/>
    <m/>
    <x v="0"/>
    <x v="0"/>
    <s v=""/>
    <s v=""/>
    <s v=""/>
    <s v=""/>
  </r>
  <r>
    <x v="3"/>
    <d v="2026-06-04T11:52:52"/>
    <x v="0"/>
    <n v="62474885"/>
    <n v="365016660000"/>
    <s v="8-1014-1424"/>
    <s v="Fijo"/>
    <x v="0"/>
    <x v="3"/>
    <m/>
    <m/>
    <m/>
    <s v="no"/>
    <m/>
    <m/>
    <x v="3"/>
    <m/>
    <x v="0"/>
    <x v="0"/>
    <s v=""/>
    <s v=""/>
    <s v=""/>
    <s v=""/>
  </r>
  <r>
    <x v="3"/>
    <d v="2026-06-04T11:56:02"/>
    <x v="0"/>
    <n v="65227543"/>
    <n v="351262510000"/>
    <s v="4-207-596"/>
    <s v="Fijo"/>
    <x v="0"/>
    <x v="6"/>
    <m/>
    <m/>
    <m/>
    <s v="no"/>
    <m/>
    <m/>
    <x v="0"/>
    <m/>
    <x v="0"/>
    <x v="0"/>
    <s v=""/>
    <s v=""/>
    <s v=""/>
    <s v=""/>
  </r>
  <r>
    <x v="3"/>
    <d v="2026-06-04T12:00:22"/>
    <x v="0"/>
    <n v="63182320"/>
    <n v="362014680000"/>
    <s v="8-794-1225"/>
    <s v="Fijo"/>
    <x v="0"/>
    <x v="6"/>
    <m/>
    <m/>
    <m/>
    <s v="no"/>
    <m/>
    <m/>
    <x v="0"/>
    <m/>
    <x v="0"/>
    <x v="0"/>
    <s v=""/>
    <s v=""/>
    <s v=""/>
    <s v=""/>
  </r>
  <r>
    <x v="3"/>
    <d v="2026-06-04T12:02:56"/>
    <x v="0"/>
    <n v="66637565"/>
    <n v="364014840000"/>
    <s v="2-87-2011"/>
    <s v="Fijo"/>
    <x v="0"/>
    <x v="6"/>
    <m/>
    <m/>
    <m/>
    <s v="no"/>
    <m/>
    <m/>
    <x v="0"/>
    <m/>
    <x v="0"/>
    <x v="0"/>
    <s v=""/>
    <s v=""/>
    <s v=""/>
    <s v=""/>
  </r>
  <r>
    <x v="3"/>
    <d v="2026-06-04T12:04:40"/>
    <x v="0"/>
    <n v="69518046"/>
    <n v="365015760000"/>
    <s v="8-269-773"/>
    <s v="Fijo"/>
    <x v="0"/>
    <x v="6"/>
    <m/>
    <m/>
    <m/>
    <s v="no"/>
    <m/>
    <m/>
    <x v="3"/>
    <m/>
    <x v="0"/>
    <x v="0"/>
    <s v=""/>
    <s v=""/>
    <s v=""/>
    <s v=""/>
  </r>
  <r>
    <x v="3"/>
    <d v="2026-06-04T12:08:41"/>
    <x v="0"/>
    <n v="63043914"/>
    <n v="364016910000"/>
    <s v="BH312441"/>
    <s v="Fijo"/>
    <x v="0"/>
    <x v="6"/>
    <m/>
    <m/>
    <m/>
    <s v="no"/>
    <m/>
    <m/>
    <x v="1"/>
    <m/>
    <x v="0"/>
    <x v="0"/>
    <s v=""/>
    <s v=""/>
    <s v=""/>
    <s v=""/>
  </r>
  <r>
    <x v="3"/>
    <d v="2026-06-04T12:12:17"/>
    <x v="0"/>
    <n v="68905432"/>
    <n v="366016880000"/>
    <s v="8-375-872"/>
    <s v="Fijo"/>
    <x v="0"/>
    <x v="0"/>
    <m/>
    <m/>
    <m/>
    <s v="no"/>
    <m/>
    <m/>
    <x v="1"/>
    <m/>
    <x v="0"/>
    <x v="0"/>
    <s v=""/>
    <s v=""/>
    <s v=""/>
    <s v=""/>
  </r>
  <r>
    <x v="3"/>
    <d v="2026-06-04T12:15:29"/>
    <x v="0"/>
    <n v="61320444"/>
    <n v="362007470000"/>
    <s v="3-720-2349"/>
    <s v="Fijo"/>
    <x v="0"/>
    <x v="6"/>
    <m/>
    <m/>
    <m/>
    <s v="no"/>
    <m/>
    <m/>
    <x v="3"/>
    <m/>
    <x v="0"/>
    <x v="0"/>
    <s v=""/>
    <s v=""/>
    <s v=""/>
    <s v=""/>
  </r>
  <r>
    <x v="3"/>
    <d v="2026-06-04T12:19:45"/>
    <x v="0"/>
    <n v="63200713"/>
    <n v="364011660000"/>
    <s v="8-786-1969"/>
    <s v="Fijo"/>
    <x v="0"/>
    <x v="2"/>
    <m/>
    <m/>
    <m/>
    <s v="no"/>
    <m/>
    <m/>
    <x v="3"/>
    <m/>
    <x v="0"/>
    <x v="0"/>
    <s v=""/>
    <s v=""/>
    <s v=""/>
    <s v=""/>
  </r>
  <r>
    <x v="3"/>
    <d v="2026-06-04T12:22:32"/>
    <x v="0"/>
    <n v="65566105"/>
    <n v="365007830000"/>
    <s v="2-746-1771"/>
    <s v="Fijo"/>
    <x v="0"/>
    <x v="2"/>
    <m/>
    <m/>
    <m/>
    <s v="no"/>
    <m/>
    <m/>
    <x v="3"/>
    <m/>
    <x v="0"/>
    <x v="0"/>
    <s v=""/>
    <s v=""/>
    <s v=""/>
    <s v=""/>
  </r>
  <r>
    <x v="3"/>
    <d v="2026-06-04T12:27:01"/>
    <x v="0"/>
    <n v="66463899"/>
    <n v="365015690000"/>
    <s v="8-511-473"/>
    <s v="Fijo"/>
    <x v="2"/>
    <x v="7"/>
    <m/>
    <m/>
    <m/>
    <s v="no"/>
    <m/>
    <m/>
    <x v="0"/>
    <m/>
    <x v="0"/>
    <x v="0"/>
    <s v=""/>
    <s v=""/>
    <s v=""/>
    <s v=""/>
  </r>
  <r>
    <x v="3"/>
    <d v="2026-06-04T12:31:43"/>
    <x v="0"/>
    <n v="66631972"/>
    <n v="367015970000"/>
    <s v="8-948-349"/>
    <s v="Fijo"/>
    <x v="0"/>
    <x v="1"/>
    <m/>
    <d v="2026-06-05T00:00:00"/>
    <n v="3.21"/>
    <s v="no"/>
    <m/>
    <m/>
    <x v="1"/>
    <m/>
    <x v="0"/>
    <x v="1"/>
    <s v=""/>
    <s v="05/jun"/>
    <n v="1"/>
    <s v=""/>
  </r>
  <r>
    <x v="3"/>
    <d v="2026-06-04T12:35:16"/>
    <x v="0"/>
    <n v="63337433"/>
    <n v="363013180000"/>
    <s v="9-734-1042"/>
    <s v="Fijo"/>
    <x v="0"/>
    <x v="6"/>
    <m/>
    <m/>
    <m/>
    <s v="no"/>
    <m/>
    <m/>
    <x v="0"/>
    <m/>
    <x v="0"/>
    <x v="0"/>
    <s v=""/>
    <s v=""/>
    <s v=""/>
    <s v=""/>
  </r>
  <r>
    <x v="3"/>
    <d v="2026-06-04T12:40:10"/>
    <x v="0"/>
    <n v="62710477"/>
    <n v="369013080000"/>
    <s v="8-1055-146"/>
    <s v="Fijo"/>
    <x v="4"/>
    <x v="7"/>
    <m/>
    <m/>
    <m/>
    <s v="no"/>
    <m/>
    <m/>
    <x v="1"/>
    <m/>
    <x v="0"/>
    <x v="0"/>
    <s v=""/>
    <s v=""/>
    <s v=""/>
    <s v=""/>
  </r>
  <r>
    <x v="3"/>
    <d v="2026-06-04T12:48:12"/>
    <x v="0"/>
    <n v="69686466"/>
    <n v="363013770000"/>
    <s v="3-53-106"/>
    <s v="Fijo"/>
    <x v="0"/>
    <x v="2"/>
    <m/>
    <m/>
    <m/>
    <s v="no"/>
    <m/>
    <m/>
    <x v="3"/>
    <m/>
    <x v="0"/>
    <x v="0"/>
    <s v=""/>
    <s v=""/>
    <s v=""/>
    <s v=""/>
  </r>
  <r>
    <x v="3"/>
    <d v="2026-06-04T12:54:16"/>
    <x v="0"/>
    <n v="63189537"/>
    <n v="368014360000"/>
    <s v="3-756-2112"/>
    <s v="Fijo"/>
    <x v="0"/>
    <x v="2"/>
    <m/>
    <m/>
    <m/>
    <s v="no"/>
    <m/>
    <m/>
    <x v="3"/>
    <m/>
    <x v="0"/>
    <x v="0"/>
    <s v=""/>
    <s v=""/>
    <s v=""/>
    <s v=""/>
  </r>
  <r>
    <x v="3"/>
    <d v="2026-06-04T12:57:31"/>
    <x v="0"/>
    <n v="68129364"/>
    <n v="364016430000"/>
    <s v="11-700-412"/>
    <s v="Fijo"/>
    <x v="0"/>
    <x v="3"/>
    <m/>
    <m/>
    <m/>
    <s v="no"/>
    <m/>
    <m/>
    <x v="3"/>
    <m/>
    <x v="0"/>
    <x v="0"/>
    <s v=""/>
    <s v=""/>
    <s v=""/>
    <s v=""/>
  </r>
  <r>
    <x v="3"/>
    <d v="2026-06-04T14:05:50"/>
    <x v="0"/>
    <n v="66930362"/>
    <n v="353325540000"/>
    <s v="8-488-199"/>
    <s v="Fijo"/>
    <x v="0"/>
    <x v="6"/>
    <m/>
    <m/>
    <m/>
    <s v="no"/>
    <m/>
    <m/>
    <x v="3"/>
    <m/>
    <x v="0"/>
    <x v="0"/>
    <s v=""/>
    <s v=""/>
    <s v=""/>
    <s v=""/>
  </r>
  <r>
    <x v="3"/>
    <d v="2026-06-04T14:11:58"/>
    <x v="0"/>
    <n v="65910205"/>
    <n v="365018580000"/>
    <s v="8-1068-1829"/>
    <s v="Fijo"/>
    <x v="0"/>
    <x v="2"/>
    <m/>
    <m/>
    <m/>
    <s v="no"/>
    <m/>
    <m/>
    <x v="3"/>
    <m/>
    <x v="0"/>
    <x v="0"/>
    <s v=""/>
    <s v=""/>
    <s v=""/>
    <s v=""/>
  </r>
  <r>
    <x v="3"/>
    <d v="2026-06-04T14:14:54"/>
    <x v="0"/>
    <n v="61374396"/>
    <n v="367016460000"/>
    <s v="8-865-2450"/>
    <s v="Fijo"/>
    <x v="0"/>
    <x v="6"/>
    <m/>
    <m/>
    <m/>
    <s v="no"/>
    <m/>
    <m/>
    <x v="3"/>
    <m/>
    <x v="0"/>
    <x v="0"/>
    <s v=""/>
    <s v=""/>
    <s v=""/>
    <s v=""/>
  </r>
  <r>
    <x v="3"/>
    <d v="2026-06-04T14:17:46"/>
    <x v="0"/>
    <n v="63845888"/>
    <n v="362012860000"/>
    <s v="3-723-1928"/>
    <s v="Fijo"/>
    <x v="1"/>
    <x v="2"/>
    <m/>
    <m/>
    <m/>
    <s v="no"/>
    <m/>
    <m/>
    <x v="2"/>
    <m/>
    <x v="0"/>
    <x v="0"/>
    <s v=""/>
    <s v=""/>
    <s v=""/>
    <s v=""/>
  </r>
  <r>
    <x v="3"/>
    <d v="2026-06-04T14:22:45"/>
    <x v="0"/>
    <n v="69787829"/>
    <n v="258018770000"/>
    <s v="8-899-34"/>
    <s v="Fijo"/>
    <x v="0"/>
    <x v="2"/>
    <m/>
    <m/>
    <m/>
    <s v="no"/>
    <m/>
    <m/>
    <x v="1"/>
    <m/>
    <x v="0"/>
    <x v="0"/>
    <s v=""/>
    <s v=""/>
    <s v=""/>
    <s v=""/>
  </r>
  <r>
    <x v="3"/>
    <d v="2026-06-04T14:24:06"/>
    <x v="0"/>
    <n v="67890543"/>
    <n v="364008120000"/>
    <s v="8-926-1422"/>
    <s v="Fijo"/>
    <x v="0"/>
    <x v="6"/>
    <m/>
    <m/>
    <m/>
    <s v="no"/>
    <m/>
    <m/>
    <x v="0"/>
    <m/>
    <x v="0"/>
    <x v="0"/>
    <s v=""/>
    <s v=""/>
    <s v=""/>
    <s v=""/>
  </r>
  <r>
    <x v="3"/>
    <d v="2026-06-04T14:31:11"/>
    <x v="0"/>
    <n v="63916363"/>
    <n v="363016010000"/>
    <s v="8-1038-1551"/>
    <s v="Fijo"/>
    <x v="0"/>
    <x v="7"/>
    <m/>
    <m/>
    <m/>
    <s v="no"/>
    <m/>
    <m/>
    <x v="3"/>
    <m/>
    <x v="0"/>
    <x v="0"/>
    <s v=""/>
    <s v=""/>
    <s v=""/>
    <s v=""/>
  </r>
  <r>
    <x v="3"/>
    <d v="2026-06-04T14:33:47"/>
    <x v="0"/>
    <n v="69058902"/>
    <n v="361014640000"/>
    <s v="1-735-121"/>
    <s v="Fijo"/>
    <x v="0"/>
    <x v="5"/>
    <m/>
    <m/>
    <m/>
    <s v="si"/>
    <d v="2026-05-23T00:00:00"/>
    <m/>
    <x v="2"/>
    <m/>
    <x v="1"/>
    <x v="0"/>
    <s v="23/may"/>
    <s v=""/>
    <s v=""/>
    <n v="1"/>
  </r>
  <r>
    <x v="3"/>
    <d v="2026-06-04T14:36:03"/>
    <x v="0"/>
    <n v="65822235"/>
    <n v="361017650000"/>
    <s v="4-751-763"/>
    <s v="Fijo"/>
    <x v="0"/>
    <x v="6"/>
    <m/>
    <m/>
    <m/>
    <s v="no"/>
    <m/>
    <m/>
    <x v="0"/>
    <m/>
    <x v="0"/>
    <x v="0"/>
    <s v=""/>
    <s v=""/>
    <s v=""/>
    <s v=""/>
  </r>
  <r>
    <x v="3"/>
    <d v="2026-06-04T14:38:31"/>
    <x v="0"/>
    <n v="68613542"/>
    <n v="365014890000"/>
    <s v="8-447-504"/>
    <s v="Fijo"/>
    <x v="0"/>
    <x v="3"/>
    <m/>
    <m/>
    <m/>
    <s v="no"/>
    <m/>
    <m/>
    <x v="2"/>
    <m/>
    <x v="0"/>
    <x v="0"/>
    <s v=""/>
    <s v=""/>
    <s v=""/>
    <s v=""/>
  </r>
  <r>
    <x v="3"/>
    <d v="2026-06-04T14:41:25"/>
    <x v="0"/>
    <n v="69300475"/>
    <n v="352067960000"/>
    <s v="8-876-910"/>
    <s v="Fijo"/>
    <x v="0"/>
    <x v="6"/>
    <m/>
    <m/>
    <m/>
    <s v="no"/>
    <m/>
    <m/>
    <x v="1"/>
    <m/>
    <x v="0"/>
    <x v="0"/>
    <s v=""/>
    <s v=""/>
    <s v=""/>
    <s v=""/>
  </r>
  <r>
    <x v="3"/>
    <d v="2026-06-04T14:46:09"/>
    <x v="0"/>
    <n v="63968835"/>
    <n v="359264140000"/>
    <s v="8-865-1901"/>
    <s v="Fijo"/>
    <x v="0"/>
    <x v="2"/>
    <m/>
    <m/>
    <m/>
    <s v="no"/>
    <m/>
    <m/>
    <x v="3"/>
    <m/>
    <x v="0"/>
    <x v="0"/>
    <s v=""/>
    <s v=""/>
    <s v=""/>
    <s v=""/>
  </r>
  <r>
    <x v="3"/>
    <d v="2026-06-04T14:49:45"/>
    <x v="0"/>
    <n v="63058274"/>
    <n v="361014760000"/>
    <s v="9-84-354"/>
    <s v="Fijo"/>
    <x v="0"/>
    <x v="6"/>
    <m/>
    <m/>
    <m/>
    <s v="no"/>
    <m/>
    <m/>
    <x v="0"/>
    <m/>
    <x v="0"/>
    <x v="0"/>
    <s v=""/>
    <s v=""/>
    <s v=""/>
    <s v=""/>
  </r>
  <r>
    <x v="3"/>
    <d v="2026-06-04T14:55:01"/>
    <x v="0"/>
    <n v="65077219"/>
    <n v="365017290000"/>
    <s v="8-832-211"/>
    <s v="Fijo"/>
    <x v="0"/>
    <x v="6"/>
    <m/>
    <m/>
    <m/>
    <s v="no"/>
    <m/>
    <m/>
    <x v="0"/>
    <m/>
    <x v="0"/>
    <x v="0"/>
    <s v=""/>
    <s v=""/>
    <s v=""/>
    <s v=""/>
  </r>
  <r>
    <x v="3"/>
    <d v="2026-06-04T14:56:29"/>
    <x v="0"/>
    <n v="65077219"/>
    <n v="365017290000"/>
    <s v="8-832-211"/>
    <s v="Fijo"/>
    <x v="0"/>
    <x v="6"/>
    <m/>
    <m/>
    <m/>
    <s v="no"/>
    <m/>
    <m/>
    <x v="0"/>
    <m/>
    <x v="0"/>
    <x v="0"/>
    <s v=""/>
    <s v=""/>
    <s v=""/>
    <s v=""/>
  </r>
  <r>
    <x v="3"/>
    <d v="2026-06-04T15:00:54"/>
    <x v="0"/>
    <n v="63916067"/>
    <n v="363007240000"/>
    <s v="8-1024-159"/>
    <s v="Fijo"/>
    <x v="0"/>
    <x v="7"/>
    <m/>
    <m/>
    <m/>
    <s v="no"/>
    <m/>
    <m/>
    <x v="3"/>
    <m/>
    <x v="0"/>
    <x v="0"/>
    <s v=""/>
    <s v=""/>
    <s v=""/>
    <s v=""/>
  </r>
  <r>
    <x v="3"/>
    <d v="2026-06-04T15:05:33"/>
    <x v="0"/>
    <n v="62712490"/>
    <n v="361019610000"/>
    <s v="8-456-717"/>
    <s v="Fijo"/>
    <x v="0"/>
    <x v="6"/>
    <m/>
    <m/>
    <m/>
    <s v="no"/>
    <m/>
    <m/>
    <x v="3"/>
    <m/>
    <x v="0"/>
    <x v="0"/>
    <s v=""/>
    <s v=""/>
    <s v=""/>
    <s v=""/>
  </r>
  <r>
    <x v="3"/>
    <d v="2026-06-04T15:12:28"/>
    <x v="0"/>
    <n v="68342815"/>
    <n v="365012970000"/>
    <s v="8-810-2035"/>
    <s v="Fijo"/>
    <x v="0"/>
    <x v="0"/>
    <m/>
    <m/>
    <m/>
    <s v="no"/>
    <m/>
    <m/>
    <x v="3"/>
    <m/>
    <x v="0"/>
    <x v="0"/>
    <s v=""/>
    <s v=""/>
    <s v=""/>
    <s v=""/>
  </r>
  <r>
    <x v="3"/>
    <d v="2026-06-04T15:15:47"/>
    <x v="0"/>
    <n v="68905432"/>
    <n v="357036960000"/>
    <s v="8-1042-1604"/>
    <s v="Fijo"/>
    <x v="0"/>
    <x v="6"/>
    <m/>
    <m/>
    <m/>
    <s v="no"/>
    <m/>
    <m/>
    <x v="0"/>
    <m/>
    <x v="0"/>
    <x v="0"/>
    <s v=""/>
    <s v=""/>
    <s v=""/>
    <s v=""/>
  </r>
  <r>
    <x v="3"/>
    <d v="2026-06-04T15:20:52"/>
    <x v="0"/>
    <n v="65136735"/>
    <n v="362016740000"/>
    <s v="3-728-1943"/>
    <s v="Fijo"/>
    <x v="0"/>
    <x v="1"/>
    <m/>
    <m/>
    <m/>
    <s v="no"/>
    <m/>
    <m/>
    <x v="1"/>
    <s v="Indica solicito el cese de la cuenta y no lo realizaron."/>
    <x v="0"/>
    <x v="0"/>
    <s v=""/>
    <s v=""/>
    <s v=""/>
    <s v=""/>
  </r>
  <r>
    <x v="3"/>
    <d v="2026-06-04T15:26:02"/>
    <x v="0"/>
    <n v="68926032"/>
    <n v="367018910000"/>
    <s v="8-734-1906"/>
    <s v="Fijo"/>
    <x v="0"/>
    <x v="2"/>
    <m/>
    <m/>
    <m/>
    <s v="no"/>
    <m/>
    <m/>
    <x v="1"/>
    <m/>
    <x v="0"/>
    <x v="0"/>
    <s v=""/>
    <s v=""/>
    <s v=""/>
    <s v=""/>
  </r>
  <r>
    <x v="3"/>
    <d v="2026-06-04T15:30:21"/>
    <x v="0"/>
    <n v="64443816"/>
    <n v="368018640000"/>
    <s v="8-954-559"/>
    <s v="Fijo"/>
    <x v="2"/>
    <x v="2"/>
    <m/>
    <m/>
    <m/>
    <s v="no"/>
    <m/>
    <m/>
    <x v="1"/>
    <m/>
    <x v="0"/>
    <x v="0"/>
    <s v=""/>
    <s v=""/>
    <s v=""/>
    <s v=""/>
  </r>
  <r>
    <x v="3"/>
    <d v="2026-06-04T15:37:47"/>
    <x v="0"/>
    <n v="66513486"/>
    <n v="327083610000"/>
    <s v="6-723-943"/>
    <s v="Fijo"/>
    <x v="0"/>
    <x v="1"/>
    <m/>
    <d v="2026-06-06T00:00:00"/>
    <n v="20.149999999999999"/>
    <s v="no"/>
    <m/>
    <m/>
    <x v="2"/>
    <m/>
    <x v="0"/>
    <x v="1"/>
    <s v=""/>
    <s v="06/jun"/>
    <n v="1"/>
    <s v=""/>
  </r>
  <r>
    <x v="3"/>
    <d v="2026-06-04T15:47:53"/>
    <x v="0"/>
    <n v="66274099"/>
    <n v="361002480000"/>
    <s v="PN0212896"/>
    <s v="Fijo"/>
    <x v="0"/>
    <x v="1"/>
    <m/>
    <d v="2026-06-05T00:00:00"/>
    <n v="31.68"/>
    <s v="no"/>
    <m/>
    <m/>
    <x v="1"/>
    <m/>
    <x v="0"/>
    <x v="1"/>
    <s v=""/>
    <s v="05/jun"/>
    <n v="1"/>
    <s v=""/>
  </r>
  <r>
    <x v="3"/>
    <d v="2026-06-04T16:00:36"/>
    <x v="0"/>
    <n v="61071807"/>
    <n v="357186870000"/>
    <s v="8-813-1496"/>
    <s v="Fijo"/>
    <x v="0"/>
    <x v="1"/>
    <m/>
    <d v="2026-06-05T00:00:00"/>
    <n v="40"/>
    <s v="no"/>
    <m/>
    <m/>
    <x v="1"/>
    <m/>
    <x v="0"/>
    <x v="1"/>
    <s v=""/>
    <s v="05/jun"/>
    <n v="1"/>
    <s v=""/>
  </r>
  <r>
    <x v="3"/>
    <d v="2026-06-04T16:09:49"/>
    <x v="0"/>
    <n v="66103004"/>
    <n v="353339160000"/>
    <s v="8-794-503"/>
    <s v="Fijo"/>
    <x v="4"/>
    <x v="9"/>
    <m/>
    <m/>
    <m/>
    <s v="no"/>
    <m/>
    <m/>
    <x v="3"/>
    <m/>
    <x v="0"/>
    <x v="0"/>
    <s v=""/>
    <s v=""/>
    <s v=""/>
    <s v=""/>
  </r>
  <r>
    <x v="3"/>
    <d v="2026-06-04T16:16:20"/>
    <x v="0"/>
    <n v="64960054"/>
    <n v="995063180000"/>
    <s v="3-709-223"/>
    <s v="Fijo"/>
    <x v="0"/>
    <x v="1"/>
    <s v="Situación económica"/>
    <m/>
    <m/>
    <s v="no"/>
    <m/>
    <m/>
    <x v="0"/>
    <m/>
    <x v="0"/>
    <x v="0"/>
    <s v=""/>
    <s v=""/>
    <s v=""/>
    <s v=""/>
  </r>
  <r>
    <x v="3"/>
    <d v="2026-06-04T16:25:02"/>
    <x v="0"/>
    <n v="65030461"/>
    <n v="351337410000"/>
    <s v="8-375-723"/>
    <s v="Fijo"/>
    <x v="3"/>
    <x v="5"/>
    <m/>
    <m/>
    <m/>
    <s v="si"/>
    <d v="2026-06-02T00:00:00"/>
    <n v="44.35"/>
    <x v="0"/>
    <m/>
    <x v="2"/>
    <x v="0"/>
    <s v="02/jun"/>
    <s v=""/>
    <s v=""/>
    <n v="1"/>
  </r>
  <r>
    <x v="3"/>
    <d v="2026-06-04T16:33:57"/>
    <x v="0"/>
    <n v="65354420"/>
    <n v="201032510000"/>
    <s v="8-452-123"/>
    <s v="Fijo"/>
    <x v="3"/>
    <x v="5"/>
    <m/>
    <m/>
    <m/>
    <s v="si"/>
    <d v="2026-06-03T00:00:00"/>
    <n v="31.48"/>
    <x v="3"/>
    <s v="Cumple promesa."/>
    <x v="2"/>
    <x v="0"/>
    <s v="03/jun"/>
    <s v=""/>
    <s v=""/>
    <n v="1"/>
  </r>
  <r>
    <x v="3"/>
    <d v="2026-06-04T16:39:33"/>
    <x v="0"/>
    <n v="69188458"/>
    <n v="368006870000"/>
    <s v="8-114-204"/>
    <s v="Fijo"/>
    <x v="0"/>
    <x v="5"/>
    <m/>
    <m/>
    <m/>
    <s v="si"/>
    <d v="2026-06-02T00:00:00"/>
    <n v="20"/>
    <x v="1"/>
    <s v="Cumple promesa."/>
    <x v="2"/>
    <x v="0"/>
    <s v="02/jun"/>
    <s v=""/>
    <s v=""/>
    <n v="1"/>
  </r>
  <r>
    <x v="3"/>
    <d v="2026-06-04T16:51:15"/>
    <x v="0"/>
    <n v="67115436"/>
    <n v="364018050000"/>
    <s v="10-706-638"/>
    <s v="Fijo"/>
    <x v="4"/>
    <x v="6"/>
    <m/>
    <m/>
    <m/>
    <s v="no"/>
    <m/>
    <m/>
    <x v="0"/>
    <m/>
    <x v="0"/>
    <x v="0"/>
    <s v=""/>
    <s v=""/>
    <s v=""/>
    <s v=""/>
  </r>
  <r>
    <x v="3"/>
    <d v="2026-06-04T16:54:21"/>
    <x v="0"/>
    <n v="65125950"/>
    <n v="361006550000"/>
    <s v="3-727-1067"/>
    <s v="Fijo"/>
    <x v="0"/>
    <x v="6"/>
    <m/>
    <m/>
    <m/>
    <s v="no"/>
    <m/>
    <m/>
    <x v="0"/>
    <m/>
    <x v="0"/>
    <x v="0"/>
    <s v=""/>
    <s v=""/>
    <s v=""/>
    <s v=""/>
  </r>
  <r>
    <x v="3"/>
    <d v="2026-06-04T16:57:46"/>
    <x v="0"/>
    <n v="61424372"/>
    <n v="365016750000"/>
    <s v="8-1052-1094"/>
    <s v="Fijo"/>
    <x v="0"/>
    <x v="5"/>
    <m/>
    <m/>
    <m/>
    <s v="si"/>
    <d v="2026-06-01T00:00:00"/>
    <m/>
    <x v="2"/>
    <m/>
    <x v="2"/>
    <x v="0"/>
    <s v="01/jun"/>
    <s v=""/>
    <s v=""/>
    <n v="1"/>
  </r>
  <r>
    <x v="3"/>
    <d v="2026-06-04T17:02:07"/>
    <x v="0"/>
    <n v="65294266"/>
    <n v="367021500000"/>
    <s v="3-704-877"/>
    <s v="Fijo"/>
    <x v="0"/>
    <x v="2"/>
    <m/>
    <m/>
    <m/>
    <s v="no"/>
    <m/>
    <m/>
    <x v="1"/>
    <m/>
    <x v="0"/>
    <x v="0"/>
    <s v=""/>
    <s v=""/>
    <s v=""/>
    <s v=""/>
  </r>
  <r>
    <x v="3"/>
    <d v="2026-06-04T17:04:45"/>
    <x v="0"/>
    <n v="66123736"/>
    <n v="367021250000"/>
    <s v="8-792-1043"/>
    <s v="Fijo"/>
    <x v="0"/>
    <x v="6"/>
    <m/>
    <m/>
    <m/>
    <s v="no"/>
    <m/>
    <m/>
    <x v="3"/>
    <m/>
    <x v="0"/>
    <x v="0"/>
    <s v=""/>
    <s v=""/>
    <s v=""/>
    <s v=""/>
  </r>
  <r>
    <x v="3"/>
    <d v="2026-06-04T17:07:25"/>
    <x v="0"/>
    <n v="67956645"/>
    <n v="368018740000"/>
    <s v="8-224-2242"/>
    <s v="Fijo"/>
    <x v="0"/>
    <x v="6"/>
    <m/>
    <m/>
    <m/>
    <s v="no"/>
    <m/>
    <m/>
    <x v="0"/>
    <m/>
    <x v="0"/>
    <x v="0"/>
    <s v=""/>
    <s v=""/>
    <s v=""/>
    <s v=""/>
  </r>
  <r>
    <x v="3"/>
    <d v="2026-06-04T17:10:40"/>
    <x v="0"/>
    <n v="68008625"/>
    <n v="368019990000"/>
    <s v="BH536121"/>
    <s v="Fijo"/>
    <x v="0"/>
    <x v="6"/>
    <m/>
    <m/>
    <m/>
    <s v="no"/>
    <m/>
    <m/>
    <x v="3"/>
    <m/>
    <x v="0"/>
    <x v="0"/>
    <s v=""/>
    <s v=""/>
    <s v=""/>
    <s v=""/>
  </r>
  <r>
    <x v="3"/>
    <d v="2026-06-04T17:14:06"/>
    <x v="0"/>
    <n v="63246343"/>
    <n v="358371710000"/>
    <s v="9-157-407"/>
    <s v="Fijo"/>
    <x v="0"/>
    <x v="2"/>
    <m/>
    <m/>
    <m/>
    <s v="no"/>
    <m/>
    <m/>
    <x v="3"/>
    <m/>
    <x v="0"/>
    <x v="0"/>
    <s v=""/>
    <s v=""/>
    <s v=""/>
    <s v=""/>
  </r>
  <r>
    <x v="3"/>
    <d v="2026-06-04T17:16:41"/>
    <x v="0"/>
    <n v="67890543"/>
    <n v="361017120000"/>
    <s v="8-963-1138"/>
    <s v="Fijo"/>
    <x v="0"/>
    <x v="2"/>
    <m/>
    <m/>
    <m/>
    <s v="no"/>
    <m/>
    <m/>
    <x v="0"/>
    <m/>
    <x v="0"/>
    <x v="0"/>
    <s v=""/>
    <s v=""/>
    <s v=""/>
    <s v=""/>
  </r>
  <r>
    <x v="3"/>
    <d v="2026-06-04T17:20:31"/>
    <x v="0"/>
    <n v="67820951"/>
    <n v="364019990000"/>
    <s v="2-60-118"/>
    <s v="Fijo"/>
    <x v="2"/>
    <x v="2"/>
    <m/>
    <m/>
    <m/>
    <s v="no"/>
    <m/>
    <m/>
    <x v="2"/>
    <m/>
    <x v="0"/>
    <x v="0"/>
    <s v=""/>
    <s v=""/>
    <s v=""/>
    <s v=""/>
  </r>
  <r>
    <x v="3"/>
    <d v="2026-06-04T17:26:29"/>
    <x v="0"/>
    <n v="67701108"/>
    <n v="369020630000"/>
    <s v="8-1028-1678"/>
    <s v="Fijo"/>
    <x v="0"/>
    <x v="2"/>
    <m/>
    <m/>
    <m/>
    <s v="no"/>
    <m/>
    <m/>
    <x v="1"/>
    <m/>
    <x v="0"/>
    <x v="0"/>
    <s v=""/>
    <s v=""/>
    <s v=""/>
    <s v=""/>
  </r>
  <r>
    <x v="3"/>
    <d v="2026-06-04T17:30:03"/>
    <x v="0"/>
    <n v="68435503"/>
    <n v="361019980000"/>
    <s v="8-831-2491"/>
    <s v="Fijo"/>
    <x v="0"/>
    <x v="3"/>
    <m/>
    <m/>
    <m/>
    <s v="no"/>
    <m/>
    <m/>
    <x v="2"/>
    <m/>
    <x v="0"/>
    <x v="0"/>
    <s v=""/>
    <s v=""/>
    <s v=""/>
    <s v=""/>
  </r>
  <r>
    <x v="3"/>
    <d v="2026-06-04T17:32:26"/>
    <x v="0"/>
    <n v="64954094"/>
    <n v="369011710000"/>
    <s v="4-725-257"/>
    <s v="Fijo"/>
    <x v="0"/>
    <x v="6"/>
    <m/>
    <m/>
    <m/>
    <s v="no"/>
    <m/>
    <m/>
    <x v="0"/>
    <m/>
    <x v="0"/>
    <x v="0"/>
    <s v=""/>
    <s v=""/>
    <s v=""/>
    <s v=""/>
  </r>
  <r>
    <x v="3"/>
    <d v="2026-06-04T17:34:21"/>
    <x v="0"/>
    <n v="67850361"/>
    <n v="801005870000"/>
    <s v="8-119-797"/>
    <s v="Fijo"/>
    <x v="0"/>
    <x v="6"/>
    <m/>
    <m/>
    <m/>
    <s v="no"/>
    <m/>
    <m/>
    <x v="2"/>
    <m/>
    <x v="0"/>
    <x v="0"/>
    <s v=""/>
    <s v=""/>
    <s v=""/>
    <s v=""/>
  </r>
  <r>
    <x v="3"/>
    <d v="2026-06-04T17:39:42"/>
    <x v="0"/>
    <n v="66875447"/>
    <n v="367019580000"/>
    <s v="3-757-1943"/>
    <s v="Fijo"/>
    <x v="0"/>
    <x v="2"/>
    <m/>
    <m/>
    <m/>
    <s v="no"/>
    <m/>
    <m/>
    <x v="3"/>
    <m/>
    <x v="0"/>
    <x v="0"/>
    <s v=""/>
    <s v=""/>
    <s v=""/>
    <s v=""/>
  </r>
  <r>
    <x v="3"/>
    <d v="2026-06-04T17:41:58"/>
    <x v="0"/>
    <n v="60817631"/>
    <n v="367015830000"/>
    <s v="8-818-23"/>
    <s v="Fijo"/>
    <x v="0"/>
    <x v="7"/>
    <m/>
    <m/>
    <m/>
    <s v="no"/>
    <m/>
    <m/>
    <x v="1"/>
    <m/>
    <x v="0"/>
    <x v="0"/>
    <s v=""/>
    <s v=""/>
    <s v=""/>
    <s v=""/>
  </r>
  <r>
    <x v="3"/>
    <d v="2026-06-04T17:46:21"/>
    <x v="0"/>
    <n v="61954527"/>
    <n v="366018550000"/>
    <s v="10-717-1346"/>
    <s v="Fijo"/>
    <x v="0"/>
    <x v="2"/>
    <m/>
    <m/>
    <m/>
    <s v="no"/>
    <m/>
    <m/>
    <x v="1"/>
    <m/>
    <x v="0"/>
    <x v="0"/>
    <s v=""/>
    <s v=""/>
    <s v=""/>
    <s v=""/>
  </r>
  <r>
    <x v="3"/>
    <d v="2026-06-04T17:51:46"/>
    <x v="0"/>
    <n v="66292976"/>
    <n v="362013050000"/>
    <s v="6-50-347"/>
    <s v="Fijo"/>
    <x v="0"/>
    <x v="3"/>
    <m/>
    <m/>
    <m/>
    <s v="no"/>
    <m/>
    <m/>
    <x v="3"/>
    <m/>
    <x v="0"/>
    <x v="0"/>
    <s v=""/>
    <s v=""/>
    <s v=""/>
    <s v=""/>
  </r>
  <r>
    <x v="3"/>
    <d v="2026-06-04T17:55:50"/>
    <x v="0"/>
    <n v="69212257"/>
    <n v="361019140000"/>
    <s v="8-718-979"/>
    <s v="Fijo"/>
    <x v="0"/>
    <x v="2"/>
    <m/>
    <m/>
    <m/>
    <s v="no"/>
    <m/>
    <m/>
    <x v="3"/>
    <m/>
    <x v="0"/>
    <x v="0"/>
    <s v=""/>
    <s v=""/>
    <s v=""/>
    <s v=""/>
  </r>
  <r>
    <x v="3"/>
    <d v="2026-06-04T17:58:23"/>
    <x v="0"/>
    <n v="66253916"/>
    <n v="353363690000"/>
    <s v="BA147493"/>
    <s v="Fijo"/>
    <x v="0"/>
    <x v="3"/>
    <m/>
    <m/>
    <m/>
    <s v="no"/>
    <m/>
    <m/>
    <x v="1"/>
    <m/>
    <x v="0"/>
    <x v="0"/>
    <s v=""/>
    <s v=""/>
    <s v=""/>
    <s v=""/>
  </r>
  <r>
    <x v="4"/>
    <d v="2026-06-05T09:09:47"/>
    <x v="0"/>
    <n v="65488317"/>
    <n v="368005810000"/>
    <s v="8-416-562"/>
    <s v="Fijo"/>
    <x v="0"/>
    <x v="1"/>
    <s v="Situación económica"/>
    <d v="2026-06-08T00:00:00"/>
    <n v="36"/>
    <s v="no"/>
    <m/>
    <m/>
    <x v="1"/>
    <m/>
    <x v="0"/>
    <x v="1"/>
    <s v=""/>
    <s v="08/jun"/>
    <n v="1"/>
    <s v=""/>
  </r>
  <r>
    <x v="4"/>
    <d v="2026-06-05T09:27:29"/>
    <x v="0"/>
    <n v="66148382"/>
    <n v="362021500000"/>
    <s v="3-107-311"/>
    <s v="Fijo"/>
    <x v="2"/>
    <x v="1"/>
    <m/>
    <d v="2026-06-16T00:00:00"/>
    <n v="44.03"/>
    <s v="no"/>
    <m/>
    <m/>
    <x v="1"/>
    <m/>
    <x v="0"/>
    <x v="1"/>
    <s v=""/>
    <s v="16/jun"/>
    <n v="1"/>
    <s v=""/>
  </r>
  <r>
    <x v="4"/>
    <d v="2026-06-05T09:33:44"/>
    <x v="0"/>
    <n v="64655708"/>
    <n v="339071360000"/>
    <s v="8-928-2226"/>
    <s v="Fijo"/>
    <x v="0"/>
    <x v="2"/>
    <m/>
    <m/>
    <m/>
    <s v="no"/>
    <m/>
    <m/>
    <x v="1"/>
    <m/>
    <x v="0"/>
    <x v="0"/>
    <s v=""/>
    <s v=""/>
    <s v=""/>
    <s v=""/>
  </r>
  <r>
    <x v="4"/>
    <d v="2026-06-05T09:39:16"/>
    <x v="0"/>
    <n v="69332905"/>
    <n v="366017230000"/>
    <s v="10-707-1251"/>
    <s v="Fijo"/>
    <x v="0"/>
    <x v="3"/>
    <m/>
    <m/>
    <m/>
    <s v="no"/>
    <m/>
    <m/>
    <x v="3"/>
    <m/>
    <x v="0"/>
    <x v="0"/>
    <s v=""/>
    <s v=""/>
    <s v=""/>
    <s v=""/>
  </r>
  <r>
    <x v="4"/>
    <d v="2026-06-05T09:41:41"/>
    <x v="0"/>
    <n v="62667442"/>
    <n v="368018360000"/>
    <s v="8-778-313"/>
    <s v="Fijo"/>
    <x v="0"/>
    <x v="6"/>
    <m/>
    <m/>
    <m/>
    <s v="no"/>
    <m/>
    <m/>
    <x v="3"/>
    <m/>
    <x v="0"/>
    <x v="0"/>
    <s v=""/>
    <s v=""/>
    <s v=""/>
    <s v=""/>
  </r>
  <r>
    <x v="4"/>
    <d v="2026-06-05T09:50:34"/>
    <x v="0"/>
    <n v="65132135"/>
    <n v="361016470000"/>
    <s v="8-1045-1303"/>
    <s v="Fijo"/>
    <x v="0"/>
    <x v="2"/>
    <m/>
    <m/>
    <m/>
    <s v="no"/>
    <m/>
    <m/>
    <x v="3"/>
    <s v="63914296/ 64112939 titular"/>
    <x v="0"/>
    <x v="0"/>
    <s v=""/>
    <s v=""/>
    <s v=""/>
    <s v=""/>
  </r>
  <r>
    <x v="4"/>
    <d v="2026-06-05T09:56:25"/>
    <x v="0"/>
    <n v="68056842"/>
    <n v="368016000000"/>
    <s v="10-717-265"/>
    <s v="Fijo"/>
    <x v="0"/>
    <x v="2"/>
    <m/>
    <m/>
    <m/>
    <s v="no"/>
    <m/>
    <m/>
    <x v="1"/>
    <m/>
    <x v="0"/>
    <x v="0"/>
    <s v=""/>
    <s v=""/>
    <s v=""/>
    <s v=""/>
  </r>
  <r>
    <x v="4"/>
    <d v="2026-06-05T10:02:12"/>
    <x v="0"/>
    <n v="63992816"/>
    <n v="369018720000"/>
    <s v="9-756-2437"/>
    <s v="Fijo"/>
    <x v="0"/>
    <x v="2"/>
    <m/>
    <m/>
    <m/>
    <s v="no"/>
    <m/>
    <m/>
    <x v="3"/>
    <m/>
    <x v="0"/>
    <x v="0"/>
    <s v=""/>
    <s v=""/>
    <s v=""/>
    <s v=""/>
  </r>
  <r>
    <x v="4"/>
    <d v="2026-06-05T10:40:24"/>
    <x v="0"/>
    <n v="66819667"/>
    <n v="366021350000"/>
    <s v="4-763-1330"/>
    <s v="Fijo"/>
    <x v="4"/>
    <x v="1"/>
    <m/>
    <d v="2026-06-14T00:00:00"/>
    <n v="25.88"/>
    <s v="no"/>
    <m/>
    <m/>
    <x v="2"/>
    <m/>
    <x v="0"/>
    <x v="1"/>
    <s v=""/>
    <s v="14/jun"/>
    <n v="1"/>
    <s v=""/>
  </r>
  <r>
    <x v="4"/>
    <d v="2026-06-05T10:47:22"/>
    <x v="0"/>
    <n v="67017401"/>
    <n v="363021430000"/>
    <s v="4-734-23"/>
    <s v="Fijo"/>
    <x v="4"/>
    <x v="1"/>
    <s v="Situación económica"/>
    <d v="2026-06-30T00:00:00"/>
    <n v="50"/>
    <s v="no"/>
    <m/>
    <m/>
    <x v="1"/>
    <m/>
    <x v="0"/>
    <x v="1"/>
    <s v=""/>
    <s v="30/jun"/>
    <n v="1"/>
    <s v=""/>
  </r>
  <r>
    <x v="4"/>
    <d v="2026-06-05T10:51:34"/>
    <x v="0"/>
    <n v="67325227"/>
    <n v="363019400000"/>
    <s v="4-109-394"/>
    <s v="Fijo"/>
    <x v="0"/>
    <x v="6"/>
    <m/>
    <m/>
    <m/>
    <s v="no"/>
    <m/>
    <m/>
    <x v="0"/>
    <m/>
    <x v="0"/>
    <x v="0"/>
    <s v=""/>
    <s v=""/>
    <s v=""/>
    <s v=""/>
  </r>
  <r>
    <x v="4"/>
    <d v="2026-06-05T10:56:13"/>
    <x v="0"/>
    <n v="64116796"/>
    <n v="363009000000"/>
    <s v="AU915051"/>
    <s v="Fijo"/>
    <x v="0"/>
    <x v="2"/>
    <m/>
    <m/>
    <m/>
    <s v="no"/>
    <m/>
    <m/>
    <x v="3"/>
    <m/>
    <x v="0"/>
    <x v="0"/>
    <s v=""/>
    <s v=""/>
    <s v=""/>
    <s v=""/>
  </r>
  <r>
    <x v="4"/>
    <d v="2026-06-05T10:58:11"/>
    <x v="0"/>
    <n v="64742350"/>
    <n v="368012480000"/>
    <s v="2-756-2423"/>
    <s v="Fijo"/>
    <x v="0"/>
    <x v="2"/>
    <m/>
    <m/>
    <m/>
    <s v="no"/>
    <m/>
    <m/>
    <x v="3"/>
    <m/>
    <x v="0"/>
    <x v="0"/>
    <s v=""/>
    <s v=""/>
    <s v=""/>
    <s v=""/>
  </r>
  <r>
    <x v="4"/>
    <d v="2026-06-05T11:02:11"/>
    <x v="0"/>
    <n v="63417972"/>
    <n v="367022530000"/>
    <s v="10-28-519"/>
    <s v="Fijo"/>
    <x v="0"/>
    <x v="6"/>
    <m/>
    <m/>
    <m/>
    <s v="no"/>
    <m/>
    <m/>
    <x v="0"/>
    <m/>
    <x v="0"/>
    <x v="0"/>
    <s v=""/>
    <s v=""/>
    <s v=""/>
    <s v=""/>
  </r>
  <r>
    <x v="4"/>
    <d v="2026-06-05T11:03:35"/>
    <x v="0"/>
    <n v="65640329"/>
    <n v="366022540000"/>
    <s v="8-327-350"/>
    <s v="Fijo"/>
    <x v="0"/>
    <x v="6"/>
    <m/>
    <m/>
    <m/>
    <s v="no"/>
    <m/>
    <m/>
    <x v="0"/>
    <m/>
    <x v="0"/>
    <x v="0"/>
    <s v=""/>
    <s v=""/>
    <s v=""/>
    <s v=""/>
  </r>
  <r>
    <x v="4"/>
    <d v="2026-06-05T11:11:01"/>
    <x v="0"/>
    <n v="63593036"/>
    <n v="369021040000"/>
    <s v="8-890-1841"/>
    <s v="Fijo"/>
    <x v="0"/>
    <x v="1"/>
    <s v="Desempleada"/>
    <d v="2026-06-15T00:00:00"/>
    <n v="50"/>
    <s v="no"/>
    <m/>
    <m/>
    <x v="3"/>
    <m/>
    <x v="0"/>
    <x v="1"/>
    <s v=""/>
    <s v="15/jun"/>
    <n v="1"/>
    <s v=""/>
  </r>
  <r>
    <x v="4"/>
    <d v="2026-06-05T11:16:47"/>
    <x v="0"/>
    <n v="67890543"/>
    <n v="364021850000"/>
    <s v="8-952-734"/>
    <s v="Fijo"/>
    <x v="0"/>
    <x v="2"/>
    <m/>
    <m/>
    <m/>
    <s v="no"/>
    <m/>
    <m/>
    <x v="0"/>
    <m/>
    <x v="0"/>
    <x v="0"/>
    <s v=""/>
    <s v=""/>
    <s v=""/>
    <s v=""/>
  </r>
  <r>
    <x v="4"/>
    <d v="2026-06-05T11:20:22"/>
    <x v="0"/>
    <n v="61408492"/>
    <n v="364017280000"/>
    <s v="BE500464"/>
    <s v="Fijo"/>
    <x v="2"/>
    <x v="2"/>
    <m/>
    <m/>
    <m/>
    <s v="no"/>
    <m/>
    <m/>
    <x v="0"/>
    <m/>
    <x v="0"/>
    <x v="0"/>
    <s v=""/>
    <s v=""/>
    <s v=""/>
    <s v=""/>
  </r>
  <r>
    <x v="4"/>
    <d v="2026-06-05T11:26:51"/>
    <x v="0"/>
    <n v="67748938"/>
    <n v="368018700000"/>
    <s v="4-792-837"/>
    <s v="Fijo"/>
    <x v="2"/>
    <x v="2"/>
    <m/>
    <m/>
    <m/>
    <s v="no"/>
    <m/>
    <m/>
    <x v="3"/>
    <m/>
    <x v="0"/>
    <x v="0"/>
    <s v=""/>
    <s v=""/>
    <s v=""/>
    <s v=""/>
  </r>
  <r>
    <x v="4"/>
    <d v="2026-06-05T11:30:59"/>
    <x v="0"/>
    <n v="67432803"/>
    <n v="361021220000"/>
    <s v="6-720-1210"/>
    <s v="Fijo"/>
    <x v="0"/>
    <x v="7"/>
    <m/>
    <m/>
    <m/>
    <s v="no"/>
    <m/>
    <m/>
    <x v="1"/>
    <m/>
    <x v="0"/>
    <x v="0"/>
    <s v=""/>
    <s v=""/>
    <s v=""/>
    <s v=""/>
  </r>
  <r>
    <x v="4"/>
    <d v="2026-06-05T11:34:20"/>
    <x v="0"/>
    <n v="67288491"/>
    <n v="366021820000"/>
    <s v="4-703-544"/>
    <s v="Fijo"/>
    <x v="0"/>
    <x v="6"/>
    <m/>
    <m/>
    <m/>
    <s v="no"/>
    <m/>
    <m/>
    <x v="0"/>
    <m/>
    <x v="0"/>
    <x v="0"/>
    <s v=""/>
    <s v=""/>
    <s v=""/>
    <s v=""/>
  </r>
  <r>
    <x v="4"/>
    <d v="2026-06-05T11:39:24"/>
    <x v="0"/>
    <n v="68313374"/>
    <n v="367021200000"/>
    <s v="4-147-2074"/>
    <s v="Fijo"/>
    <x v="0"/>
    <x v="6"/>
    <m/>
    <m/>
    <m/>
    <s v="no"/>
    <m/>
    <m/>
    <x v="0"/>
    <m/>
    <x v="0"/>
    <x v="0"/>
    <s v=""/>
    <s v=""/>
    <s v=""/>
    <s v=""/>
  </r>
  <r>
    <x v="4"/>
    <d v="2026-06-05T11:42:44"/>
    <x v="0"/>
    <n v="67314803"/>
    <n v="369022570000"/>
    <s v="BE131922"/>
    <s v="Fijo"/>
    <x v="0"/>
    <x v="2"/>
    <m/>
    <m/>
    <m/>
    <s v="no"/>
    <m/>
    <m/>
    <x v="3"/>
    <m/>
    <x v="0"/>
    <x v="0"/>
    <s v=""/>
    <s v=""/>
    <s v=""/>
    <s v=""/>
  </r>
  <r>
    <x v="4"/>
    <d v="2026-06-05T11:49:06"/>
    <x v="0"/>
    <n v="67313552"/>
    <n v="367024300000"/>
    <s v="XDE575212"/>
    <s v="Fijo"/>
    <x v="0"/>
    <x v="7"/>
    <m/>
    <m/>
    <m/>
    <s v="no"/>
    <m/>
    <m/>
    <x v="1"/>
    <m/>
    <x v="0"/>
    <x v="0"/>
    <s v=""/>
    <s v=""/>
    <s v=""/>
    <s v=""/>
  </r>
  <r>
    <x v="4"/>
    <d v="2026-06-05T11:51:49"/>
    <x v="0"/>
    <n v="65077219"/>
    <n v="361024760000"/>
    <s v="8-417-978"/>
    <s v="Fijo"/>
    <x v="0"/>
    <x v="7"/>
    <m/>
    <m/>
    <m/>
    <s v="no"/>
    <m/>
    <m/>
    <x v="3"/>
    <m/>
    <x v="0"/>
    <x v="0"/>
    <s v=""/>
    <s v=""/>
    <s v=""/>
    <s v=""/>
  </r>
  <r>
    <x v="4"/>
    <d v="2026-06-05T11:54:49"/>
    <x v="0"/>
    <n v="67964003"/>
    <n v="366024530000"/>
    <s v="8-802-577"/>
    <s v="Fijo"/>
    <x v="0"/>
    <x v="6"/>
    <m/>
    <m/>
    <m/>
    <s v="no"/>
    <m/>
    <m/>
    <x v="0"/>
    <m/>
    <x v="0"/>
    <x v="0"/>
    <s v=""/>
    <s v=""/>
    <s v=""/>
    <s v=""/>
  </r>
  <r>
    <x v="4"/>
    <d v="2026-06-05T11:56:29"/>
    <x v="0"/>
    <n v="68824497"/>
    <n v="364023730000"/>
    <s v="7-92-1201"/>
    <s v="Fijo"/>
    <x v="0"/>
    <x v="0"/>
    <m/>
    <m/>
    <m/>
    <s v="no"/>
    <m/>
    <m/>
    <x v="3"/>
    <m/>
    <x v="0"/>
    <x v="0"/>
    <s v=""/>
    <s v=""/>
    <s v=""/>
    <s v=""/>
  </r>
  <r>
    <x v="4"/>
    <d v="2026-06-05T12:00:13"/>
    <x v="0"/>
    <n v="64061605"/>
    <n v="367022650000"/>
    <s v="AW666596"/>
    <s v="Fijo"/>
    <x v="0"/>
    <x v="2"/>
    <m/>
    <m/>
    <m/>
    <s v="no"/>
    <m/>
    <m/>
    <x v="1"/>
    <m/>
    <x v="0"/>
    <x v="0"/>
    <s v=""/>
    <s v=""/>
    <s v=""/>
    <s v=""/>
  </r>
  <r>
    <x v="4"/>
    <d v="2026-06-05T12:05:09"/>
    <x v="0"/>
    <n v="67467158"/>
    <n v="361011900000"/>
    <s v="8-1001-1937"/>
    <s v="Fijo"/>
    <x v="0"/>
    <x v="2"/>
    <m/>
    <m/>
    <m/>
    <s v="no"/>
    <m/>
    <m/>
    <x v="1"/>
    <m/>
    <x v="0"/>
    <x v="0"/>
    <s v=""/>
    <s v=""/>
    <s v=""/>
    <s v=""/>
  </r>
  <r>
    <x v="4"/>
    <d v="2026-06-05T12:06:52"/>
    <x v="0"/>
    <n v="68532816"/>
    <n v="369021720000"/>
    <s v="8-956-2364"/>
    <s v="Fijo"/>
    <x v="0"/>
    <x v="6"/>
    <m/>
    <m/>
    <m/>
    <s v="no"/>
    <m/>
    <m/>
    <x v="0"/>
    <m/>
    <x v="0"/>
    <x v="0"/>
    <s v=""/>
    <s v=""/>
    <s v=""/>
    <s v=""/>
  </r>
  <r>
    <x v="4"/>
    <d v="2026-06-05T12:13:15"/>
    <x v="0"/>
    <n v="69601798"/>
    <n v="361023570000"/>
    <s v="8-716-184"/>
    <s v="Fijo"/>
    <x v="0"/>
    <x v="1"/>
    <m/>
    <d v="2026-06-15T00:00:00"/>
    <n v="50"/>
    <s v="no"/>
    <m/>
    <m/>
    <x v="3"/>
    <m/>
    <x v="0"/>
    <x v="1"/>
    <s v=""/>
    <s v="15/jun"/>
    <n v="1"/>
    <s v=""/>
  </r>
  <r>
    <x v="4"/>
    <d v="2026-06-05T12:16:08"/>
    <x v="0"/>
    <n v="69043926"/>
    <n v="217001810000"/>
    <s v="8-331-254"/>
    <s v="Fijo"/>
    <x v="0"/>
    <x v="6"/>
    <m/>
    <m/>
    <m/>
    <s v="no"/>
    <m/>
    <m/>
    <x v="3"/>
    <m/>
    <x v="0"/>
    <x v="0"/>
    <s v=""/>
    <s v=""/>
    <s v=""/>
    <s v=""/>
  </r>
  <r>
    <x v="4"/>
    <d v="2026-06-05T12:19:26"/>
    <x v="0"/>
    <n v="68009374"/>
    <n v="367022970000"/>
    <s v="FB630348"/>
    <s v="Fijo"/>
    <x v="0"/>
    <x v="6"/>
    <m/>
    <m/>
    <m/>
    <s v="no"/>
    <m/>
    <m/>
    <x v="0"/>
    <m/>
    <x v="0"/>
    <x v="0"/>
    <s v=""/>
    <s v=""/>
    <s v=""/>
    <s v=""/>
  </r>
  <r>
    <x v="4"/>
    <d v="2026-06-05T12:22:07"/>
    <x v="0"/>
    <n v="62905565"/>
    <n v="367023580000"/>
    <s v="8-932-2436"/>
    <s v="Fijo"/>
    <x v="0"/>
    <x v="6"/>
    <m/>
    <m/>
    <m/>
    <s v="no"/>
    <m/>
    <m/>
    <x v="0"/>
    <m/>
    <x v="0"/>
    <x v="0"/>
    <s v=""/>
    <s v=""/>
    <s v=""/>
    <s v=""/>
  </r>
  <r>
    <x v="4"/>
    <d v="2026-06-05T12:24:24"/>
    <x v="0"/>
    <n v="69618493"/>
    <n v="368023560000"/>
    <s v="8-94-607"/>
    <s v="Fijo"/>
    <x v="0"/>
    <x v="6"/>
    <m/>
    <m/>
    <m/>
    <s v="no"/>
    <m/>
    <m/>
    <x v="0"/>
    <m/>
    <x v="0"/>
    <x v="0"/>
    <s v=""/>
    <s v=""/>
    <s v=""/>
    <s v=""/>
  </r>
  <r>
    <x v="4"/>
    <d v="2026-06-05T12:27:50"/>
    <x v="0"/>
    <n v="63540344"/>
    <n v="361023160000"/>
    <s v="E-8-236725"/>
    <s v="Fijo"/>
    <x v="2"/>
    <x v="6"/>
    <m/>
    <m/>
    <m/>
    <s v="no"/>
    <m/>
    <m/>
    <x v="0"/>
    <m/>
    <x v="0"/>
    <x v="0"/>
    <s v=""/>
    <s v=""/>
    <s v=""/>
    <s v=""/>
  </r>
  <r>
    <x v="4"/>
    <d v="2026-06-05T12:29:26"/>
    <x v="0"/>
    <n v="62352225"/>
    <n v="365023060000"/>
    <s v="6-711-1030"/>
    <s v="Fijo"/>
    <x v="0"/>
    <x v="6"/>
    <m/>
    <m/>
    <m/>
    <s v="no"/>
    <m/>
    <m/>
    <x v="0"/>
    <m/>
    <x v="0"/>
    <x v="0"/>
    <s v=""/>
    <s v=""/>
    <s v=""/>
    <s v=""/>
  </r>
  <r>
    <x v="4"/>
    <d v="2026-06-05T12:33:26"/>
    <x v="0"/>
    <n v="66469658"/>
    <n v="369019030000"/>
    <s v="7-119-519"/>
    <s v="Fijo"/>
    <x v="0"/>
    <x v="2"/>
    <m/>
    <m/>
    <m/>
    <s v="no"/>
    <m/>
    <m/>
    <x v="3"/>
    <m/>
    <x v="0"/>
    <x v="0"/>
    <s v=""/>
    <s v=""/>
    <s v=""/>
    <s v=""/>
  </r>
  <r>
    <x v="4"/>
    <d v="2026-06-05T12:37:40"/>
    <x v="0"/>
    <n v="62294843"/>
    <n v="272063460000"/>
    <s v="8-898-2194"/>
    <s v="Fijo"/>
    <x v="0"/>
    <x v="2"/>
    <m/>
    <m/>
    <m/>
    <s v="no"/>
    <m/>
    <m/>
    <x v="3"/>
    <m/>
    <x v="0"/>
    <x v="0"/>
    <s v=""/>
    <s v=""/>
    <s v=""/>
    <s v=""/>
  </r>
  <r>
    <x v="4"/>
    <d v="2026-06-05T12:41:58"/>
    <x v="0"/>
    <n v="64377330"/>
    <n v="365022420000"/>
    <s v="4-230-469"/>
    <s v="Fijo"/>
    <x v="0"/>
    <x v="6"/>
    <m/>
    <m/>
    <m/>
    <s v="no"/>
    <m/>
    <m/>
    <x v="3"/>
    <m/>
    <x v="0"/>
    <x v="0"/>
    <s v=""/>
    <s v=""/>
    <s v=""/>
    <s v=""/>
  </r>
  <r>
    <x v="4"/>
    <d v="2026-06-05T12:44:46"/>
    <x v="0"/>
    <n v="62301037"/>
    <n v="369022790000"/>
    <s v="4-179-564"/>
    <s v="Fijo"/>
    <x v="0"/>
    <x v="6"/>
    <m/>
    <m/>
    <m/>
    <s v="no"/>
    <m/>
    <m/>
    <x v="1"/>
    <m/>
    <x v="0"/>
    <x v="0"/>
    <s v=""/>
    <s v=""/>
    <s v=""/>
    <s v=""/>
  </r>
  <r>
    <x v="4"/>
    <d v="2026-06-05T12:49:01"/>
    <x v="0"/>
    <n v="66293335"/>
    <n v="363026120000"/>
    <s v="9-755-801"/>
    <s v="Fijo"/>
    <x v="0"/>
    <x v="2"/>
    <m/>
    <m/>
    <m/>
    <s v="no"/>
    <m/>
    <m/>
    <x v="3"/>
    <m/>
    <x v="0"/>
    <x v="0"/>
    <s v=""/>
    <s v=""/>
    <s v=""/>
    <s v=""/>
  </r>
  <r>
    <x v="4"/>
    <d v="2026-06-05T12:51:14"/>
    <x v="0"/>
    <n v="66580217"/>
    <n v="367025630000"/>
    <s v="8-1046-1765"/>
    <s v="Fijo"/>
    <x v="0"/>
    <x v="6"/>
    <m/>
    <m/>
    <m/>
    <s v="no"/>
    <m/>
    <m/>
    <x v="0"/>
    <m/>
    <x v="0"/>
    <x v="0"/>
    <s v=""/>
    <s v=""/>
    <s v=""/>
    <s v=""/>
  </r>
  <r>
    <x v="4"/>
    <d v="2026-06-05T12:52:48"/>
    <x v="0"/>
    <n v="67890543"/>
    <n v="362024860000"/>
    <s v="2-128-294"/>
    <s v="Fijo"/>
    <x v="0"/>
    <x v="6"/>
    <m/>
    <m/>
    <m/>
    <s v="no"/>
    <m/>
    <m/>
    <x v="0"/>
    <m/>
    <x v="0"/>
    <x v="0"/>
    <s v=""/>
    <s v=""/>
    <s v=""/>
    <s v=""/>
  </r>
  <r>
    <x v="4"/>
    <d v="2026-06-05T12:55:50"/>
    <x v="0"/>
    <n v="68503631"/>
    <n v="366022500000"/>
    <s v="10-717-221"/>
    <s v="Fijo"/>
    <x v="0"/>
    <x v="2"/>
    <m/>
    <m/>
    <m/>
    <s v="no"/>
    <m/>
    <m/>
    <x v="1"/>
    <m/>
    <x v="0"/>
    <x v="0"/>
    <s v=""/>
    <s v=""/>
    <s v=""/>
    <s v=""/>
  </r>
  <r>
    <x v="4"/>
    <d v="2026-06-05T12:58:00"/>
    <x v="0"/>
    <n v="67761449"/>
    <n v="364015470000"/>
    <s v="4-734-2333"/>
    <s v="Fijo"/>
    <x v="2"/>
    <x v="2"/>
    <m/>
    <m/>
    <m/>
    <s v="no"/>
    <m/>
    <m/>
    <x v="2"/>
    <m/>
    <x v="0"/>
    <x v="0"/>
    <s v=""/>
    <s v=""/>
    <s v=""/>
    <s v=""/>
  </r>
  <r>
    <x v="4"/>
    <d v="2026-06-05T14:10:50"/>
    <x v="0"/>
    <n v="64487408"/>
    <n v="366016720000"/>
    <s v="9-764-2208"/>
    <s v="Fijo"/>
    <x v="0"/>
    <x v="1"/>
    <s v="Mala experiencia con la atención"/>
    <m/>
    <m/>
    <s v="no"/>
    <m/>
    <m/>
    <x v="1"/>
    <m/>
    <x v="0"/>
    <x v="0"/>
    <s v=""/>
    <s v=""/>
    <s v=""/>
    <s v=""/>
  </r>
  <r>
    <x v="4"/>
    <d v="2026-06-05T14:15:08"/>
    <x v="0"/>
    <n v="65134740"/>
    <n v="369020340000"/>
    <s v="9-772-917"/>
    <s v="Fijo"/>
    <x v="0"/>
    <x v="7"/>
    <m/>
    <m/>
    <m/>
    <s v="no"/>
    <m/>
    <m/>
    <x v="3"/>
    <m/>
    <x v="0"/>
    <x v="0"/>
    <s v=""/>
    <s v=""/>
    <s v=""/>
    <s v=""/>
  </r>
  <r>
    <x v="4"/>
    <d v="2026-06-05T14:19:45"/>
    <x v="0"/>
    <n v="61784232"/>
    <n v="363026800000"/>
    <s v="8-966-528"/>
    <s v="Fijo"/>
    <x v="3"/>
    <x v="6"/>
    <m/>
    <m/>
    <m/>
    <s v="no"/>
    <m/>
    <m/>
    <x v="1"/>
    <m/>
    <x v="0"/>
    <x v="0"/>
    <s v=""/>
    <s v=""/>
    <s v=""/>
    <s v=""/>
  </r>
  <r>
    <x v="4"/>
    <d v="2026-06-05T14:21:11"/>
    <x v="0"/>
    <n v="67464275"/>
    <n v="369024060000"/>
    <s v="8-761-1861"/>
    <s v="Fijo"/>
    <x v="4"/>
    <x v="6"/>
    <m/>
    <m/>
    <m/>
    <s v="no"/>
    <m/>
    <m/>
    <x v="0"/>
    <m/>
    <x v="0"/>
    <x v="0"/>
    <s v=""/>
    <s v=""/>
    <s v=""/>
    <s v=""/>
  </r>
  <r>
    <x v="4"/>
    <d v="2026-06-05T14:22:53"/>
    <x v="0"/>
    <n v="65150451"/>
    <n v="363025800000"/>
    <s v="4-807-120"/>
    <s v="Fijo"/>
    <x v="0"/>
    <x v="6"/>
    <m/>
    <m/>
    <m/>
    <s v="no"/>
    <m/>
    <m/>
    <x v="3"/>
    <m/>
    <x v="0"/>
    <x v="0"/>
    <s v=""/>
    <s v=""/>
    <s v=""/>
    <s v=""/>
  </r>
  <r>
    <x v="4"/>
    <d v="2026-06-05T14:28:40"/>
    <x v="0"/>
    <n v="63463920"/>
    <n v="369014890000"/>
    <s v="8-871-1760"/>
    <s v="Fijo"/>
    <x v="0"/>
    <x v="2"/>
    <m/>
    <m/>
    <m/>
    <s v="no"/>
    <m/>
    <m/>
    <x v="3"/>
    <m/>
    <x v="0"/>
    <x v="0"/>
    <s v=""/>
    <s v=""/>
    <s v=""/>
    <s v=""/>
  </r>
  <r>
    <x v="4"/>
    <d v="2026-06-05T14:32:41"/>
    <x v="0"/>
    <n v="65446163"/>
    <n v="369024670000"/>
    <s v="9-714-2319"/>
    <s v="Fijo"/>
    <x v="0"/>
    <x v="0"/>
    <m/>
    <m/>
    <m/>
    <s v="no"/>
    <m/>
    <m/>
    <x v="3"/>
    <m/>
    <x v="0"/>
    <x v="0"/>
    <s v=""/>
    <s v=""/>
    <s v=""/>
    <s v=""/>
  </r>
  <r>
    <x v="4"/>
    <d v="2026-06-05T14:34:50"/>
    <x v="0"/>
    <n v="68775539"/>
    <n v="369021260000"/>
    <s v="8-513-1680"/>
    <s v="Fijo"/>
    <x v="0"/>
    <x v="2"/>
    <m/>
    <m/>
    <m/>
    <s v="no"/>
    <m/>
    <m/>
    <x v="3"/>
    <m/>
    <x v="0"/>
    <x v="0"/>
    <s v=""/>
    <s v=""/>
    <s v=""/>
    <s v=""/>
  </r>
  <r>
    <x v="4"/>
    <d v="2026-06-05T14:44:03"/>
    <x v="0"/>
    <n v="66631972"/>
    <n v="367015970000"/>
    <s v="8-948-349"/>
    <s v="Fijo"/>
    <x v="0"/>
    <x v="5"/>
    <m/>
    <m/>
    <m/>
    <s v="si"/>
    <d v="2026-06-05T00:00:00"/>
    <n v="3.21"/>
    <x v="1"/>
    <s v="Cumple pago."/>
    <x v="2"/>
    <x v="0"/>
    <s v="05/jun"/>
    <s v=""/>
    <s v=""/>
    <n v="1"/>
  </r>
  <r>
    <x v="4"/>
    <d v="2026-06-05T14:45:25"/>
    <x v="0"/>
    <n v="67965157"/>
    <n v="362026410000"/>
    <s v="8-748-33"/>
    <s v="Fijo"/>
    <x v="0"/>
    <x v="6"/>
    <m/>
    <m/>
    <m/>
    <s v="no"/>
    <m/>
    <m/>
    <x v="0"/>
    <m/>
    <x v="0"/>
    <x v="0"/>
    <s v=""/>
    <s v=""/>
    <s v=""/>
    <s v=""/>
  </r>
  <r>
    <x v="4"/>
    <d v="2026-06-05T14:53:45"/>
    <x v="0"/>
    <n v="67730910"/>
    <n v="364025810000"/>
    <s v="8-956-1842"/>
    <s v="Fijo"/>
    <x v="0"/>
    <x v="1"/>
    <m/>
    <d v="2026-06-16T00:00:00"/>
    <n v="69"/>
    <s v="si"/>
    <m/>
    <m/>
    <x v="3"/>
    <m/>
    <x v="0"/>
    <x v="1"/>
    <s v=""/>
    <s v="16/jun"/>
    <n v="1"/>
    <s v=""/>
  </r>
  <r>
    <x v="4"/>
    <d v="2026-06-05T14:59:12"/>
    <x v="0"/>
    <n v="66353881"/>
    <n v="364025810000"/>
    <s v="5-722-2145"/>
    <s v="Fijo"/>
    <x v="0"/>
    <x v="2"/>
    <m/>
    <m/>
    <m/>
    <s v="no"/>
    <m/>
    <m/>
    <x v="1"/>
    <m/>
    <x v="0"/>
    <x v="0"/>
    <s v=""/>
    <s v=""/>
    <s v=""/>
    <s v=""/>
  </r>
  <r>
    <x v="4"/>
    <d v="2026-06-05T15:05:11"/>
    <x v="0"/>
    <n v="63423002"/>
    <n v="361020630000"/>
    <s v="4-750-1735"/>
    <s v="Fijo"/>
    <x v="0"/>
    <x v="6"/>
    <m/>
    <m/>
    <m/>
    <s v="no"/>
    <m/>
    <m/>
    <x v="1"/>
    <m/>
    <x v="0"/>
    <x v="0"/>
    <s v=""/>
    <s v=""/>
    <s v=""/>
    <s v=""/>
  </r>
  <r>
    <x v="4"/>
    <d v="2026-06-05T15:07:29"/>
    <x v="0"/>
    <n v="69489691"/>
    <n v="363024520000"/>
    <s v="8-231-714"/>
    <s v="Fijo"/>
    <x v="0"/>
    <x v="6"/>
    <m/>
    <m/>
    <m/>
    <s v="no"/>
    <m/>
    <m/>
    <x v="0"/>
    <m/>
    <x v="0"/>
    <x v="0"/>
    <s v=""/>
    <s v=""/>
    <s v=""/>
    <s v=""/>
  </r>
  <r>
    <x v="4"/>
    <d v="2026-06-05T15:09:25"/>
    <x v="0"/>
    <n v="69786590"/>
    <n v="367024750000"/>
    <s v="2-721-2393"/>
    <s v="Fijo"/>
    <x v="0"/>
    <x v="6"/>
    <m/>
    <m/>
    <m/>
    <s v="no"/>
    <m/>
    <m/>
    <x v="0"/>
    <m/>
    <x v="0"/>
    <x v="0"/>
    <s v=""/>
    <s v=""/>
    <s v=""/>
    <s v=""/>
  </r>
  <r>
    <x v="4"/>
    <d v="2026-06-05T15:12:39"/>
    <x v="0"/>
    <n v="64061725"/>
    <n v="369027470000"/>
    <s v="10-703-1934"/>
    <s v="Fijo"/>
    <x v="3"/>
    <x v="0"/>
    <m/>
    <m/>
    <m/>
    <s v="no"/>
    <m/>
    <m/>
    <x v="3"/>
    <m/>
    <x v="0"/>
    <x v="0"/>
    <s v=""/>
    <s v=""/>
    <s v=""/>
    <s v=""/>
  </r>
  <r>
    <x v="4"/>
    <d v="2026-06-05T15:16:09"/>
    <x v="0"/>
    <n v="62991752"/>
    <n v="345462940000"/>
    <s v="8-946-2043"/>
    <s v="Fijo"/>
    <x v="4"/>
    <x v="2"/>
    <m/>
    <m/>
    <m/>
    <s v="no"/>
    <m/>
    <m/>
    <x v="2"/>
    <m/>
    <x v="0"/>
    <x v="0"/>
    <s v=""/>
    <s v=""/>
    <s v=""/>
    <s v=""/>
  </r>
  <r>
    <x v="4"/>
    <d v="2026-06-05T15:20:06"/>
    <x v="0"/>
    <n v="63904165"/>
    <n v="355343220000"/>
    <s v="8-1044-2445"/>
    <s v="Fijo"/>
    <x v="0"/>
    <x v="3"/>
    <m/>
    <m/>
    <m/>
    <s v="no"/>
    <m/>
    <m/>
    <x v="1"/>
    <m/>
    <x v="0"/>
    <x v="0"/>
    <s v=""/>
    <s v=""/>
    <s v=""/>
    <s v=""/>
  </r>
  <r>
    <x v="4"/>
    <d v="2026-06-05T15:23:18"/>
    <x v="0"/>
    <n v="68871852"/>
    <n v="364025170000"/>
    <s v="AW293543"/>
    <s v="Fijo"/>
    <x v="0"/>
    <x v="2"/>
    <m/>
    <m/>
    <m/>
    <s v="no"/>
    <m/>
    <m/>
    <x v="1"/>
    <m/>
    <x v="0"/>
    <x v="0"/>
    <s v=""/>
    <s v=""/>
    <s v=""/>
    <s v=""/>
  </r>
  <r>
    <x v="4"/>
    <d v="2026-06-05T15:27:21"/>
    <x v="0"/>
    <n v="63219410"/>
    <n v="368023400000"/>
    <s v="8-1021-2301"/>
    <s v="Fijo"/>
    <x v="0"/>
    <x v="2"/>
    <m/>
    <m/>
    <m/>
    <s v="no"/>
    <m/>
    <m/>
    <x v="3"/>
    <m/>
    <x v="0"/>
    <x v="0"/>
    <s v=""/>
    <s v=""/>
    <s v=""/>
    <s v=""/>
  </r>
  <r>
    <x v="4"/>
    <d v="2026-06-05T15:30:49"/>
    <x v="0"/>
    <n v="68646123"/>
    <n v="365026160000"/>
    <s v="5-702-1032"/>
    <s v="Fijo"/>
    <x v="0"/>
    <x v="3"/>
    <m/>
    <m/>
    <m/>
    <s v="no"/>
    <m/>
    <m/>
    <x v="1"/>
    <m/>
    <x v="0"/>
    <x v="0"/>
    <s v=""/>
    <s v=""/>
    <s v=""/>
    <s v=""/>
  </r>
  <r>
    <x v="4"/>
    <d v="2026-06-05T15:42:15"/>
    <x v="0"/>
    <n v="65460407"/>
    <n v="367028750000"/>
    <s v="8-1052-994"/>
    <s v="Fijo"/>
    <x v="0"/>
    <x v="6"/>
    <m/>
    <m/>
    <m/>
    <s v="no"/>
    <m/>
    <m/>
    <x v="0"/>
    <m/>
    <x v="0"/>
    <x v="0"/>
    <s v=""/>
    <s v=""/>
    <s v=""/>
    <s v=""/>
  </r>
  <r>
    <x v="4"/>
    <d v="2026-06-05T15:45:37"/>
    <x v="0"/>
    <n v="66386838"/>
    <n v="364028530000"/>
    <n v="167126182"/>
    <s v="Fijo"/>
    <x v="0"/>
    <x v="2"/>
    <m/>
    <m/>
    <m/>
    <s v="no"/>
    <m/>
    <m/>
    <x v="3"/>
    <m/>
    <x v="0"/>
    <x v="0"/>
    <s v=""/>
    <s v=""/>
    <s v=""/>
    <s v=""/>
  </r>
  <r>
    <x v="4"/>
    <d v="2026-06-05T15:52:24"/>
    <x v="0"/>
    <n v="64303109"/>
    <n v="366028730000"/>
    <s v="8-1052-2250"/>
    <s v="Fijo"/>
    <x v="0"/>
    <x v="2"/>
    <m/>
    <m/>
    <m/>
    <s v="no"/>
    <m/>
    <m/>
    <x v="3"/>
    <m/>
    <x v="0"/>
    <x v="0"/>
    <s v=""/>
    <s v=""/>
    <s v=""/>
    <s v=""/>
  </r>
  <r>
    <x v="4"/>
    <d v="2026-06-05T15:57:09"/>
    <x v="0"/>
    <n v="63553622"/>
    <n v="368028680000"/>
    <s v="10-703-55"/>
    <s v="Fijo"/>
    <x v="0"/>
    <x v="2"/>
    <m/>
    <m/>
    <m/>
    <s v="no"/>
    <m/>
    <m/>
    <x v="3"/>
    <m/>
    <x v="0"/>
    <x v="0"/>
    <s v=""/>
    <s v=""/>
    <s v=""/>
    <s v=""/>
  </r>
  <r>
    <x v="4"/>
    <d v="2026-06-05T16:08:36"/>
    <x v="0"/>
    <n v="64637455"/>
    <n v="366025960000"/>
    <s v="8-1067-258"/>
    <s v="Fijo"/>
    <x v="0"/>
    <x v="3"/>
    <m/>
    <d v="2026-06-16T00:00:00"/>
    <n v="30.99"/>
    <s v="no"/>
    <m/>
    <m/>
    <x v="3"/>
    <m/>
    <x v="0"/>
    <x v="1"/>
    <s v=""/>
    <s v="16/jun"/>
    <n v="1"/>
    <s v=""/>
  </r>
  <r>
    <x v="4"/>
    <d v="2026-06-05T16:12:04"/>
    <x v="0"/>
    <n v="65434191"/>
    <n v="362023080000"/>
    <s v="8-1037-675"/>
    <s v="Fijo"/>
    <x v="0"/>
    <x v="2"/>
    <m/>
    <m/>
    <m/>
    <s v="no"/>
    <m/>
    <m/>
    <x v="1"/>
    <m/>
    <x v="0"/>
    <x v="0"/>
    <s v=""/>
    <s v=""/>
    <s v=""/>
    <s v=""/>
  </r>
  <r>
    <x v="4"/>
    <d v="2026-06-05T16:15:36"/>
    <x v="0"/>
    <n v="64634482"/>
    <n v="369027200000"/>
    <s v="AU423157"/>
    <s v="Fijo"/>
    <x v="0"/>
    <x v="7"/>
    <m/>
    <m/>
    <m/>
    <s v="no"/>
    <m/>
    <m/>
    <x v="3"/>
    <m/>
    <x v="0"/>
    <x v="0"/>
    <s v=""/>
    <s v=""/>
    <s v=""/>
    <s v=""/>
  </r>
  <r>
    <x v="4"/>
    <d v="2026-06-05T16:18:22"/>
    <x v="0"/>
    <n v="67611194"/>
    <n v="155078170000"/>
    <s v="2-46-534"/>
    <s v="Fijo"/>
    <x v="0"/>
    <x v="6"/>
    <m/>
    <m/>
    <m/>
    <s v="no"/>
    <m/>
    <m/>
    <x v="1"/>
    <m/>
    <x v="0"/>
    <x v="0"/>
    <s v=""/>
    <s v=""/>
    <s v=""/>
    <s v=""/>
  </r>
  <r>
    <x v="4"/>
    <d v="2026-06-05T16:22:34"/>
    <x v="0"/>
    <n v="64683071"/>
    <n v="363023100000"/>
    <s v="3-726-1449"/>
    <s v="Fijo"/>
    <x v="0"/>
    <x v="2"/>
    <m/>
    <m/>
    <m/>
    <s v="no"/>
    <m/>
    <m/>
    <x v="1"/>
    <m/>
    <x v="0"/>
    <x v="0"/>
    <s v=""/>
    <s v=""/>
    <s v=""/>
    <s v=""/>
  </r>
  <r>
    <x v="4"/>
    <d v="2026-06-05T16:25:42"/>
    <x v="0"/>
    <n v="61983253"/>
    <n v="363028920000"/>
    <s v="3-704-1993"/>
    <s v="Fijo"/>
    <x v="0"/>
    <x v="6"/>
    <m/>
    <m/>
    <m/>
    <s v="no"/>
    <m/>
    <m/>
    <x v="0"/>
    <m/>
    <x v="0"/>
    <x v="0"/>
    <s v=""/>
    <s v=""/>
    <s v=""/>
    <s v=""/>
  </r>
  <r>
    <x v="4"/>
    <d v="2026-06-05T16:29:12"/>
    <x v="0"/>
    <n v="68276190"/>
    <n v="353352820000"/>
    <s v="3-736-2413"/>
    <s v="Fijo"/>
    <x v="0"/>
    <x v="7"/>
    <m/>
    <m/>
    <m/>
    <s v="no"/>
    <m/>
    <m/>
    <x v="0"/>
    <m/>
    <x v="0"/>
    <x v="0"/>
    <s v=""/>
    <s v=""/>
    <s v=""/>
    <s v=""/>
  </r>
  <r>
    <x v="4"/>
    <d v="2026-06-05T16:32:32"/>
    <x v="0"/>
    <n v="65291177"/>
    <n v="363028380000"/>
    <s v="1-713-941"/>
    <s v="Fijo"/>
    <x v="0"/>
    <x v="2"/>
    <m/>
    <m/>
    <m/>
    <s v="no"/>
    <m/>
    <m/>
    <x v="3"/>
    <m/>
    <x v="0"/>
    <x v="0"/>
    <s v=""/>
    <s v=""/>
    <s v=""/>
    <s v=""/>
  </r>
  <r>
    <x v="4"/>
    <d v="2026-06-05T16:37:11"/>
    <x v="0"/>
    <n v="61617598"/>
    <n v="363026030000"/>
    <s v="6-729-578"/>
    <s v="Fijo"/>
    <x v="2"/>
    <x v="2"/>
    <m/>
    <m/>
    <m/>
    <s v="no"/>
    <m/>
    <m/>
    <x v="0"/>
    <m/>
    <x v="0"/>
    <x v="0"/>
    <s v=""/>
    <s v=""/>
    <s v=""/>
    <s v=""/>
  </r>
  <r>
    <x v="4"/>
    <d v="2026-06-05T16:43:40"/>
    <x v="0"/>
    <n v="60489362"/>
    <n v="361026440000"/>
    <s v="8-1006-2380"/>
    <s v="Fijo"/>
    <x v="2"/>
    <x v="1"/>
    <m/>
    <m/>
    <m/>
    <s v="no"/>
    <m/>
    <m/>
    <x v="1"/>
    <s v="No brinda monto de pago."/>
    <x v="0"/>
    <x v="0"/>
    <s v=""/>
    <s v=""/>
    <s v=""/>
    <s v=""/>
  </r>
  <r>
    <x v="4"/>
    <d v="2026-06-05T16:47:20"/>
    <x v="0"/>
    <n v="69342779"/>
    <n v="368022040000"/>
    <n v="191723414"/>
    <s v="Fijo"/>
    <x v="2"/>
    <x v="2"/>
    <m/>
    <m/>
    <m/>
    <s v="no"/>
    <m/>
    <m/>
    <x v="3"/>
    <m/>
    <x v="0"/>
    <x v="0"/>
    <s v=""/>
    <s v=""/>
    <s v=""/>
    <s v=""/>
  </r>
  <r>
    <x v="4"/>
    <d v="2026-06-05T16:59:00"/>
    <x v="0"/>
    <n v="66033534"/>
    <n v="368027760000"/>
    <s v="8-1038-862"/>
    <s v="Fijo"/>
    <x v="2"/>
    <x v="1"/>
    <m/>
    <d v="2026-06-15T00:00:00"/>
    <n v="32"/>
    <s v="no"/>
    <m/>
    <m/>
    <x v="0"/>
    <m/>
    <x v="0"/>
    <x v="1"/>
    <s v=""/>
    <s v="15/jun"/>
    <n v="1"/>
    <s v=""/>
  </r>
  <r>
    <x v="4"/>
    <d v="2026-06-05T17:09:18"/>
    <x v="0"/>
    <n v="61269760"/>
    <n v="369027410000"/>
    <s v="8-829-1498"/>
    <s v="Fijo"/>
    <x v="0"/>
    <x v="0"/>
    <m/>
    <m/>
    <m/>
    <s v="no"/>
    <m/>
    <m/>
    <x v="1"/>
    <m/>
    <x v="0"/>
    <x v="0"/>
    <s v=""/>
    <s v=""/>
    <s v=""/>
    <s v=""/>
  </r>
  <r>
    <x v="4"/>
    <d v="2026-06-05T17:13:51"/>
    <x v="0"/>
    <n v="64640606"/>
    <n v="365027440000"/>
    <s v="AN522551"/>
    <s v="Fijo"/>
    <x v="0"/>
    <x v="2"/>
    <m/>
    <m/>
    <m/>
    <s v="no"/>
    <m/>
    <m/>
    <x v="3"/>
    <m/>
    <x v="0"/>
    <x v="0"/>
    <s v=""/>
    <s v=""/>
    <s v=""/>
    <s v=""/>
  </r>
  <r>
    <x v="4"/>
    <d v="2026-06-05T17:16:35"/>
    <x v="0"/>
    <n v="66368350"/>
    <n v="364028220000"/>
    <s v="2-756-411"/>
    <s v="Fijo"/>
    <x v="0"/>
    <x v="6"/>
    <m/>
    <m/>
    <m/>
    <s v="no"/>
    <m/>
    <m/>
    <x v="0"/>
    <m/>
    <x v="0"/>
    <x v="0"/>
    <s v=""/>
    <s v=""/>
    <s v=""/>
    <s v=""/>
  </r>
  <r>
    <x v="4"/>
    <d v="2026-06-05T17:20:20"/>
    <x v="0"/>
    <n v="64719078"/>
    <n v="366027720000"/>
    <s v="2-731-2407"/>
    <s v="Fijo"/>
    <x v="0"/>
    <x v="6"/>
    <m/>
    <m/>
    <m/>
    <s v="no"/>
    <m/>
    <m/>
    <x v="0"/>
    <m/>
    <x v="0"/>
    <x v="0"/>
    <s v=""/>
    <s v=""/>
    <s v=""/>
    <s v=""/>
  </r>
  <r>
    <x v="4"/>
    <d v="2026-06-05T17:24:05"/>
    <x v="0"/>
    <n v="65948925"/>
    <n v="366027580000"/>
    <s v="3-756-51"/>
    <s v="Fijo"/>
    <x v="0"/>
    <x v="6"/>
    <m/>
    <m/>
    <m/>
    <s v="no"/>
    <m/>
    <m/>
    <x v="0"/>
    <m/>
    <x v="0"/>
    <x v="0"/>
    <s v=""/>
    <s v=""/>
    <s v=""/>
    <s v=""/>
  </r>
  <r>
    <x v="4"/>
    <d v="2026-06-05T17:28:35"/>
    <x v="0"/>
    <n v="64328113"/>
    <n v="347356120000"/>
    <s v="10-710-1020"/>
    <s v="Fijo"/>
    <x v="0"/>
    <x v="6"/>
    <m/>
    <m/>
    <m/>
    <s v="no"/>
    <m/>
    <m/>
    <x v="0"/>
    <m/>
    <x v="0"/>
    <x v="0"/>
    <s v=""/>
    <s v=""/>
    <s v=""/>
    <s v=""/>
  </r>
  <r>
    <x v="4"/>
    <d v="2026-06-05T17:32:21"/>
    <x v="0"/>
    <n v="61522389"/>
    <n v="366025530000"/>
    <s v="8-530-594"/>
    <s v="Fijo"/>
    <x v="0"/>
    <x v="6"/>
    <m/>
    <m/>
    <m/>
    <s v="no"/>
    <m/>
    <m/>
    <x v="3"/>
    <m/>
    <x v="0"/>
    <x v="0"/>
    <s v=""/>
    <s v=""/>
    <s v=""/>
    <s v=""/>
  </r>
  <r>
    <x v="4"/>
    <d v="2026-06-05T17:33:25"/>
    <x v="0"/>
    <n v="65077219"/>
    <n v="365028950000"/>
    <s v="8-716-668"/>
    <s v="Fijo"/>
    <x v="0"/>
    <x v="7"/>
    <m/>
    <m/>
    <m/>
    <s v="no"/>
    <m/>
    <m/>
    <x v="3"/>
    <m/>
    <x v="0"/>
    <x v="0"/>
    <s v=""/>
    <s v=""/>
    <s v=""/>
    <s v=""/>
  </r>
  <r>
    <x v="4"/>
    <d v="2026-06-05T17:39:25"/>
    <x v="0"/>
    <n v="66910678"/>
    <n v="369029410000"/>
    <s v="8-1053-1139"/>
    <s v="Fijo"/>
    <x v="0"/>
    <x v="2"/>
    <m/>
    <m/>
    <m/>
    <s v="no"/>
    <m/>
    <m/>
    <x v="3"/>
    <m/>
    <x v="0"/>
    <x v="0"/>
    <s v=""/>
    <s v=""/>
    <s v=""/>
    <s v=""/>
  </r>
  <r>
    <x v="4"/>
    <d v="2026-06-05T17:42:16"/>
    <x v="0"/>
    <n v="65941354"/>
    <n v="369028890000"/>
    <s v="8-1054-2145"/>
    <s v="Fijo"/>
    <x v="0"/>
    <x v="2"/>
    <m/>
    <m/>
    <m/>
    <s v="no"/>
    <m/>
    <m/>
    <x v="3"/>
    <m/>
    <x v="0"/>
    <x v="0"/>
    <s v=""/>
    <s v=""/>
    <s v=""/>
    <s v=""/>
  </r>
  <r>
    <x v="4"/>
    <d v="2026-06-05T17:45:01"/>
    <x v="0"/>
    <n v="62463716"/>
    <n v="365030400000"/>
    <s v="8-773-754"/>
    <s v="Fijo"/>
    <x v="0"/>
    <x v="7"/>
    <m/>
    <m/>
    <m/>
    <s v="no"/>
    <m/>
    <m/>
    <x v="3"/>
    <m/>
    <x v="0"/>
    <x v="0"/>
    <s v=""/>
    <s v=""/>
    <s v=""/>
    <s v=""/>
  </r>
  <r>
    <x v="4"/>
    <d v="2026-06-05T17:47:32"/>
    <x v="0"/>
    <n v="68240032"/>
    <n v="368031050000"/>
    <s v="8-921-687"/>
    <s v="Fijo"/>
    <x v="0"/>
    <x v="2"/>
    <m/>
    <m/>
    <m/>
    <s v="no"/>
    <m/>
    <m/>
    <x v="3"/>
    <m/>
    <x v="0"/>
    <x v="0"/>
    <s v=""/>
    <s v=""/>
    <s v=""/>
    <s v=""/>
  </r>
  <r>
    <x v="4"/>
    <d v="2026-06-05T17:49:18"/>
    <x v="0"/>
    <n v="63957858"/>
    <n v="369029450000"/>
    <s v="8-1010-1393"/>
    <s v="Fijo"/>
    <x v="0"/>
    <x v="0"/>
    <m/>
    <m/>
    <m/>
    <s v="no"/>
    <m/>
    <m/>
    <x v="3"/>
    <m/>
    <x v="0"/>
    <x v="0"/>
    <s v=""/>
    <s v=""/>
    <s v=""/>
    <s v=""/>
  </r>
  <r>
    <x v="4"/>
    <d v="2026-06-05T17:51:31"/>
    <x v="0"/>
    <n v="65055421"/>
    <n v="365029440000"/>
    <s v="8-1026-1637"/>
    <s v="Fijo"/>
    <x v="0"/>
    <x v="3"/>
    <m/>
    <m/>
    <m/>
    <s v="no"/>
    <m/>
    <m/>
    <x v="3"/>
    <m/>
    <x v="0"/>
    <x v="0"/>
    <s v=""/>
    <s v=""/>
    <s v=""/>
    <s v=""/>
  </r>
  <r>
    <x v="4"/>
    <d v="2026-06-05T17:56:48"/>
    <x v="0"/>
    <n v="69404488"/>
    <n v="365028850000"/>
    <s v="8-961-188"/>
    <s v="Fijo"/>
    <x v="0"/>
    <x v="2"/>
    <m/>
    <m/>
    <m/>
    <s v="no"/>
    <m/>
    <m/>
    <x v="3"/>
    <m/>
    <x v="0"/>
    <x v="0"/>
    <s v=""/>
    <s v=""/>
    <s v=""/>
    <s v=""/>
  </r>
  <r>
    <x v="4"/>
    <d v="2026-06-05T17:58:58"/>
    <x v="0"/>
    <n v="67890543"/>
    <n v="356027600000"/>
    <s v="2-119-929"/>
    <s v="Fijo"/>
    <x v="0"/>
    <x v="6"/>
    <m/>
    <m/>
    <m/>
    <s v="no"/>
    <m/>
    <m/>
    <x v="0"/>
    <m/>
    <x v="0"/>
    <x v="0"/>
    <s v=""/>
    <s v=""/>
    <s v=""/>
    <s v=""/>
  </r>
  <r>
    <x v="5"/>
    <d v="2026-06-06T09:19:57"/>
    <x v="0"/>
    <n v="67890543"/>
    <n v="362028960000"/>
    <s v="8-394-821"/>
    <s v="Fijo"/>
    <x v="0"/>
    <x v="2"/>
    <m/>
    <m/>
    <m/>
    <s v="no"/>
    <m/>
    <m/>
    <x v="3"/>
    <m/>
    <x v="0"/>
    <x v="0"/>
    <s v=""/>
    <s v=""/>
    <s v=""/>
    <s v=""/>
  </r>
  <r>
    <x v="5"/>
    <d v="2026-06-06T09:21:34"/>
    <x v="0"/>
    <n v="67890543"/>
    <n v="363027720000"/>
    <s v="10-7-1056"/>
    <s v="Fijo"/>
    <x v="0"/>
    <x v="2"/>
    <m/>
    <m/>
    <m/>
    <s v="no"/>
    <m/>
    <m/>
    <x v="0"/>
    <m/>
    <x v="0"/>
    <x v="0"/>
    <s v=""/>
    <s v=""/>
    <s v=""/>
    <s v=""/>
  </r>
  <r>
    <x v="5"/>
    <d v="2026-06-06T09:26:04"/>
    <x v="0"/>
    <n v="67890543"/>
    <n v="366031360000"/>
    <s v="8-322-153"/>
    <s v="Fijo"/>
    <x v="0"/>
    <x v="2"/>
    <m/>
    <m/>
    <m/>
    <s v="no"/>
    <m/>
    <m/>
    <x v="0"/>
    <m/>
    <x v="0"/>
    <x v="0"/>
    <s v=""/>
    <s v=""/>
    <s v=""/>
    <s v=""/>
  </r>
  <r>
    <x v="5"/>
    <d v="2026-06-06T09:29:15"/>
    <x v="0"/>
    <n v="65659981"/>
    <n v="351328870000"/>
    <s v="8-989-1991"/>
    <s v="Fijo"/>
    <x v="0"/>
    <x v="2"/>
    <m/>
    <m/>
    <m/>
    <s v="no"/>
    <m/>
    <m/>
    <x v="3"/>
    <m/>
    <x v="0"/>
    <x v="0"/>
    <s v=""/>
    <s v=""/>
    <s v=""/>
    <s v=""/>
  </r>
  <r>
    <x v="5"/>
    <d v="2026-06-06T09:31:24"/>
    <x v="0"/>
    <n v="62453516"/>
    <n v="361029130000"/>
    <s v="8-359-786"/>
    <s v="Fijo"/>
    <x v="2"/>
    <x v="6"/>
    <m/>
    <m/>
    <m/>
    <s v="no"/>
    <m/>
    <m/>
    <x v="2"/>
    <m/>
    <x v="0"/>
    <x v="0"/>
    <s v=""/>
    <s v=""/>
    <s v=""/>
    <s v=""/>
  </r>
  <r>
    <x v="5"/>
    <d v="2026-06-06T09:34:47"/>
    <x v="0"/>
    <n v="69437344"/>
    <n v="367028620000"/>
    <s v="9-170-57"/>
    <s v="Fijo"/>
    <x v="2"/>
    <x v="6"/>
    <m/>
    <m/>
    <m/>
    <s v="no"/>
    <m/>
    <m/>
    <x v="1"/>
    <m/>
    <x v="0"/>
    <x v="0"/>
    <s v=""/>
    <s v=""/>
    <s v=""/>
    <s v=""/>
  </r>
  <r>
    <x v="5"/>
    <d v="2026-06-06T09:42:02"/>
    <x v="0"/>
    <n v="66122768"/>
    <n v="365028920000"/>
    <s v="AS165081"/>
    <s v="Fijo"/>
    <x v="0"/>
    <x v="2"/>
    <m/>
    <m/>
    <m/>
    <s v="no"/>
    <m/>
    <m/>
    <x v="3"/>
    <m/>
    <x v="0"/>
    <x v="0"/>
    <s v=""/>
    <s v=""/>
    <s v=""/>
    <s v=""/>
  </r>
  <r>
    <x v="5"/>
    <d v="2026-06-06T09:45:07"/>
    <x v="0"/>
    <n v="64280458"/>
    <n v="368028080000"/>
    <s v="2-718-2011"/>
    <s v="Fijo"/>
    <x v="0"/>
    <x v="0"/>
    <m/>
    <m/>
    <m/>
    <s v="no"/>
    <m/>
    <m/>
    <x v="3"/>
    <m/>
    <x v="0"/>
    <x v="0"/>
    <s v=""/>
    <s v=""/>
    <s v=""/>
    <s v=""/>
  </r>
  <r>
    <x v="5"/>
    <d v="2026-06-06T09:48:16"/>
    <x v="0"/>
    <n v="66559511"/>
    <n v="363026240000"/>
    <s v="4-702-637"/>
    <s v="Fijo"/>
    <x v="0"/>
    <x v="6"/>
    <m/>
    <m/>
    <m/>
    <s v="no"/>
    <m/>
    <m/>
    <x v="0"/>
    <m/>
    <x v="0"/>
    <x v="0"/>
    <s v=""/>
    <s v=""/>
    <s v=""/>
    <s v=""/>
  </r>
  <r>
    <x v="5"/>
    <d v="2026-06-06T09:50:32"/>
    <x v="0"/>
    <n v="66956237"/>
    <n v="364030340000"/>
    <s v="4-150-21"/>
    <s v="Fijo"/>
    <x v="0"/>
    <x v="6"/>
    <m/>
    <m/>
    <m/>
    <s v="no"/>
    <m/>
    <m/>
    <x v="3"/>
    <m/>
    <x v="0"/>
    <x v="0"/>
    <s v=""/>
    <s v=""/>
    <s v=""/>
    <s v=""/>
  </r>
  <r>
    <x v="5"/>
    <d v="2026-06-06T09:52:41"/>
    <x v="0"/>
    <n v="62896867"/>
    <n v="362029590000"/>
    <s v="3-80-502"/>
    <s v="Fijo"/>
    <x v="0"/>
    <x v="6"/>
    <m/>
    <m/>
    <m/>
    <s v="no"/>
    <m/>
    <m/>
    <x v="3"/>
    <m/>
    <x v="0"/>
    <x v="0"/>
    <s v=""/>
    <s v=""/>
    <s v=""/>
    <s v=""/>
  </r>
  <r>
    <x v="5"/>
    <d v="2026-06-06T09:59:26"/>
    <x v="0"/>
    <n v="62270879"/>
    <n v="367029050000"/>
    <s v="E-8-234696"/>
    <s v="Fijo"/>
    <x v="0"/>
    <x v="1"/>
    <m/>
    <m/>
    <m/>
    <s v="no"/>
    <m/>
    <m/>
    <x v="1"/>
    <m/>
    <x v="0"/>
    <x v="0"/>
    <s v=""/>
    <s v=""/>
    <s v=""/>
    <s v=""/>
  </r>
  <r>
    <x v="5"/>
    <d v="2026-06-06T10:02:26"/>
    <x v="0"/>
    <n v="66685710"/>
    <n v="364030100000"/>
    <s v="2-756-247"/>
    <s v="Fijo"/>
    <x v="0"/>
    <x v="3"/>
    <m/>
    <m/>
    <m/>
    <s v="no"/>
    <m/>
    <m/>
    <x v="3"/>
    <m/>
    <x v="0"/>
    <x v="0"/>
    <s v=""/>
    <s v=""/>
    <s v=""/>
    <s v=""/>
  </r>
  <r>
    <x v="5"/>
    <d v="2026-06-06T10:06:17"/>
    <x v="0"/>
    <n v="66347905"/>
    <n v="365029180000"/>
    <s v="10-707-1344"/>
    <s v="Fijo"/>
    <x v="0"/>
    <x v="7"/>
    <m/>
    <m/>
    <m/>
    <s v="no"/>
    <m/>
    <m/>
    <x v="3"/>
    <m/>
    <x v="0"/>
    <x v="0"/>
    <s v=""/>
    <s v=""/>
    <s v=""/>
    <s v=""/>
  </r>
  <r>
    <x v="5"/>
    <d v="2026-06-06T10:08:29"/>
    <x v="0"/>
    <n v="68884359"/>
    <n v="363029960000"/>
    <s v="3-756-2157"/>
    <s v="Fijo"/>
    <x v="0"/>
    <x v="6"/>
    <m/>
    <m/>
    <m/>
    <s v="no"/>
    <m/>
    <m/>
    <x v="3"/>
    <m/>
    <x v="0"/>
    <x v="0"/>
    <s v=""/>
    <s v=""/>
    <s v=""/>
    <s v=""/>
  </r>
  <r>
    <x v="5"/>
    <d v="2026-06-06T10:13:49"/>
    <x v="0"/>
    <n v="67632075"/>
    <n v="366031280000"/>
    <s v="8-745-858"/>
    <s v="Fijo"/>
    <x v="0"/>
    <x v="2"/>
    <m/>
    <m/>
    <m/>
    <s v="no"/>
    <m/>
    <m/>
    <x v="3"/>
    <m/>
    <x v="0"/>
    <x v="0"/>
    <s v=""/>
    <s v=""/>
    <s v=""/>
    <s v=""/>
  </r>
  <r>
    <x v="5"/>
    <d v="2026-06-06T10:17:40"/>
    <x v="0"/>
    <n v="66220832"/>
    <n v="369026360000"/>
    <s v="10-713-1052"/>
    <s v="Fijo"/>
    <x v="0"/>
    <x v="6"/>
    <m/>
    <m/>
    <m/>
    <s v="no"/>
    <m/>
    <m/>
    <x v="1"/>
    <m/>
    <x v="0"/>
    <x v="0"/>
    <s v=""/>
    <s v=""/>
    <s v=""/>
    <s v=""/>
  </r>
  <r>
    <x v="5"/>
    <d v="2026-06-06T10:22:11"/>
    <x v="0"/>
    <n v="65069727"/>
    <n v="363027950000"/>
    <s v="4-838-2458"/>
    <s v="Fijo"/>
    <x v="0"/>
    <x v="0"/>
    <m/>
    <m/>
    <m/>
    <s v="no"/>
    <m/>
    <m/>
    <x v="1"/>
    <m/>
    <x v="0"/>
    <x v="0"/>
    <s v=""/>
    <s v=""/>
    <s v=""/>
    <s v=""/>
  </r>
  <r>
    <x v="5"/>
    <d v="2026-06-06T10:27:13"/>
    <x v="0"/>
    <n v="67039508"/>
    <n v="364031350000"/>
    <s v="8-1054-1487"/>
    <s v="Fijo"/>
    <x v="0"/>
    <x v="0"/>
    <m/>
    <m/>
    <m/>
    <s v="no"/>
    <m/>
    <m/>
    <x v="3"/>
    <m/>
    <x v="0"/>
    <x v="0"/>
    <s v=""/>
    <s v=""/>
    <s v=""/>
    <s v=""/>
  </r>
  <r>
    <x v="5"/>
    <d v="2026-06-06T10:30:36"/>
    <x v="0"/>
    <n v="67517061"/>
    <n v="369028070000"/>
    <s v="8-1032-1125"/>
    <s v="Fijo"/>
    <x v="0"/>
    <x v="2"/>
    <m/>
    <m/>
    <m/>
    <s v="no"/>
    <m/>
    <m/>
    <x v="3"/>
    <m/>
    <x v="0"/>
    <x v="0"/>
    <s v=""/>
    <s v=""/>
    <s v=""/>
    <s v=""/>
  </r>
  <r>
    <x v="5"/>
    <d v="2026-06-06T10:36:34"/>
    <x v="0"/>
    <n v="67106042"/>
    <n v="361027750000"/>
    <s v="10-705-2103"/>
    <s v="Fijo"/>
    <x v="0"/>
    <x v="3"/>
    <m/>
    <m/>
    <m/>
    <s v="no"/>
    <m/>
    <m/>
    <x v="3"/>
    <m/>
    <x v="0"/>
    <x v="0"/>
    <s v=""/>
    <s v=""/>
    <s v=""/>
    <s v=""/>
  </r>
  <r>
    <x v="5"/>
    <d v="2026-06-06T10:52:09"/>
    <x v="0"/>
    <n v="64088913"/>
    <n v="362029540000"/>
    <s v="8-348-762"/>
    <s v="Fijo"/>
    <x v="5"/>
    <x v="2"/>
    <m/>
    <m/>
    <m/>
    <s v="no"/>
    <m/>
    <m/>
    <x v="3"/>
    <m/>
    <x v="0"/>
    <x v="0"/>
    <s v=""/>
    <s v=""/>
    <s v=""/>
    <s v=""/>
  </r>
  <r>
    <x v="5"/>
    <d v="2026-06-06T10:56:05"/>
    <x v="0"/>
    <n v="64260678"/>
    <n v="366027090000"/>
    <s v="8-440-783"/>
    <s v="Fijo"/>
    <x v="0"/>
    <x v="2"/>
    <m/>
    <m/>
    <m/>
    <s v="no"/>
    <m/>
    <m/>
    <x v="3"/>
    <m/>
    <x v="0"/>
    <x v="0"/>
    <s v=""/>
    <s v=""/>
    <s v=""/>
    <s v=""/>
  </r>
  <r>
    <x v="5"/>
    <d v="2026-06-06T11:03:04"/>
    <x v="0"/>
    <n v="67467249"/>
    <n v="367030470000"/>
    <s v="8-314-286"/>
    <s v="Fijo"/>
    <x v="0"/>
    <x v="3"/>
    <m/>
    <m/>
    <m/>
    <s v="no"/>
    <m/>
    <m/>
    <x v="3"/>
    <m/>
    <x v="0"/>
    <x v="0"/>
    <s v=""/>
    <s v=""/>
    <s v=""/>
    <s v=""/>
  </r>
  <r>
    <x v="5"/>
    <d v="2026-06-06T11:08:03"/>
    <x v="0"/>
    <n v="65811775"/>
    <n v="984072480000"/>
    <s v="8-738-1653"/>
    <s v="Fijo"/>
    <x v="0"/>
    <x v="6"/>
    <m/>
    <m/>
    <m/>
    <s v="no"/>
    <m/>
    <m/>
    <x v="0"/>
    <m/>
    <x v="0"/>
    <x v="0"/>
    <s v=""/>
    <s v=""/>
    <s v=""/>
    <s v=""/>
  </r>
  <r>
    <x v="5"/>
    <d v="2026-06-06T11:13:45"/>
    <x v="0"/>
    <n v="62399098"/>
    <n v="363029120000"/>
    <s v="6-7099-64"/>
    <s v="Fijo"/>
    <x v="0"/>
    <x v="6"/>
    <m/>
    <m/>
    <m/>
    <s v="no"/>
    <m/>
    <m/>
    <x v="1"/>
    <m/>
    <x v="0"/>
    <x v="0"/>
    <s v=""/>
    <s v=""/>
    <s v=""/>
    <s v=""/>
  </r>
  <r>
    <x v="5"/>
    <d v="2026-06-06T11:17:03"/>
    <x v="0"/>
    <n v="60707856"/>
    <n v="153018430000"/>
    <s v="PE-8-1079"/>
    <s v="Fijo"/>
    <x v="0"/>
    <x v="6"/>
    <m/>
    <m/>
    <m/>
    <s v="no"/>
    <m/>
    <m/>
    <x v="3"/>
    <m/>
    <x v="0"/>
    <x v="0"/>
    <s v=""/>
    <s v=""/>
    <s v=""/>
    <s v=""/>
  </r>
  <r>
    <x v="5"/>
    <d v="2026-06-06T11:20:18"/>
    <x v="0"/>
    <n v="64872844"/>
    <n v="366028830000"/>
    <s v="8-460-402"/>
    <s v="Fijo"/>
    <x v="0"/>
    <x v="6"/>
    <m/>
    <m/>
    <m/>
    <s v="no"/>
    <m/>
    <m/>
    <x v="0"/>
    <m/>
    <x v="0"/>
    <x v="0"/>
    <s v=""/>
    <s v=""/>
    <s v=""/>
    <s v=""/>
  </r>
  <r>
    <x v="5"/>
    <d v="2026-06-06T11:28:32"/>
    <x v="0"/>
    <n v="66402362"/>
    <n v="362028880000"/>
    <s v="2-744-237"/>
    <s v="Fijo"/>
    <x v="0"/>
    <x v="2"/>
    <m/>
    <m/>
    <m/>
    <s v="no"/>
    <m/>
    <m/>
    <x v="3"/>
    <m/>
    <x v="0"/>
    <x v="0"/>
    <s v=""/>
    <s v=""/>
    <s v=""/>
    <s v=""/>
  </r>
  <r>
    <x v="5"/>
    <d v="2026-06-06T11:32:35"/>
    <x v="0"/>
    <n v="69401647"/>
    <n v="212011570000"/>
    <s v="8-743-1760"/>
    <s v="Fijo"/>
    <x v="4"/>
    <x v="6"/>
    <m/>
    <m/>
    <m/>
    <s v="no"/>
    <m/>
    <m/>
    <x v="0"/>
    <m/>
    <x v="0"/>
    <x v="0"/>
    <s v=""/>
    <s v=""/>
    <s v=""/>
    <s v=""/>
  </r>
  <r>
    <x v="5"/>
    <d v="2026-06-06T11:39:27"/>
    <x v="0"/>
    <n v="67890543"/>
    <n v="365029920000"/>
    <s v="2-147-292"/>
    <s v="Fijo"/>
    <x v="0"/>
    <x v="2"/>
    <m/>
    <m/>
    <m/>
    <s v="no"/>
    <m/>
    <m/>
    <x v="3"/>
    <m/>
    <x v="0"/>
    <x v="0"/>
    <s v=""/>
    <s v=""/>
    <s v=""/>
    <s v=""/>
  </r>
  <r>
    <x v="5"/>
    <d v="2026-06-06T11:46:18"/>
    <x v="0"/>
    <n v="69490703"/>
    <n v="365027410000"/>
    <s v="4-754-1596"/>
    <s v="Fijo"/>
    <x v="0"/>
    <x v="6"/>
    <m/>
    <m/>
    <m/>
    <s v="no"/>
    <m/>
    <m/>
    <x v="0"/>
    <m/>
    <x v="0"/>
    <x v="0"/>
    <s v=""/>
    <s v=""/>
    <s v=""/>
    <s v=""/>
  </r>
  <r>
    <x v="5"/>
    <d v="2026-06-06T11:50:55"/>
    <x v="0"/>
    <n v="65095224"/>
    <n v="362030440000"/>
    <s v="8-1048-7191"/>
    <s v="Fijo"/>
    <x v="0"/>
    <x v="6"/>
    <m/>
    <m/>
    <m/>
    <s v="no"/>
    <m/>
    <m/>
    <x v="0"/>
    <m/>
    <x v="0"/>
    <x v="0"/>
    <s v=""/>
    <s v=""/>
    <s v=""/>
    <s v=""/>
  </r>
  <r>
    <x v="5"/>
    <d v="2026-06-06T12:00:13"/>
    <x v="0"/>
    <n v="61963114"/>
    <n v="199031050000"/>
    <s v="8-832-2006"/>
    <s v="Fijo"/>
    <x v="0"/>
    <x v="2"/>
    <m/>
    <m/>
    <m/>
    <s v="no"/>
    <m/>
    <m/>
    <x v="0"/>
    <m/>
    <x v="0"/>
    <x v="0"/>
    <s v=""/>
    <s v=""/>
    <s v=""/>
    <s v=""/>
  </r>
  <r>
    <x v="5"/>
    <d v="2026-06-06T12:05:31"/>
    <x v="0"/>
    <n v="62230100"/>
    <n v="365028030000"/>
    <s v="8-429-65"/>
    <s v="Fijo"/>
    <x v="3"/>
    <x v="6"/>
    <m/>
    <m/>
    <m/>
    <s v="no"/>
    <m/>
    <m/>
    <x v="0"/>
    <m/>
    <x v="0"/>
    <x v="0"/>
    <s v=""/>
    <s v=""/>
    <s v=""/>
    <s v=""/>
  </r>
  <r>
    <x v="5"/>
    <d v="2026-06-06T12:11:00"/>
    <x v="0"/>
    <n v="61641852"/>
    <n v="363028110000"/>
    <s v="8-1022-2282"/>
    <s v="Fijo"/>
    <x v="4"/>
    <x v="6"/>
    <m/>
    <m/>
    <m/>
    <s v="no"/>
    <m/>
    <m/>
    <x v="0"/>
    <m/>
    <x v="0"/>
    <x v="0"/>
    <s v=""/>
    <s v=""/>
    <s v=""/>
    <s v=""/>
  </r>
  <r>
    <x v="5"/>
    <d v="2026-06-06T12:17:07"/>
    <x v="0"/>
    <n v="68284706"/>
    <n v="368030360000"/>
    <s v="1-17-379"/>
    <s v="Fijo"/>
    <x v="0"/>
    <x v="6"/>
    <m/>
    <m/>
    <m/>
    <s v="no"/>
    <m/>
    <m/>
    <x v="0"/>
    <m/>
    <x v="0"/>
    <x v="0"/>
    <s v=""/>
    <s v=""/>
    <s v=""/>
    <s v=""/>
  </r>
  <r>
    <x v="5"/>
    <d v="2026-06-06T12:20:05"/>
    <x v="0"/>
    <n v="68926270"/>
    <n v="364031640000"/>
    <s v="8-795-1295"/>
    <s v="Fijo"/>
    <x v="0"/>
    <x v="5"/>
    <m/>
    <m/>
    <m/>
    <s v="si"/>
    <d v="2026-05-25T00:00:00"/>
    <m/>
    <x v="2"/>
    <m/>
    <x v="1"/>
    <x v="0"/>
    <s v="25/may"/>
    <s v=""/>
    <s v=""/>
    <n v="1"/>
  </r>
  <r>
    <x v="5"/>
    <d v="2026-06-06T12:27:02"/>
    <x v="0"/>
    <n v="67329012"/>
    <n v="365027900000"/>
    <s v="9-770-1090"/>
    <s v="Fijo"/>
    <x v="0"/>
    <x v="5"/>
    <m/>
    <m/>
    <m/>
    <s v="si"/>
    <d v="2026-05-15T00:00:00"/>
    <m/>
    <x v="2"/>
    <m/>
    <x v="1"/>
    <x v="0"/>
    <s v="15/may"/>
    <s v=""/>
    <s v=""/>
    <n v="1"/>
  </r>
  <r>
    <x v="5"/>
    <d v="2026-06-06T12:31:01"/>
    <x v="0"/>
    <n v="69146137"/>
    <n v="361030300000"/>
    <s v="8-799-747"/>
    <s v="Fijo"/>
    <x v="0"/>
    <x v="5"/>
    <m/>
    <m/>
    <m/>
    <s v="si"/>
    <d v="2026-05-28T00:00:00"/>
    <m/>
    <x v="2"/>
    <m/>
    <x v="1"/>
    <x v="0"/>
    <s v="28/may"/>
    <s v=""/>
    <s v=""/>
    <n v="1"/>
  </r>
  <r>
    <x v="5"/>
    <d v="2026-06-06T12:37:33"/>
    <x v="0"/>
    <n v="67733799"/>
    <n v="369031430000"/>
    <s v="3-54-560"/>
    <s v="Fijo"/>
    <x v="0"/>
    <x v="2"/>
    <m/>
    <m/>
    <m/>
    <s v="no"/>
    <m/>
    <m/>
    <x v="2"/>
    <m/>
    <x v="0"/>
    <x v="0"/>
    <s v=""/>
    <s v=""/>
    <s v=""/>
    <s v=""/>
  </r>
  <r>
    <x v="5"/>
    <d v="2026-06-06T12:43:30"/>
    <x v="0"/>
    <n v="66489520"/>
    <n v="363029490000"/>
    <s v="E-8-154453"/>
    <s v="Fijo"/>
    <x v="2"/>
    <x v="5"/>
    <m/>
    <m/>
    <m/>
    <s v="si"/>
    <d v="2026-05-26T00:00:00"/>
    <m/>
    <x v="2"/>
    <m/>
    <x v="1"/>
    <x v="0"/>
    <s v="26/may"/>
    <s v=""/>
    <s v=""/>
    <n v="1"/>
  </r>
  <r>
    <x v="5"/>
    <d v="2026-06-06T12:46:27"/>
    <x v="0"/>
    <n v="68743602"/>
    <n v="364030600000"/>
    <s v="9-734-1361"/>
    <s v="Fijo"/>
    <x v="2"/>
    <x v="7"/>
    <m/>
    <m/>
    <m/>
    <s v="no"/>
    <m/>
    <m/>
    <x v="0"/>
    <m/>
    <x v="0"/>
    <x v="0"/>
    <s v=""/>
    <s v=""/>
    <s v=""/>
    <s v=""/>
  </r>
  <r>
    <x v="5"/>
    <d v="2026-06-06T12:50:01"/>
    <x v="0"/>
    <n v="60787594"/>
    <n v="369029140000"/>
    <s v="8-342-661"/>
    <s v="Fijo"/>
    <x v="2"/>
    <x v="1"/>
    <s v="Mala experiencia con el servicio"/>
    <m/>
    <m/>
    <s v="no"/>
    <m/>
    <m/>
    <x v="2"/>
    <m/>
    <x v="0"/>
    <x v="0"/>
    <s v=""/>
    <s v=""/>
    <s v=""/>
    <s v=""/>
  </r>
  <r>
    <x v="5"/>
    <d v="2026-06-06T12:54:53"/>
    <x v="0"/>
    <n v="68912288"/>
    <n v="368013090000"/>
    <s v="8-1058-993"/>
    <s v="Fijo"/>
    <x v="0"/>
    <x v="5"/>
    <m/>
    <m/>
    <m/>
    <s v="si"/>
    <d v="2026-05-27T00:00:00"/>
    <m/>
    <x v="1"/>
    <m/>
    <x v="1"/>
    <x v="0"/>
    <s v="27/may"/>
    <s v=""/>
    <s v=""/>
    <n v="1"/>
  </r>
  <r>
    <x v="5"/>
    <d v="2026-06-06T13:59:16"/>
    <x v="0"/>
    <n v="60521687"/>
    <n v="266049280000"/>
    <s v="10-701-2590"/>
    <s v="Fijo"/>
    <x v="0"/>
    <x v="6"/>
    <m/>
    <m/>
    <m/>
    <s v="no"/>
    <m/>
    <m/>
    <x v="0"/>
    <m/>
    <x v="0"/>
    <x v="0"/>
    <s v=""/>
    <s v=""/>
    <s v=""/>
    <s v=""/>
  </r>
  <r>
    <x v="5"/>
    <d v="2026-06-06T14:18:39"/>
    <x v="0"/>
    <n v="68993216"/>
    <n v="325044090000"/>
    <s v="7-102-447"/>
    <s v="Fijo"/>
    <x v="0"/>
    <x v="6"/>
    <m/>
    <m/>
    <m/>
    <s v="no"/>
    <m/>
    <m/>
    <x v="3"/>
    <m/>
    <x v="0"/>
    <x v="0"/>
    <s v=""/>
    <s v=""/>
    <s v=""/>
    <s v=""/>
  </r>
  <r>
    <x v="5"/>
    <d v="2026-06-06T14:23:14"/>
    <x v="0"/>
    <n v="62189985"/>
    <n v="367031300000"/>
    <s v="2-749-516"/>
    <s v="Fijo"/>
    <x v="0"/>
    <x v="5"/>
    <m/>
    <m/>
    <m/>
    <s v="si"/>
    <d v="2026-06-01T00:00:00"/>
    <m/>
    <x v="2"/>
    <m/>
    <x v="2"/>
    <x v="0"/>
    <s v="01/jun"/>
    <s v=""/>
    <s v=""/>
    <n v="1"/>
  </r>
  <r>
    <x v="5"/>
    <d v="2026-06-06T14:28:58"/>
    <x v="0"/>
    <n v="65772386"/>
    <n v="367032560000"/>
    <s v="4-817-563"/>
    <s v="Fijo"/>
    <x v="4"/>
    <x v="5"/>
    <m/>
    <m/>
    <m/>
    <s v="si"/>
    <d v="2026-05-27T00:00:00"/>
    <m/>
    <x v="2"/>
    <m/>
    <x v="1"/>
    <x v="0"/>
    <s v="27/may"/>
    <s v=""/>
    <s v=""/>
    <n v="1"/>
  </r>
  <r>
    <x v="5"/>
    <d v="2026-06-06T14:31:39"/>
    <x v="0"/>
    <n v="68907654"/>
    <n v="361031490000"/>
    <s v="4-150-122"/>
    <s v="Fijo"/>
    <x v="0"/>
    <x v="6"/>
    <m/>
    <m/>
    <m/>
    <s v="no"/>
    <m/>
    <m/>
    <x v="0"/>
    <m/>
    <x v="0"/>
    <x v="0"/>
    <s v=""/>
    <s v=""/>
    <s v=""/>
    <s v=""/>
  </r>
  <r>
    <x v="5"/>
    <d v="2026-06-06T14:34:49"/>
    <x v="0"/>
    <n v="65217065"/>
    <n v="366032850000"/>
    <s v="BG092487"/>
    <s v="Fijo"/>
    <x v="0"/>
    <x v="2"/>
    <m/>
    <m/>
    <m/>
    <s v="no"/>
    <m/>
    <m/>
    <x v="2"/>
    <m/>
    <x v="0"/>
    <x v="0"/>
    <s v=""/>
    <s v=""/>
    <s v=""/>
    <s v=""/>
  </r>
  <r>
    <x v="5"/>
    <d v="2026-06-06T14:38:51"/>
    <x v="0"/>
    <n v="69315126"/>
    <n v="367030420000"/>
    <s v="8-867-1583"/>
    <s v="Fijo"/>
    <x v="0"/>
    <x v="5"/>
    <m/>
    <m/>
    <m/>
    <s v="si"/>
    <d v="2026-05-16T00:00:00"/>
    <m/>
    <x v="2"/>
    <m/>
    <x v="1"/>
    <x v="0"/>
    <s v="16/may"/>
    <s v=""/>
    <s v=""/>
    <n v="1"/>
  </r>
  <r>
    <x v="5"/>
    <d v="2026-06-06T14:47:58"/>
    <x v="0"/>
    <n v="64298923"/>
    <n v="365031200000"/>
    <s v="2-744-87"/>
    <s v="Fijo"/>
    <x v="0"/>
    <x v="2"/>
    <m/>
    <m/>
    <m/>
    <s v="no"/>
    <m/>
    <m/>
    <x v="1"/>
    <m/>
    <x v="0"/>
    <x v="0"/>
    <s v=""/>
    <s v=""/>
    <s v=""/>
    <s v=""/>
  </r>
  <r>
    <x v="5"/>
    <d v="2026-06-06T14:52:38"/>
    <x v="0"/>
    <n v="67616560"/>
    <n v="369030040000"/>
    <s v="4-828-661"/>
    <s v="Fijo"/>
    <x v="0"/>
    <x v="5"/>
    <m/>
    <m/>
    <m/>
    <s v="si"/>
    <d v="2026-05-30T00:00:00"/>
    <m/>
    <x v="2"/>
    <m/>
    <x v="1"/>
    <x v="0"/>
    <s v="30/may"/>
    <s v=""/>
    <s v=""/>
    <n v="1"/>
  </r>
  <r>
    <x v="5"/>
    <d v="2026-06-06T14:55:39"/>
    <x v="0"/>
    <n v="65948925"/>
    <n v="367031570000"/>
    <s v="3-756-51"/>
    <s v="Fijo"/>
    <x v="0"/>
    <x v="2"/>
    <m/>
    <m/>
    <m/>
    <s v="no"/>
    <m/>
    <m/>
    <x v="2"/>
    <m/>
    <x v="0"/>
    <x v="0"/>
    <s v=""/>
    <s v=""/>
    <s v=""/>
    <s v=""/>
  </r>
  <r>
    <x v="5"/>
    <d v="2026-06-06T15:00:01"/>
    <x v="0"/>
    <n v="65911602"/>
    <n v="363028130000"/>
    <s v="8-815-588"/>
    <s v="Fijo"/>
    <x v="0"/>
    <x v="2"/>
    <m/>
    <m/>
    <m/>
    <s v="no"/>
    <m/>
    <m/>
    <x v="2"/>
    <m/>
    <x v="0"/>
    <x v="0"/>
    <s v=""/>
    <s v=""/>
    <s v=""/>
    <s v=""/>
  </r>
  <r>
    <x v="5"/>
    <d v="2026-06-06T15:05:31"/>
    <x v="0"/>
    <n v="63982140"/>
    <n v="365027980000"/>
    <s v="8-926-1764"/>
    <s v="Fijo"/>
    <x v="2"/>
    <x v="3"/>
    <m/>
    <m/>
    <m/>
    <s v="no"/>
    <m/>
    <m/>
    <x v="0"/>
    <m/>
    <x v="0"/>
    <x v="0"/>
    <s v=""/>
    <s v=""/>
    <s v=""/>
    <s v=""/>
  </r>
  <r>
    <x v="5"/>
    <d v="2026-06-06T15:16:07"/>
    <x v="0"/>
    <n v="63535798"/>
    <n v="366033420000"/>
    <s v="6-725-1092"/>
    <s v="Fijo"/>
    <x v="4"/>
    <x v="6"/>
    <m/>
    <m/>
    <m/>
    <s v="no"/>
    <m/>
    <m/>
    <x v="0"/>
    <m/>
    <x v="0"/>
    <x v="0"/>
    <s v=""/>
    <s v=""/>
    <s v=""/>
    <s v=""/>
  </r>
  <r>
    <x v="5"/>
    <d v="2026-06-06T15:28:21"/>
    <x v="0"/>
    <n v="62898870"/>
    <n v="367032660000"/>
    <s v="4-779-795"/>
    <s v="Fijo"/>
    <x v="4"/>
    <x v="2"/>
    <m/>
    <m/>
    <m/>
    <s v="no"/>
    <m/>
    <m/>
    <x v="2"/>
    <m/>
    <x v="0"/>
    <x v="0"/>
    <s v=""/>
    <s v=""/>
    <s v=""/>
    <s v=""/>
  </r>
  <r>
    <x v="5"/>
    <d v="2026-06-06T15:33:32"/>
    <x v="0"/>
    <n v="67499083"/>
    <n v="362034030000"/>
    <s v="8-999-2072"/>
    <s v="Fijo"/>
    <x v="0"/>
    <x v="5"/>
    <m/>
    <m/>
    <m/>
    <s v="si"/>
    <d v="2026-05-30T00:00:00"/>
    <m/>
    <x v="2"/>
    <m/>
    <x v="1"/>
    <x v="0"/>
    <s v="30/may"/>
    <s v=""/>
    <s v=""/>
    <n v="1"/>
  </r>
  <r>
    <x v="5"/>
    <d v="2026-06-06T15:38:03"/>
    <x v="0"/>
    <n v="62927807"/>
    <n v="368020460000"/>
    <s v="8-792-370"/>
    <s v="Fijo"/>
    <x v="0"/>
    <x v="5"/>
    <m/>
    <m/>
    <m/>
    <s v="si"/>
    <d v="2026-05-31T00:00:00"/>
    <m/>
    <x v="2"/>
    <m/>
    <x v="1"/>
    <x v="0"/>
    <s v="31/may"/>
    <s v=""/>
    <s v=""/>
    <n v="1"/>
  </r>
  <r>
    <x v="5"/>
    <d v="2026-06-06T15:44:09"/>
    <x v="0"/>
    <n v="66528428"/>
    <n v="363034330000"/>
    <s v="8-933-1016"/>
    <s v="Fijo"/>
    <x v="0"/>
    <x v="0"/>
    <m/>
    <m/>
    <m/>
    <s v="no"/>
    <m/>
    <m/>
    <x v="1"/>
    <m/>
    <x v="0"/>
    <x v="0"/>
    <s v=""/>
    <s v=""/>
    <s v=""/>
    <s v=""/>
  </r>
  <r>
    <x v="5"/>
    <d v="2026-06-06T15:53:23"/>
    <x v="0"/>
    <n v="65872342"/>
    <n v="364034880000"/>
    <s v="8-1045-2326"/>
    <s v="Fijo"/>
    <x v="0"/>
    <x v="7"/>
    <m/>
    <m/>
    <m/>
    <s v="no"/>
    <m/>
    <m/>
    <x v="0"/>
    <m/>
    <x v="0"/>
    <x v="0"/>
    <s v=""/>
    <s v=""/>
    <s v=""/>
    <s v=""/>
  </r>
  <r>
    <x v="5"/>
    <d v="2026-06-06T16:09:03"/>
    <x v="0"/>
    <n v="65556178"/>
    <n v="365023490000"/>
    <s v="PE-9-1322"/>
    <s v="Fijo"/>
    <x v="0"/>
    <x v="1"/>
    <m/>
    <d v="2026-06-16T00:00:00"/>
    <n v="30.44"/>
    <s v="no"/>
    <m/>
    <m/>
    <x v="2"/>
    <m/>
    <x v="0"/>
    <x v="1"/>
    <s v=""/>
    <s v="16/jun"/>
    <n v="1"/>
    <s v=""/>
  </r>
  <r>
    <x v="5"/>
    <d v="2026-06-06T16:16:51"/>
    <x v="0"/>
    <n v="65135836"/>
    <n v="369054560000"/>
    <s v="8-140-81"/>
    <s v="Fijo"/>
    <x v="3"/>
    <x v="3"/>
    <m/>
    <d v="2026-06-07T00:00:00"/>
    <n v="67.14"/>
    <s v="no"/>
    <m/>
    <m/>
    <x v="3"/>
    <m/>
    <x v="0"/>
    <x v="1"/>
    <s v=""/>
    <s v="07/jun"/>
    <n v="1"/>
    <s v=""/>
  </r>
  <r>
    <x v="5"/>
    <d v="2026-06-06T16:24:51"/>
    <x v="0"/>
    <n v="63004038"/>
    <n v="368072120000"/>
    <s v="BG343998"/>
    <s v="Fijo"/>
    <x v="3"/>
    <x v="1"/>
    <m/>
    <d v="2026-06-08T00:00:00"/>
    <n v="37.520000000000003"/>
    <s v="no"/>
    <m/>
    <m/>
    <x v="1"/>
    <m/>
    <x v="0"/>
    <x v="1"/>
    <s v=""/>
    <s v="08/jun"/>
    <n v="1"/>
    <s v=""/>
  </r>
  <r>
    <x v="5"/>
    <d v="2026-06-06T16:30:19"/>
    <x v="0"/>
    <n v="65691347"/>
    <n v="803751990000"/>
    <s v="8-421-496"/>
    <s v="Fijo"/>
    <x v="3"/>
    <x v="5"/>
    <m/>
    <m/>
    <m/>
    <s v="si"/>
    <d v="2026-06-05T00:00:00"/>
    <n v="42.69"/>
    <x v="1"/>
    <m/>
    <x v="2"/>
    <x v="0"/>
    <s v="05/jun"/>
    <s v=""/>
    <s v=""/>
    <n v="1"/>
  </r>
  <r>
    <x v="5"/>
    <d v="2026-06-06T16:34:21"/>
    <x v="0"/>
    <n v="64199917"/>
    <n v="366001430000"/>
    <s v="8-731-787"/>
    <s v="Fijo"/>
    <x v="2"/>
    <x v="0"/>
    <m/>
    <m/>
    <m/>
    <s v="no"/>
    <m/>
    <m/>
    <x v="3"/>
    <m/>
    <x v="0"/>
    <x v="0"/>
    <s v=""/>
    <s v=""/>
    <s v=""/>
    <s v=""/>
  </r>
  <r>
    <x v="5"/>
    <d v="2026-06-06T16:37:28"/>
    <x v="0"/>
    <n v="66274099"/>
    <n v="361002480000"/>
    <s v="PN0212896"/>
    <s v="Fijo"/>
    <x v="0"/>
    <x v="0"/>
    <m/>
    <m/>
    <m/>
    <s v="no"/>
    <m/>
    <m/>
    <x v="1"/>
    <m/>
    <x v="0"/>
    <x v="0"/>
    <s v=""/>
    <s v=""/>
    <s v=""/>
    <s v=""/>
  </r>
  <r>
    <x v="5"/>
    <d v="2026-06-06T16:43:13"/>
    <x v="0"/>
    <n v="61071807"/>
    <n v="357186870000"/>
    <s v="8-813-1496"/>
    <s v="Fijo"/>
    <x v="0"/>
    <x v="1"/>
    <m/>
    <d v="2026-06-08T00:00:00"/>
    <n v="40"/>
    <s v="no"/>
    <m/>
    <m/>
    <x v="1"/>
    <m/>
    <x v="0"/>
    <x v="1"/>
    <s v=""/>
    <s v="08/jun"/>
    <n v="1"/>
    <s v=""/>
  </r>
  <r>
    <x v="5"/>
    <d v="2026-06-06T16:54:10"/>
    <x v="0"/>
    <n v="68739505"/>
    <n v="364033490000"/>
    <s v="4-701-228"/>
    <s v="Fijo"/>
    <x v="0"/>
    <x v="2"/>
    <m/>
    <m/>
    <m/>
    <s v="no"/>
    <m/>
    <m/>
    <x v="2"/>
    <m/>
    <x v="0"/>
    <x v="0"/>
    <s v=""/>
    <s v=""/>
    <s v=""/>
    <s v=""/>
  </r>
  <r>
    <x v="6"/>
    <d v="2026-06-08T09:34:13"/>
    <x v="0"/>
    <n v="61607001"/>
    <n v="368033060000"/>
    <s v="8-424-244"/>
    <s v="Fijo"/>
    <x v="2"/>
    <x v="2"/>
    <m/>
    <m/>
    <m/>
    <s v="no"/>
    <m/>
    <m/>
    <x v="1"/>
    <m/>
    <x v="0"/>
    <x v="0"/>
    <s v=""/>
    <s v=""/>
    <s v=""/>
    <s v=""/>
  </r>
  <r>
    <x v="6"/>
    <d v="2026-06-08T09:38:34"/>
    <x v="0"/>
    <n v="65450636"/>
    <n v="364033380000"/>
    <s v="PN0091219"/>
    <s v="Fijo"/>
    <x v="0"/>
    <x v="1"/>
    <m/>
    <m/>
    <m/>
    <s v="no"/>
    <m/>
    <m/>
    <x v="2"/>
    <s v="No brinda fecha y cierra la llamada."/>
    <x v="0"/>
    <x v="0"/>
    <s v=""/>
    <s v=""/>
    <s v=""/>
    <s v=""/>
  </r>
  <r>
    <x v="6"/>
    <d v="2026-06-08T09:50:24"/>
    <x v="0"/>
    <n v="66140499"/>
    <n v="332054270000"/>
    <s v="AU509055"/>
    <s v="Fijo"/>
    <x v="0"/>
    <x v="1"/>
    <s v="Mala experiencia con el servicio"/>
    <m/>
    <m/>
    <s v="no"/>
    <m/>
    <m/>
    <x v="2"/>
    <s v="Desea realizar reclamo de factura."/>
    <x v="0"/>
    <x v="0"/>
    <s v=""/>
    <s v=""/>
    <s v=""/>
    <s v=""/>
  </r>
  <r>
    <x v="6"/>
    <d v="2026-06-08T09:55:14"/>
    <x v="0"/>
    <n v="61513667"/>
    <n v="367033660000"/>
    <s v="8-753-1259"/>
    <s v="Fijo"/>
    <x v="0"/>
    <x v="5"/>
    <m/>
    <m/>
    <m/>
    <s v="si"/>
    <d v="2026-06-08T00:00:00"/>
    <m/>
    <x v="2"/>
    <m/>
    <x v="2"/>
    <x v="0"/>
    <s v="08/jun"/>
    <s v=""/>
    <s v=""/>
    <n v="1"/>
  </r>
  <r>
    <x v="6"/>
    <d v="2026-06-08T09:59:53"/>
    <x v="0"/>
    <n v="68743519"/>
    <n v="363033910000"/>
    <s v="9-720-1668"/>
    <s v="Fijo"/>
    <x v="0"/>
    <x v="2"/>
    <m/>
    <m/>
    <m/>
    <s v="no"/>
    <m/>
    <m/>
    <x v="2"/>
    <m/>
    <x v="0"/>
    <x v="0"/>
    <s v=""/>
    <s v=""/>
    <s v=""/>
    <s v=""/>
  </r>
  <r>
    <x v="6"/>
    <d v="2026-06-08T10:05:25"/>
    <x v="0"/>
    <n v="67361909"/>
    <n v="366014750000"/>
    <s v="8-1060-989"/>
    <s v="Fijo"/>
    <x v="3"/>
    <x v="6"/>
    <m/>
    <m/>
    <m/>
    <s v="no"/>
    <m/>
    <m/>
    <x v="0"/>
    <m/>
    <x v="0"/>
    <x v="0"/>
    <s v=""/>
    <s v=""/>
    <s v=""/>
    <s v=""/>
  </r>
  <r>
    <x v="6"/>
    <d v="2026-06-08T10:11:41"/>
    <x v="0"/>
    <n v="67252644"/>
    <n v="365035190000"/>
    <s v="10-709-639"/>
    <s v="Fijo"/>
    <x v="0"/>
    <x v="2"/>
    <m/>
    <m/>
    <m/>
    <s v="no"/>
    <m/>
    <m/>
    <x v="1"/>
    <m/>
    <x v="0"/>
    <x v="0"/>
    <s v=""/>
    <s v=""/>
    <s v=""/>
    <s v=""/>
  </r>
  <r>
    <x v="6"/>
    <d v="2026-06-08T10:16:31"/>
    <x v="0"/>
    <n v="66767187"/>
    <n v="369035140000"/>
    <s v="8-1060-2408"/>
    <s v="Fijo"/>
    <x v="0"/>
    <x v="6"/>
    <m/>
    <m/>
    <m/>
    <s v="no"/>
    <m/>
    <m/>
    <x v="0"/>
    <m/>
    <x v="0"/>
    <x v="0"/>
    <s v=""/>
    <s v=""/>
    <s v=""/>
    <s v=""/>
  </r>
  <r>
    <x v="6"/>
    <d v="2026-06-08T10:19:21"/>
    <x v="0"/>
    <n v="67523232"/>
    <n v="365035170000"/>
    <s v="8-901-1657"/>
    <s v="Fijo"/>
    <x v="0"/>
    <x v="6"/>
    <m/>
    <m/>
    <m/>
    <s v="no"/>
    <m/>
    <m/>
    <x v="1"/>
    <m/>
    <x v="0"/>
    <x v="0"/>
    <s v=""/>
    <s v=""/>
    <s v=""/>
    <s v=""/>
  </r>
  <r>
    <x v="6"/>
    <d v="2026-06-08T10:40:31"/>
    <x v="0"/>
    <n v="64514859"/>
    <n v="368028740000"/>
    <s v="8-357-169"/>
    <s v="Fijo"/>
    <x v="0"/>
    <x v="2"/>
    <m/>
    <m/>
    <m/>
    <s v="no"/>
    <m/>
    <m/>
    <x v="2"/>
    <m/>
    <x v="0"/>
    <x v="0"/>
    <s v=""/>
    <s v=""/>
    <s v=""/>
    <s v=""/>
  </r>
  <r>
    <x v="6"/>
    <d v="2026-06-08T11:29:11"/>
    <x v="0"/>
    <n v="62685947"/>
    <n v="364033810000"/>
    <s v="3-72-2014"/>
    <s v="Fijo"/>
    <x v="0"/>
    <x v="6"/>
    <m/>
    <m/>
    <m/>
    <s v="no"/>
    <m/>
    <m/>
    <x v="0"/>
    <m/>
    <x v="0"/>
    <x v="0"/>
    <s v=""/>
    <s v=""/>
    <s v=""/>
    <s v=""/>
  </r>
  <r>
    <x v="6"/>
    <d v="2026-06-08T11:36:47"/>
    <x v="0"/>
    <n v="64783314"/>
    <n v="368034320000"/>
    <s v="C04074071"/>
    <s v="Fijo"/>
    <x v="0"/>
    <x v="6"/>
    <m/>
    <m/>
    <m/>
    <s v="no"/>
    <m/>
    <m/>
    <x v="2"/>
    <m/>
    <x v="0"/>
    <x v="0"/>
    <s v=""/>
    <s v=""/>
    <s v=""/>
    <s v=""/>
  </r>
  <r>
    <x v="6"/>
    <d v="2026-06-08T12:02:14"/>
    <x v="0"/>
    <n v="65077219"/>
    <n v="307034040000"/>
    <s v="8-980-66"/>
    <s v="Fijo"/>
    <x v="0"/>
    <x v="7"/>
    <m/>
    <m/>
    <m/>
    <s v="no"/>
    <m/>
    <m/>
    <x v="1"/>
    <m/>
    <x v="0"/>
    <x v="0"/>
    <s v=""/>
    <s v=""/>
    <s v=""/>
    <s v=""/>
  </r>
  <r>
    <x v="6"/>
    <d v="2026-06-08T12:04:40"/>
    <x v="0"/>
    <n v="67706468"/>
    <n v="361035810000"/>
    <s v="8-1014-1393"/>
    <s v="Fijo"/>
    <x v="0"/>
    <x v="7"/>
    <m/>
    <m/>
    <m/>
    <s v="no"/>
    <m/>
    <m/>
    <x v="1"/>
    <m/>
    <x v="0"/>
    <x v="0"/>
    <s v=""/>
    <s v=""/>
    <s v=""/>
    <s v=""/>
  </r>
  <r>
    <x v="6"/>
    <d v="2026-06-08T12:05:53"/>
    <x v="0"/>
    <n v="65385602"/>
    <n v="343359070000"/>
    <s v="8-1011-1950"/>
    <s v="Fijo"/>
    <x v="0"/>
    <x v="6"/>
    <m/>
    <m/>
    <m/>
    <s v="no"/>
    <m/>
    <m/>
    <x v="1"/>
    <m/>
    <x v="0"/>
    <x v="0"/>
    <s v=""/>
    <s v=""/>
    <s v=""/>
    <s v=""/>
  </r>
  <r>
    <x v="6"/>
    <d v="2026-06-08T12:08:39"/>
    <x v="0"/>
    <n v="67795397"/>
    <n v="362036260000"/>
    <s v="1-735-1329"/>
    <s v="Fijo"/>
    <x v="0"/>
    <x v="6"/>
    <m/>
    <m/>
    <m/>
    <s v="no"/>
    <m/>
    <m/>
    <x v="0"/>
    <m/>
    <x v="0"/>
    <x v="0"/>
    <s v=""/>
    <s v=""/>
    <s v=""/>
    <s v=""/>
  </r>
  <r>
    <x v="6"/>
    <d v="2026-06-08T12:10:09"/>
    <x v="0"/>
    <n v="65253430"/>
    <n v="356001310000"/>
    <s v="8-1014-1630"/>
    <s v="Fijo"/>
    <x v="0"/>
    <x v="6"/>
    <m/>
    <m/>
    <m/>
    <s v="no"/>
    <m/>
    <m/>
    <x v="2"/>
    <m/>
    <x v="0"/>
    <x v="0"/>
    <s v=""/>
    <s v=""/>
    <s v=""/>
    <s v=""/>
  </r>
  <r>
    <x v="6"/>
    <d v="2026-06-08T12:13:13"/>
    <x v="0"/>
    <n v="61123325"/>
    <n v="365016550000"/>
    <s v="8-207-1753"/>
    <s v="Fijo"/>
    <x v="1"/>
    <x v="5"/>
    <m/>
    <m/>
    <m/>
    <s v="si"/>
    <d v="2026-05-25T00:00:00"/>
    <m/>
    <x v="2"/>
    <m/>
    <x v="1"/>
    <x v="0"/>
    <s v="25/may"/>
    <s v=""/>
    <s v=""/>
    <n v="1"/>
  </r>
  <r>
    <x v="6"/>
    <d v="2026-06-08T12:26:52"/>
    <x v="0"/>
    <n v="62245856"/>
    <n v="365030920000"/>
    <s v="8-515-581"/>
    <s v="Fijo"/>
    <x v="0"/>
    <x v="1"/>
    <s v="Situación económica"/>
    <m/>
    <m/>
    <s v="no"/>
    <m/>
    <m/>
    <x v="1"/>
    <m/>
    <x v="0"/>
    <x v="0"/>
    <s v=""/>
    <s v=""/>
    <s v=""/>
    <s v=""/>
  </r>
  <r>
    <x v="6"/>
    <d v="2026-06-08T12:31:49"/>
    <x v="0"/>
    <n v="64751454"/>
    <n v="369026520000"/>
    <s v="8-965-2289"/>
    <s v="Fijo"/>
    <x v="2"/>
    <x v="2"/>
    <m/>
    <m/>
    <m/>
    <s v="no"/>
    <m/>
    <m/>
    <x v="1"/>
    <m/>
    <x v="0"/>
    <x v="0"/>
    <s v=""/>
    <s v=""/>
    <s v=""/>
    <s v=""/>
  </r>
  <r>
    <x v="6"/>
    <d v="2026-06-08T12:38:22"/>
    <x v="0"/>
    <n v="63212444"/>
    <n v="356075250000"/>
    <s v="5-719-1022"/>
    <s v="Fijo"/>
    <x v="2"/>
    <x v="5"/>
    <m/>
    <m/>
    <m/>
    <s v="si"/>
    <d v="2026-06-01T00:00:00"/>
    <m/>
    <x v="2"/>
    <m/>
    <x v="2"/>
    <x v="0"/>
    <s v="01/jun"/>
    <s v=""/>
    <s v=""/>
    <n v="1"/>
  </r>
  <r>
    <x v="6"/>
    <d v="2026-06-08T12:50:31"/>
    <x v="0"/>
    <n v="64518252"/>
    <n v="365034210000"/>
    <s v="9-772-84"/>
    <s v="Fijo"/>
    <x v="2"/>
    <x v="2"/>
    <m/>
    <m/>
    <m/>
    <s v="no"/>
    <m/>
    <m/>
    <x v="2"/>
    <s v="66010136 titular"/>
    <x v="0"/>
    <x v="0"/>
    <s v=""/>
    <s v=""/>
    <s v=""/>
    <s v=""/>
  </r>
  <r>
    <x v="6"/>
    <d v="2026-06-08T12:56:11"/>
    <x v="0"/>
    <n v="69396164"/>
    <n v="365034190000"/>
    <s v="8-1039-934"/>
    <s v="Fijo"/>
    <x v="2"/>
    <x v="5"/>
    <m/>
    <m/>
    <m/>
    <s v="si"/>
    <d v="2026-05-31T00:00:00"/>
    <m/>
    <x v="1"/>
    <m/>
    <x v="1"/>
    <x v="0"/>
    <s v="31/may"/>
    <s v=""/>
    <s v=""/>
    <n v="1"/>
  </r>
  <r>
    <x v="6"/>
    <d v="2026-06-08T12:58:59"/>
    <x v="0"/>
    <n v="62598208"/>
    <n v="361036510000"/>
    <s v="9-743-609"/>
    <s v="Fijo"/>
    <x v="0"/>
    <x v="6"/>
    <m/>
    <m/>
    <m/>
    <s v="no"/>
    <m/>
    <m/>
    <x v="1"/>
    <m/>
    <x v="0"/>
    <x v="0"/>
    <s v=""/>
    <s v=""/>
    <s v=""/>
    <s v=""/>
  </r>
  <r>
    <x v="6"/>
    <d v="2026-06-08T14:12:14"/>
    <x v="0"/>
    <n v="67982047"/>
    <n v="364036200000"/>
    <s v="8-819-2103"/>
    <s v="Fijo"/>
    <x v="0"/>
    <x v="2"/>
    <m/>
    <m/>
    <m/>
    <s v="no"/>
    <m/>
    <m/>
    <x v="1"/>
    <m/>
    <x v="0"/>
    <x v="0"/>
    <s v=""/>
    <s v=""/>
    <s v=""/>
    <s v=""/>
  </r>
  <r>
    <x v="6"/>
    <d v="2026-06-08T14:21:38"/>
    <x v="0"/>
    <n v="63060722"/>
    <n v="362034490000"/>
    <s v="9-127-827"/>
    <s v="Fijo"/>
    <x v="0"/>
    <x v="3"/>
    <m/>
    <m/>
    <m/>
    <s v="no"/>
    <m/>
    <m/>
    <x v="2"/>
    <m/>
    <x v="0"/>
    <x v="0"/>
    <s v=""/>
    <s v=""/>
    <s v=""/>
    <s v=""/>
  </r>
  <r>
    <x v="6"/>
    <d v="2026-06-08T14:25:52"/>
    <x v="0"/>
    <n v="65923460"/>
    <n v="996017340000"/>
    <s v="8-466-34"/>
    <s v="Fijo"/>
    <x v="4"/>
    <x v="6"/>
    <m/>
    <m/>
    <m/>
    <s v="no"/>
    <m/>
    <m/>
    <x v="0"/>
    <m/>
    <x v="0"/>
    <x v="0"/>
    <s v=""/>
    <s v=""/>
    <s v=""/>
    <s v=""/>
  </r>
  <r>
    <x v="6"/>
    <d v="2026-06-08T14:29:18"/>
    <x v="0"/>
    <n v="68905432"/>
    <n v="365034070000"/>
    <s v="12-713-1551"/>
    <s v="Fijo"/>
    <x v="0"/>
    <x v="6"/>
    <m/>
    <m/>
    <m/>
    <s v="no"/>
    <m/>
    <m/>
    <x v="0"/>
    <m/>
    <x v="0"/>
    <x v="0"/>
    <s v=""/>
    <s v=""/>
    <s v=""/>
    <s v=""/>
  </r>
  <r>
    <x v="6"/>
    <d v="2026-06-08T14:32:52"/>
    <x v="0"/>
    <n v="67890543"/>
    <n v="363033640000"/>
    <s v="8-893-1007"/>
    <s v="Fijo"/>
    <x v="0"/>
    <x v="2"/>
    <m/>
    <m/>
    <m/>
    <s v="no"/>
    <m/>
    <m/>
    <x v="2"/>
    <m/>
    <x v="0"/>
    <x v="0"/>
    <s v=""/>
    <s v=""/>
    <s v=""/>
    <s v=""/>
  </r>
  <r>
    <x v="6"/>
    <d v="2026-06-08T14:40:59"/>
    <x v="0"/>
    <n v="67947017"/>
    <n v="352029270000"/>
    <s v="10-709-2122"/>
    <s v="Fijo"/>
    <x v="0"/>
    <x v="2"/>
    <m/>
    <m/>
    <m/>
    <s v="no"/>
    <m/>
    <m/>
    <x v="1"/>
    <m/>
    <x v="0"/>
    <x v="0"/>
    <s v=""/>
    <s v=""/>
    <s v=""/>
    <s v=""/>
  </r>
  <r>
    <x v="6"/>
    <d v="2026-06-08T14:42:11"/>
    <x v="0"/>
    <n v="68692765"/>
    <n v="369036400000"/>
    <s v="4-87-264"/>
    <s v="Fijo"/>
    <x v="0"/>
    <x v="6"/>
    <m/>
    <m/>
    <m/>
    <s v="no"/>
    <m/>
    <m/>
    <x v="0"/>
    <m/>
    <x v="0"/>
    <x v="0"/>
    <s v=""/>
    <s v=""/>
    <s v=""/>
    <s v=""/>
  </r>
  <r>
    <x v="6"/>
    <d v="2026-06-08T14:46:39"/>
    <x v="0"/>
    <n v="68603659"/>
    <n v="369034530000"/>
    <s v="3-744-2470"/>
    <s v="Fijo"/>
    <x v="0"/>
    <x v="2"/>
    <m/>
    <m/>
    <m/>
    <s v="no"/>
    <m/>
    <m/>
    <x v="0"/>
    <m/>
    <x v="0"/>
    <x v="0"/>
    <s v=""/>
    <s v=""/>
    <s v=""/>
    <s v=""/>
  </r>
  <r>
    <x v="6"/>
    <d v="2026-06-08T14:49:25"/>
    <x v="0"/>
    <n v="64780190"/>
    <n v="361028130000"/>
    <s v="8-909-1411"/>
    <s v="Fijo"/>
    <x v="0"/>
    <x v="2"/>
    <m/>
    <m/>
    <m/>
    <s v="no"/>
    <m/>
    <m/>
    <x v="1"/>
    <m/>
    <x v="0"/>
    <x v="0"/>
    <s v=""/>
    <s v=""/>
    <s v=""/>
    <s v=""/>
  </r>
  <r>
    <x v="6"/>
    <d v="2026-06-08T14:53:16"/>
    <x v="0"/>
    <n v="68540108"/>
    <n v="366035160000"/>
    <s v="8-264-544"/>
    <s v="Fijo"/>
    <x v="0"/>
    <x v="6"/>
    <m/>
    <m/>
    <m/>
    <s v="no"/>
    <m/>
    <m/>
    <x v="1"/>
    <m/>
    <x v="0"/>
    <x v="0"/>
    <s v=""/>
    <s v=""/>
    <s v=""/>
    <s v=""/>
  </r>
  <r>
    <x v="6"/>
    <d v="2026-06-08T15:02:13"/>
    <x v="0"/>
    <n v="65252842"/>
    <n v="365037310000"/>
    <s v="8-986-425"/>
    <s v="Fijo"/>
    <x v="0"/>
    <x v="1"/>
    <m/>
    <m/>
    <m/>
    <s v="no"/>
    <m/>
    <m/>
    <x v="2"/>
    <s v="No brinda fecha de pago."/>
    <x v="0"/>
    <x v="0"/>
    <s v=""/>
    <s v=""/>
    <s v=""/>
    <s v=""/>
  </r>
  <r>
    <x v="6"/>
    <d v="2026-06-08T15:08:01"/>
    <x v="0"/>
    <n v="66432289"/>
    <n v="365034040000"/>
    <s v="10-709-1077"/>
    <s v="Fijo"/>
    <x v="0"/>
    <x v="7"/>
    <m/>
    <m/>
    <m/>
    <s v="no"/>
    <m/>
    <m/>
    <x v="2"/>
    <m/>
    <x v="0"/>
    <x v="0"/>
    <s v=""/>
    <s v=""/>
    <s v=""/>
    <s v=""/>
  </r>
  <r>
    <x v="6"/>
    <d v="2026-06-08T15:11:14"/>
    <x v="0"/>
    <n v="69736975"/>
    <n v="361035420000"/>
    <s v="8-1036-1222"/>
    <s v="Fijo"/>
    <x v="0"/>
    <x v="2"/>
    <m/>
    <m/>
    <m/>
    <s v="no"/>
    <m/>
    <m/>
    <x v="2"/>
    <m/>
    <x v="0"/>
    <x v="0"/>
    <s v=""/>
    <s v=""/>
    <s v=""/>
    <s v=""/>
  </r>
  <r>
    <x v="6"/>
    <d v="2026-06-08T15:15:14"/>
    <x v="0"/>
    <n v="62155347"/>
    <n v="363034510000"/>
    <s v="AV624006"/>
    <s v="Fijo"/>
    <x v="0"/>
    <x v="2"/>
    <m/>
    <m/>
    <m/>
    <s v="no"/>
    <m/>
    <m/>
    <x v="1"/>
    <m/>
    <x v="0"/>
    <x v="0"/>
    <s v=""/>
    <s v=""/>
    <s v=""/>
    <s v=""/>
  </r>
  <r>
    <x v="6"/>
    <d v="2026-06-08T15:24:21"/>
    <x v="0"/>
    <n v="65301333"/>
    <n v="346132080000"/>
    <s v="A7381321"/>
    <s v="Fijo"/>
    <x v="0"/>
    <x v="1"/>
    <m/>
    <d v="2026-06-09T00:00:00"/>
    <n v="30.44"/>
    <s v="no"/>
    <m/>
    <m/>
    <x v="1"/>
    <m/>
    <x v="0"/>
    <x v="1"/>
    <s v=""/>
    <s v="09/jun"/>
    <n v="1"/>
    <s v=""/>
  </r>
  <r>
    <x v="6"/>
    <d v="2026-06-08T15:26:43"/>
    <x v="0"/>
    <n v="63787210"/>
    <n v="367036390000"/>
    <s v="3-758-953"/>
    <s v="Fijo"/>
    <x v="0"/>
    <x v="6"/>
    <m/>
    <m/>
    <m/>
    <s v="no"/>
    <m/>
    <m/>
    <x v="0"/>
    <m/>
    <x v="0"/>
    <x v="0"/>
    <s v=""/>
    <s v=""/>
    <s v=""/>
    <s v=""/>
  </r>
  <r>
    <x v="6"/>
    <d v="2026-06-08T15:31:55"/>
    <x v="0"/>
    <n v="64067931"/>
    <n v="317020790000"/>
    <n v="134503273"/>
    <s v="Fijo"/>
    <x v="0"/>
    <x v="5"/>
    <m/>
    <m/>
    <m/>
    <s v="si"/>
    <d v="2026-05-25T00:00:00"/>
    <m/>
    <x v="2"/>
    <m/>
    <x v="1"/>
    <x v="0"/>
    <s v="25/may"/>
    <s v=""/>
    <s v=""/>
    <n v="1"/>
  </r>
  <r>
    <x v="6"/>
    <d v="2026-06-08T15:37:07"/>
    <x v="0"/>
    <n v="68291444"/>
    <n v="365037850000"/>
    <s v="10-716-527"/>
    <s v="Fijo"/>
    <x v="0"/>
    <x v="1"/>
    <m/>
    <d v="2026-06-22T00:00:00"/>
    <n v="30.41"/>
    <s v="no"/>
    <m/>
    <m/>
    <x v="1"/>
    <m/>
    <x v="0"/>
    <x v="1"/>
    <s v=""/>
    <s v="22/jun"/>
    <n v="1"/>
    <s v=""/>
  </r>
  <r>
    <x v="6"/>
    <d v="2026-06-08T15:44:38"/>
    <x v="0"/>
    <n v="64570483"/>
    <n v="367030360000"/>
    <s v="3-731-2352"/>
    <s v="Fijo"/>
    <x v="0"/>
    <x v="3"/>
    <m/>
    <m/>
    <m/>
    <s v="no"/>
    <m/>
    <m/>
    <x v="2"/>
    <m/>
    <x v="0"/>
    <x v="0"/>
    <s v=""/>
    <s v=""/>
    <s v=""/>
    <s v=""/>
  </r>
  <r>
    <x v="6"/>
    <d v="2026-06-08T15:48:42"/>
    <x v="0"/>
    <n v="64392217"/>
    <n v="361037900000"/>
    <s v="10-707-2196"/>
    <s v="Fijo"/>
    <x v="0"/>
    <x v="6"/>
    <m/>
    <m/>
    <m/>
    <s v="no"/>
    <m/>
    <m/>
    <x v="0"/>
    <m/>
    <x v="0"/>
    <x v="0"/>
    <s v=""/>
    <s v=""/>
    <s v=""/>
    <s v=""/>
  </r>
  <r>
    <x v="6"/>
    <d v="2026-06-08T15:50:55"/>
    <x v="0"/>
    <n v="65302840"/>
    <n v="361019970000"/>
    <s v="E-8-69795"/>
    <s v="Fijo"/>
    <x v="0"/>
    <x v="6"/>
    <m/>
    <m/>
    <m/>
    <s v="no"/>
    <m/>
    <m/>
    <x v="0"/>
    <m/>
    <x v="0"/>
    <x v="0"/>
    <s v=""/>
    <s v=""/>
    <s v=""/>
    <s v=""/>
  </r>
  <r>
    <x v="6"/>
    <d v="2026-06-08T15:54:27"/>
    <x v="0"/>
    <n v="60124290"/>
    <n v="364036610000"/>
    <s v="8-791-2313"/>
    <s v="Fijo"/>
    <x v="2"/>
    <x v="5"/>
    <m/>
    <m/>
    <m/>
    <s v="si"/>
    <d v="2026-06-02T00:00:00"/>
    <m/>
    <x v="1"/>
    <m/>
    <x v="2"/>
    <x v="0"/>
    <s v="02/jun"/>
    <s v=""/>
    <s v=""/>
    <n v="1"/>
  </r>
  <r>
    <x v="6"/>
    <d v="2026-06-08T15:59:13"/>
    <x v="0"/>
    <n v="61629844"/>
    <n v="365036580000"/>
    <s v="3-21-222"/>
    <s v="Fijo"/>
    <x v="2"/>
    <x v="2"/>
    <m/>
    <m/>
    <m/>
    <s v="no"/>
    <m/>
    <m/>
    <x v="0"/>
    <m/>
    <x v="0"/>
    <x v="0"/>
    <s v=""/>
    <s v=""/>
    <s v=""/>
    <s v=""/>
  </r>
  <r>
    <x v="6"/>
    <d v="2026-06-08T16:02:55"/>
    <x v="0"/>
    <n v="62065628"/>
    <n v="289054700000"/>
    <s v="9-736-1068"/>
    <s v="Fijo"/>
    <x v="0"/>
    <x v="5"/>
    <m/>
    <m/>
    <m/>
    <s v="si"/>
    <d v="2026-06-06T00:00:00"/>
    <m/>
    <x v="2"/>
    <m/>
    <x v="2"/>
    <x v="0"/>
    <s v="06/jun"/>
    <s v=""/>
    <s v=""/>
    <n v="1"/>
  </r>
  <r>
    <x v="6"/>
    <d v="2026-06-08T16:05:23"/>
    <x v="0"/>
    <n v="67432631"/>
    <n v="365034060000"/>
    <s v="8-441-410"/>
    <s v="Fijo"/>
    <x v="3"/>
    <x v="6"/>
    <m/>
    <m/>
    <m/>
    <s v="no"/>
    <m/>
    <m/>
    <x v="1"/>
    <m/>
    <x v="0"/>
    <x v="0"/>
    <s v=""/>
    <s v=""/>
    <s v=""/>
    <s v=""/>
  </r>
  <r>
    <x v="6"/>
    <d v="2026-06-08T16:08:55"/>
    <x v="0"/>
    <n v="64900263"/>
    <n v="366034170000"/>
    <s v="4-833-2327"/>
    <s v="Fijo"/>
    <x v="4"/>
    <x v="6"/>
    <m/>
    <m/>
    <m/>
    <s v="no"/>
    <m/>
    <m/>
    <x v="0"/>
    <m/>
    <x v="0"/>
    <x v="0"/>
    <s v=""/>
    <s v=""/>
    <s v=""/>
    <s v=""/>
  </r>
  <r>
    <x v="6"/>
    <d v="2026-06-08T16:12:53"/>
    <x v="0"/>
    <n v="66889397"/>
    <n v="368036010000"/>
    <s v="8-297-584"/>
    <s v="Fijo"/>
    <x v="0"/>
    <x v="6"/>
    <m/>
    <m/>
    <m/>
    <s v="no"/>
    <m/>
    <m/>
    <x v="1"/>
    <m/>
    <x v="0"/>
    <x v="0"/>
    <s v=""/>
    <s v=""/>
    <s v=""/>
    <s v=""/>
  </r>
  <r>
    <x v="6"/>
    <d v="2026-06-08T16:16:07"/>
    <x v="0"/>
    <n v="67890543"/>
    <n v="295012460000"/>
    <s v="8-352-790"/>
    <s v="Fijo"/>
    <x v="0"/>
    <x v="5"/>
    <m/>
    <m/>
    <m/>
    <s v="si"/>
    <d v="2026-05-29T00:00:00"/>
    <m/>
    <x v="2"/>
    <m/>
    <x v="1"/>
    <x v="0"/>
    <s v="29/may"/>
    <s v=""/>
    <s v=""/>
    <n v="1"/>
  </r>
  <r>
    <x v="6"/>
    <d v="2026-06-08T16:26:37"/>
    <x v="0"/>
    <n v="67517166"/>
    <n v="361037260000"/>
    <s v="10-709-502"/>
    <s v="Fijo"/>
    <x v="0"/>
    <x v="6"/>
    <m/>
    <m/>
    <m/>
    <s v="no"/>
    <m/>
    <m/>
    <x v="0"/>
    <m/>
    <x v="0"/>
    <x v="0"/>
    <s v=""/>
    <s v=""/>
    <s v=""/>
    <s v=""/>
  </r>
  <r>
    <x v="6"/>
    <d v="2026-06-08T16:40:07"/>
    <x v="0"/>
    <n v="62417886"/>
    <n v="365036320000"/>
    <s v="4-237-46"/>
    <s v="Fijo"/>
    <x v="0"/>
    <x v="1"/>
    <m/>
    <d v="2026-06-13T00:00:00"/>
    <n v="28.42"/>
    <s v="no"/>
    <m/>
    <m/>
    <x v="1"/>
    <m/>
    <x v="0"/>
    <x v="1"/>
    <s v=""/>
    <s v="13/jun"/>
    <n v="1"/>
    <s v=""/>
  </r>
  <r>
    <x v="6"/>
    <d v="2026-06-08T16:50:33"/>
    <x v="0"/>
    <n v="66529477"/>
    <n v="266050980000"/>
    <s v="8-875-711"/>
    <s v="Fijo"/>
    <x v="3"/>
    <x v="1"/>
    <m/>
    <d v="2026-06-12T00:00:00"/>
    <n v="45"/>
    <s v="no"/>
    <m/>
    <m/>
    <x v="0"/>
    <m/>
    <x v="0"/>
    <x v="1"/>
    <s v=""/>
    <s v="12/jun"/>
    <n v="1"/>
    <s v=""/>
  </r>
  <r>
    <x v="6"/>
    <d v="2026-06-08T16:56:33"/>
    <x v="0"/>
    <n v="67371360"/>
    <n v="333004240000"/>
    <s v="8-767-2406"/>
    <s v="Fijo"/>
    <x v="3"/>
    <x v="5"/>
    <m/>
    <m/>
    <m/>
    <s v="si"/>
    <d v="2026-06-08T00:00:00"/>
    <n v="44.66"/>
    <x v="2"/>
    <s v="Realiza pago."/>
    <x v="2"/>
    <x v="0"/>
    <s v="08/jun"/>
    <s v=""/>
    <s v=""/>
    <n v="1"/>
  </r>
  <r>
    <x v="6"/>
    <d v="2026-06-08T17:04:08"/>
    <x v="0"/>
    <n v="66513486"/>
    <n v="327083610000"/>
    <s v="6-723-943"/>
    <s v="Fijo"/>
    <x v="0"/>
    <x v="1"/>
    <m/>
    <d v="2026-06-15T00:00:00"/>
    <n v="20.149999999999999"/>
    <s v="no"/>
    <m/>
    <m/>
    <x v="2"/>
    <m/>
    <x v="0"/>
    <x v="1"/>
    <s v=""/>
    <s v="15/jun"/>
    <n v="1"/>
    <s v=""/>
  </r>
  <r>
    <x v="6"/>
    <d v="2026-06-08T17:14:18"/>
    <x v="0"/>
    <n v="64548378"/>
    <n v="981043730000"/>
    <s v="4-140-904"/>
    <s v="Fijo"/>
    <x v="0"/>
    <x v="6"/>
    <m/>
    <m/>
    <m/>
    <s v="no"/>
    <m/>
    <m/>
    <x v="0"/>
    <m/>
    <x v="0"/>
    <x v="0"/>
    <s v=""/>
    <s v=""/>
    <s v=""/>
    <s v=""/>
  </r>
  <r>
    <x v="6"/>
    <d v="2026-06-08T17:19:46"/>
    <x v="0"/>
    <n v="62620011"/>
    <n v="369036510000"/>
    <s v="3-760-1993"/>
    <s v="Fijo"/>
    <x v="0"/>
    <x v="2"/>
    <m/>
    <m/>
    <m/>
    <s v="no"/>
    <m/>
    <m/>
    <x v="2"/>
    <m/>
    <x v="0"/>
    <x v="0"/>
    <s v=""/>
    <s v=""/>
    <s v=""/>
    <s v=""/>
  </r>
  <r>
    <x v="6"/>
    <d v="2026-06-08T17:26:01"/>
    <x v="0"/>
    <n v="64801214"/>
    <n v="366037470000"/>
    <s v="8-790-2182"/>
    <s v="Fijo"/>
    <x v="0"/>
    <x v="1"/>
    <m/>
    <d v="2026-06-09T00:00:00"/>
    <n v="69.7"/>
    <s v="no"/>
    <m/>
    <m/>
    <x v="2"/>
    <m/>
    <x v="0"/>
    <x v="1"/>
    <s v=""/>
    <s v="09/jun"/>
    <n v="1"/>
    <s v=""/>
  </r>
  <r>
    <x v="7"/>
    <d v="2026-06-09T09:26:00"/>
    <x v="0"/>
    <n v="67430506"/>
    <n v="364039060000"/>
    <s v="8-719-1481"/>
    <s v="Fijo"/>
    <x v="0"/>
    <x v="0"/>
    <m/>
    <m/>
    <m/>
    <s v="no"/>
    <m/>
    <m/>
    <x v="0"/>
    <m/>
    <x v="0"/>
    <x v="0"/>
    <s v=""/>
    <s v=""/>
    <s v=""/>
    <s v=""/>
  </r>
  <r>
    <x v="7"/>
    <d v="2026-06-09T09:28:36"/>
    <x v="0"/>
    <n v="60246032"/>
    <n v="359067460000"/>
    <s v="3-757-2201"/>
    <s v="Fijo"/>
    <x v="0"/>
    <x v="2"/>
    <m/>
    <m/>
    <m/>
    <s v="no"/>
    <m/>
    <m/>
    <x v="0"/>
    <m/>
    <x v="0"/>
    <x v="0"/>
    <s v=""/>
    <s v=""/>
    <s v=""/>
    <s v=""/>
  </r>
  <r>
    <x v="7"/>
    <d v="2026-06-09T09:34:42"/>
    <x v="0"/>
    <n v="62771091"/>
    <n v="366036550000"/>
    <s v="N-20-1279"/>
    <s v="Fijo"/>
    <x v="1"/>
    <x v="5"/>
    <m/>
    <m/>
    <m/>
    <s v="si"/>
    <d v="2026-06-05T00:00:00"/>
    <m/>
    <x v="1"/>
    <m/>
    <x v="2"/>
    <x v="0"/>
    <s v="05/jun"/>
    <s v=""/>
    <s v=""/>
    <n v="1"/>
  </r>
  <r>
    <x v="7"/>
    <d v="2026-06-09T09:43:03"/>
    <x v="0"/>
    <n v="66256754"/>
    <n v="364035360000"/>
    <s v="8-530-1233"/>
    <s v="Fijo"/>
    <x v="0"/>
    <x v="5"/>
    <m/>
    <m/>
    <m/>
    <s v="si"/>
    <d v="2026-05-27T00:00:00"/>
    <m/>
    <x v="2"/>
    <m/>
    <x v="1"/>
    <x v="0"/>
    <s v="27/may"/>
    <s v=""/>
    <s v=""/>
    <n v="1"/>
  </r>
  <r>
    <x v="7"/>
    <d v="2026-06-09T09:47:42"/>
    <x v="0"/>
    <n v="67049999"/>
    <n v="367030810000"/>
    <s v="E-8-189570"/>
    <s v="Fijo"/>
    <x v="2"/>
    <x v="5"/>
    <m/>
    <m/>
    <m/>
    <s v="si"/>
    <m/>
    <m/>
    <x v="2"/>
    <m/>
    <x v="0"/>
    <x v="0"/>
    <s v=""/>
    <s v=""/>
    <s v=""/>
    <s v=""/>
  </r>
  <r>
    <x v="7"/>
    <d v="2026-06-09T09:53:08"/>
    <x v="0"/>
    <n v="69850780"/>
    <n v="367036510000"/>
    <s v="10-711-1306"/>
    <s v="Fijo"/>
    <x v="0"/>
    <x v="7"/>
    <m/>
    <m/>
    <m/>
    <s v="no"/>
    <m/>
    <m/>
    <x v="1"/>
    <m/>
    <x v="0"/>
    <x v="0"/>
    <s v=""/>
    <s v=""/>
    <s v=""/>
    <s v=""/>
  </r>
  <r>
    <x v="7"/>
    <d v="2026-06-09T09:57:05"/>
    <x v="0"/>
    <n v="67089303"/>
    <n v="369021690000"/>
    <s v="8-230-1085"/>
    <s v="Fijo"/>
    <x v="0"/>
    <x v="5"/>
    <m/>
    <m/>
    <m/>
    <s v="si"/>
    <d v="2026-05-29T00:00:00"/>
    <m/>
    <x v="2"/>
    <m/>
    <x v="1"/>
    <x v="0"/>
    <s v="29/may"/>
    <s v=""/>
    <s v=""/>
    <n v="1"/>
  </r>
  <r>
    <x v="7"/>
    <d v="2026-06-09T10:02:38"/>
    <x v="0"/>
    <n v="69727304"/>
    <n v="362035620000"/>
    <s v="7-116-2620"/>
    <s v="Fijo"/>
    <x v="0"/>
    <x v="3"/>
    <m/>
    <d v="2026-06-10T00:00:00"/>
    <n v="25.88"/>
    <s v="no"/>
    <m/>
    <m/>
    <x v="2"/>
    <m/>
    <x v="0"/>
    <x v="1"/>
    <s v=""/>
    <s v="10/jun"/>
    <n v="1"/>
    <s v=""/>
  </r>
  <r>
    <x v="7"/>
    <d v="2026-06-09T10:08:36"/>
    <x v="0"/>
    <n v="66399201"/>
    <n v="364036870000"/>
    <n v="182863259"/>
    <s v="Fijo"/>
    <x v="3"/>
    <x v="2"/>
    <m/>
    <m/>
    <m/>
    <s v="no"/>
    <m/>
    <m/>
    <x v="0"/>
    <m/>
    <x v="0"/>
    <x v="0"/>
    <s v=""/>
    <s v=""/>
    <s v=""/>
    <s v=""/>
  </r>
  <r>
    <x v="7"/>
    <d v="2026-06-09T10:13:45"/>
    <x v="0"/>
    <n v="65203642"/>
    <n v="361019400000"/>
    <s v="8-811-2192"/>
    <s v="Fijo"/>
    <x v="3"/>
    <x v="5"/>
    <m/>
    <m/>
    <m/>
    <s v="si"/>
    <d v="2026-05-19T00:00:00"/>
    <m/>
    <x v="2"/>
    <m/>
    <x v="1"/>
    <x v="0"/>
    <s v="19/may"/>
    <s v=""/>
    <s v=""/>
    <n v="1"/>
  </r>
  <r>
    <x v="7"/>
    <d v="2026-06-09T10:20:23"/>
    <x v="0"/>
    <n v="68154163"/>
    <n v="361036840000"/>
    <s v="8-781-1180"/>
    <s v="Fijo"/>
    <x v="4"/>
    <x v="2"/>
    <m/>
    <m/>
    <m/>
    <s v="no"/>
    <m/>
    <m/>
    <x v="2"/>
    <m/>
    <x v="0"/>
    <x v="0"/>
    <s v=""/>
    <s v=""/>
    <s v=""/>
    <s v=""/>
  </r>
  <r>
    <x v="7"/>
    <d v="2026-06-09T10:25:33"/>
    <x v="0"/>
    <n v="67687130"/>
    <n v="369003570000"/>
    <s v="8-473-188"/>
    <s v="Fijo"/>
    <x v="4"/>
    <x v="5"/>
    <m/>
    <m/>
    <m/>
    <s v="si"/>
    <d v="2026-05-26T00:00:00"/>
    <m/>
    <x v="1"/>
    <m/>
    <x v="1"/>
    <x v="0"/>
    <s v="26/may"/>
    <s v=""/>
    <s v=""/>
    <n v="1"/>
  </r>
  <r>
    <x v="7"/>
    <d v="2026-06-09T10:31:20"/>
    <x v="0"/>
    <n v="67153064"/>
    <n v="216052930000"/>
    <s v="8-707-2214"/>
    <s v="Fijo"/>
    <x v="3"/>
    <x v="5"/>
    <m/>
    <m/>
    <m/>
    <s v="si"/>
    <d v="2026-05-27T00:00:00"/>
    <m/>
    <x v="2"/>
    <m/>
    <x v="1"/>
    <x v="0"/>
    <s v="27/may"/>
    <s v=""/>
    <s v=""/>
    <n v="1"/>
  </r>
  <r>
    <x v="7"/>
    <d v="2026-06-09T10:35:35"/>
    <x v="0"/>
    <n v="68905432"/>
    <n v="341388600000"/>
    <s v="8-852-2299"/>
    <s v="Fijo"/>
    <x v="0"/>
    <x v="6"/>
    <m/>
    <m/>
    <m/>
    <s v="no"/>
    <m/>
    <m/>
    <x v="0"/>
    <m/>
    <x v="0"/>
    <x v="0"/>
    <s v=""/>
    <s v=""/>
    <s v=""/>
    <s v=""/>
  </r>
  <r>
    <x v="7"/>
    <d v="2026-06-09T10:42:15"/>
    <x v="0"/>
    <n v="66388190"/>
    <n v="346074620000"/>
    <s v="4-286-149"/>
    <s v="Fijo"/>
    <x v="0"/>
    <x v="1"/>
    <m/>
    <d v="2026-06-15T00:00:00"/>
    <n v="30.44"/>
    <s v="no"/>
    <m/>
    <m/>
    <x v="1"/>
    <m/>
    <x v="0"/>
    <x v="1"/>
    <s v=""/>
    <s v="15/jun"/>
    <n v="1"/>
    <s v=""/>
  </r>
  <r>
    <x v="7"/>
    <d v="2026-06-09T10:45:43"/>
    <x v="0"/>
    <n v="64866239"/>
    <n v="364039100000"/>
    <s v="8-714-1857"/>
    <s v="Fijo"/>
    <x v="0"/>
    <x v="5"/>
    <m/>
    <m/>
    <m/>
    <s v="si"/>
    <d v="2026-05-18T00:00:00"/>
    <m/>
    <x v="1"/>
    <m/>
    <x v="1"/>
    <x v="0"/>
    <s v="18/may"/>
    <s v=""/>
    <s v=""/>
    <n v="1"/>
  </r>
  <r>
    <x v="7"/>
    <d v="2026-06-09T10:48:42"/>
    <x v="0"/>
    <n v="67331934"/>
    <n v="365036310000"/>
    <s v="8-909-2086"/>
    <s v="Fijo"/>
    <x v="0"/>
    <x v="3"/>
    <m/>
    <m/>
    <m/>
    <s v="no"/>
    <m/>
    <m/>
    <x v="0"/>
    <m/>
    <x v="0"/>
    <x v="0"/>
    <s v=""/>
    <s v=""/>
    <s v=""/>
    <s v=""/>
  </r>
  <r>
    <x v="7"/>
    <d v="2026-06-09T11:02:53"/>
    <x v="0"/>
    <n v="69539558"/>
    <n v="367038140000"/>
    <s v="4-270-341"/>
    <s v="Movil"/>
    <x v="0"/>
    <x v="5"/>
    <m/>
    <m/>
    <m/>
    <s v="si"/>
    <d v="2026-05-27T00:00:00"/>
    <m/>
    <x v="2"/>
    <m/>
    <x v="1"/>
    <x v="0"/>
    <s v="27/may"/>
    <s v=""/>
    <s v=""/>
    <n v="1"/>
  </r>
  <r>
    <x v="7"/>
    <d v="2026-06-09T11:05:14"/>
    <x v="0"/>
    <n v="69563282"/>
    <n v="363033580000"/>
    <s v="4-97-853"/>
    <s v="Fijo"/>
    <x v="0"/>
    <x v="6"/>
    <m/>
    <m/>
    <m/>
    <s v="no"/>
    <m/>
    <m/>
    <x v="0"/>
    <m/>
    <x v="0"/>
    <x v="0"/>
    <s v=""/>
    <s v=""/>
    <s v=""/>
    <s v=""/>
  </r>
  <r>
    <x v="7"/>
    <d v="2026-06-09T11:09:00"/>
    <x v="0"/>
    <n v="68460314"/>
    <n v="363029390000"/>
    <s v="2-85-503"/>
    <s v="Fijo"/>
    <x v="0"/>
    <x v="3"/>
    <m/>
    <m/>
    <m/>
    <s v="no"/>
    <m/>
    <m/>
    <x v="1"/>
    <m/>
    <x v="0"/>
    <x v="0"/>
    <s v=""/>
    <s v=""/>
    <s v=""/>
    <s v=""/>
  </r>
  <r>
    <x v="7"/>
    <d v="2026-06-09T11:17:30"/>
    <x v="0"/>
    <n v="67284134"/>
    <n v="369030160000"/>
    <s v="8-743-712"/>
    <s v="Fijo"/>
    <x v="0"/>
    <x v="5"/>
    <m/>
    <m/>
    <m/>
    <s v="si"/>
    <d v="2026-05-31T00:00:00"/>
    <m/>
    <x v="1"/>
    <m/>
    <x v="1"/>
    <x v="0"/>
    <s v="31/may"/>
    <s v=""/>
    <s v=""/>
    <n v="1"/>
  </r>
  <r>
    <x v="7"/>
    <d v="2026-06-09T11:23:16"/>
    <x v="0"/>
    <n v="67176750"/>
    <n v="369036530000"/>
    <s v="8-769-1669"/>
    <s v="Fijo"/>
    <x v="0"/>
    <x v="6"/>
    <m/>
    <m/>
    <m/>
    <s v="no"/>
    <m/>
    <m/>
    <x v="0"/>
    <m/>
    <x v="0"/>
    <x v="0"/>
    <s v=""/>
    <s v=""/>
    <s v=""/>
    <s v=""/>
  </r>
  <r>
    <x v="7"/>
    <d v="2026-06-09T11:26:20"/>
    <x v="0"/>
    <n v="68368222"/>
    <n v="365039010000"/>
    <s v="1-737-715"/>
    <s v="Fijo"/>
    <x v="0"/>
    <x v="2"/>
    <m/>
    <m/>
    <m/>
    <s v="no"/>
    <m/>
    <m/>
    <x v="0"/>
    <m/>
    <x v="0"/>
    <x v="0"/>
    <s v=""/>
    <s v=""/>
    <s v=""/>
    <s v=""/>
  </r>
  <r>
    <x v="7"/>
    <d v="2026-06-09T11:28:17"/>
    <x v="0"/>
    <n v="66407050"/>
    <n v="366036510000"/>
    <s v="8-951-1518"/>
    <s v="Fijo"/>
    <x v="0"/>
    <x v="6"/>
    <m/>
    <m/>
    <m/>
    <s v="no"/>
    <m/>
    <m/>
    <x v="1"/>
    <m/>
    <x v="0"/>
    <x v="0"/>
    <s v=""/>
    <s v=""/>
    <s v=""/>
    <s v=""/>
  </r>
  <r>
    <x v="7"/>
    <d v="2026-06-09T11:31:46"/>
    <x v="0"/>
    <n v="69002624"/>
    <n v="365035800000"/>
    <s v="11-700-115"/>
    <s v="Fijo"/>
    <x v="0"/>
    <x v="2"/>
    <m/>
    <m/>
    <m/>
    <s v="no"/>
    <m/>
    <m/>
    <x v="0"/>
    <m/>
    <x v="0"/>
    <x v="0"/>
    <s v=""/>
    <s v=""/>
    <s v=""/>
    <s v=""/>
  </r>
  <r>
    <x v="7"/>
    <d v="2026-06-09T11:38:12"/>
    <x v="0"/>
    <n v="68205684"/>
    <n v="362040100000"/>
    <s v="8-860-2440"/>
    <s v="Fijo"/>
    <x v="0"/>
    <x v="3"/>
    <m/>
    <d v="2026-06-14T00:00:00"/>
    <n v="30.44"/>
    <s v="no"/>
    <m/>
    <m/>
    <x v="1"/>
    <m/>
    <x v="0"/>
    <x v="1"/>
    <s v=""/>
    <s v="14/jun"/>
    <n v="1"/>
    <s v=""/>
  </r>
  <r>
    <x v="7"/>
    <d v="2026-06-09T11:41:13"/>
    <x v="0"/>
    <n v="65077219"/>
    <n v="297007170000"/>
    <s v="8-860-277"/>
    <s v="Fijo"/>
    <x v="0"/>
    <x v="7"/>
    <m/>
    <m/>
    <m/>
    <s v="no"/>
    <m/>
    <m/>
    <x v="0"/>
    <m/>
    <x v="0"/>
    <x v="0"/>
    <s v=""/>
    <s v=""/>
    <s v=""/>
    <s v=""/>
  </r>
  <r>
    <x v="7"/>
    <d v="2026-06-09T11:45:00"/>
    <x v="0"/>
    <n v="69069492"/>
    <n v="369039930000"/>
    <s v="8-982-419"/>
    <s v="Fijo"/>
    <x v="0"/>
    <x v="5"/>
    <m/>
    <m/>
    <m/>
    <s v="si"/>
    <d v="2026-05-28T00:00:00"/>
    <m/>
    <x v="2"/>
    <m/>
    <x v="1"/>
    <x v="0"/>
    <s v="28/may"/>
    <s v=""/>
    <s v=""/>
    <n v="1"/>
  </r>
  <r>
    <x v="7"/>
    <d v="2026-06-09T11:46:27"/>
    <x v="0"/>
    <n v="69621867"/>
    <n v="368040430000"/>
    <s v="8-1029-1398"/>
    <s v="Fijo"/>
    <x v="0"/>
    <x v="6"/>
    <m/>
    <m/>
    <m/>
    <s v="no"/>
    <m/>
    <m/>
    <x v="0"/>
    <m/>
    <x v="0"/>
    <x v="0"/>
    <s v=""/>
    <s v=""/>
    <s v=""/>
    <s v=""/>
  </r>
  <r>
    <x v="7"/>
    <d v="2026-06-09T11:52:03"/>
    <x v="0"/>
    <n v="61736149"/>
    <n v="364039680000"/>
    <s v="8-952-1707"/>
    <s v="Fijo"/>
    <x v="0"/>
    <x v="5"/>
    <m/>
    <m/>
    <m/>
    <s v="si"/>
    <d v="2026-05-27T00:00:00"/>
    <m/>
    <x v="2"/>
    <m/>
    <x v="1"/>
    <x v="0"/>
    <s v="27/may"/>
    <s v=""/>
    <s v=""/>
    <n v="1"/>
  </r>
  <r>
    <x v="7"/>
    <d v="2026-06-09T11:54:02"/>
    <x v="0"/>
    <n v="62214515"/>
    <n v="357237360000"/>
    <s v="8-816-393"/>
    <s v="Fijo"/>
    <x v="0"/>
    <x v="6"/>
    <m/>
    <m/>
    <m/>
    <s v="no"/>
    <m/>
    <m/>
    <x v="2"/>
    <m/>
    <x v="0"/>
    <x v="0"/>
    <s v=""/>
    <s v=""/>
    <s v=""/>
    <s v=""/>
  </r>
  <r>
    <x v="7"/>
    <d v="2026-06-09T11:58:54"/>
    <x v="0"/>
    <n v="64957028"/>
    <n v="363040350000"/>
    <s v="1-735-1329"/>
    <s v="Fijo"/>
    <x v="0"/>
    <x v="0"/>
    <m/>
    <m/>
    <m/>
    <s v="no"/>
    <m/>
    <m/>
    <x v="0"/>
    <m/>
    <x v="0"/>
    <x v="0"/>
    <s v=""/>
    <s v=""/>
    <s v=""/>
    <s v=""/>
  </r>
  <r>
    <x v="7"/>
    <d v="2026-06-09T12:03:14"/>
    <x v="0"/>
    <n v="68609185"/>
    <n v="361034520000"/>
    <s v="8-1043-2056"/>
    <s v="Fijo"/>
    <x v="0"/>
    <x v="2"/>
    <m/>
    <m/>
    <m/>
    <s v="no"/>
    <m/>
    <m/>
    <x v="1"/>
    <m/>
    <x v="0"/>
    <x v="0"/>
    <s v=""/>
    <s v=""/>
    <s v=""/>
    <s v=""/>
  </r>
  <r>
    <x v="7"/>
    <d v="2026-06-09T12:07:02"/>
    <x v="0"/>
    <n v="69841411"/>
    <n v="366040600000"/>
    <s v="8-904-2473"/>
    <s v="Fijo"/>
    <x v="0"/>
    <x v="5"/>
    <m/>
    <m/>
    <m/>
    <s v="si"/>
    <d v="2026-05-28T00:00:00"/>
    <m/>
    <x v="2"/>
    <m/>
    <x v="1"/>
    <x v="0"/>
    <s v="28/may"/>
    <s v=""/>
    <s v=""/>
    <n v="1"/>
  </r>
  <r>
    <x v="7"/>
    <d v="2026-06-09T12:10:37"/>
    <x v="0"/>
    <n v="68489491"/>
    <n v="368035190000"/>
    <s v="8-741-1853"/>
    <s v="Fijo"/>
    <x v="0"/>
    <x v="2"/>
    <m/>
    <m/>
    <m/>
    <s v="no"/>
    <m/>
    <m/>
    <x v="1"/>
    <m/>
    <x v="0"/>
    <x v="0"/>
    <s v=""/>
    <s v=""/>
    <s v=""/>
    <s v=""/>
  </r>
  <r>
    <x v="7"/>
    <d v="2026-06-09T12:12:56"/>
    <x v="0"/>
    <n v="63426300"/>
    <n v="363036610000"/>
    <s v="5-724-673"/>
    <s v="Fijo"/>
    <x v="0"/>
    <x v="5"/>
    <m/>
    <m/>
    <m/>
    <s v="si"/>
    <d v="2026-06-01T00:00:00"/>
    <m/>
    <x v="2"/>
    <m/>
    <x v="2"/>
    <x v="0"/>
    <s v="01/jun"/>
    <s v=""/>
    <s v=""/>
    <n v="1"/>
  </r>
  <r>
    <x v="7"/>
    <d v="2026-06-09T12:16:39"/>
    <x v="0"/>
    <n v="62304771"/>
    <n v="341342150000"/>
    <s v="8-835-1168"/>
    <s v="Fijo"/>
    <x v="0"/>
    <x v="9"/>
    <m/>
    <m/>
    <m/>
    <s v="no"/>
    <m/>
    <m/>
    <x v="0"/>
    <m/>
    <x v="0"/>
    <x v="0"/>
    <s v=""/>
    <s v=""/>
    <s v=""/>
    <s v=""/>
  </r>
  <r>
    <x v="7"/>
    <d v="2026-06-09T12:22:38"/>
    <x v="0"/>
    <n v="68975857"/>
    <n v="332079390000"/>
    <s v="8-804-1031"/>
    <s v="Fijo"/>
    <x v="0"/>
    <x v="0"/>
    <m/>
    <m/>
    <m/>
    <s v="no"/>
    <m/>
    <m/>
    <x v="2"/>
    <m/>
    <x v="0"/>
    <x v="0"/>
    <s v=""/>
    <s v=""/>
    <s v=""/>
    <s v=""/>
  </r>
  <r>
    <x v="7"/>
    <d v="2026-06-09T12:26:18"/>
    <x v="0"/>
    <n v="68499036"/>
    <n v="367034620000"/>
    <s v="8-1067-998"/>
    <s v="Fijo"/>
    <x v="2"/>
    <x v="3"/>
    <m/>
    <m/>
    <m/>
    <s v="no"/>
    <m/>
    <m/>
    <x v="1"/>
    <m/>
    <x v="0"/>
    <x v="0"/>
    <s v=""/>
    <s v=""/>
    <s v=""/>
    <s v=""/>
  </r>
  <r>
    <x v="7"/>
    <d v="2026-06-09T12:30:12"/>
    <x v="0"/>
    <n v="69669701"/>
    <n v="367037110000"/>
    <s v="1-717-651"/>
    <s v="Fijo"/>
    <x v="2"/>
    <x v="2"/>
    <m/>
    <m/>
    <m/>
    <s v="no"/>
    <m/>
    <m/>
    <x v="1"/>
    <m/>
    <x v="0"/>
    <x v="0"/>
    <s v=""/>
    <s v=""/>
    <s v=""/>
    <s v=""/>
  </r>
  <r>
    <x v="7"/>
    <d v="2026-06-09T12:33:21"/>
    <x v="0"/>
    <n v="62942144"/>
    <n v="369039110000"/>
    <s v="2-115-978"/>
    <s v="Fijo"/>
    <x v="2"/>
    <x v="5"/>
    <m/>
    <m/>
    <m/>
    <s v="si"/>
    <d v="2026-05-29T00:00:00"/>
    <m/>
    <x v="2"/>
    <m/>
    <x v="1"/>
    <x v="0"/>
    <s v="29/may"/>
    <s v=""/>
    <s v=""/>
    <n v="1"/>
  </r>
  <r>
    <x v="7"/>
    <d v="2026-06-09T12:35:58"/>
    <x v="0"/>
    <n v="62129461"/>
    <n v="366026760000"/>
    <s v="PE-9-599"/>
    <s v="Fijo"/>
    <x v="2"/>
    <x v="2"/>
    <m/>
    <m/>
    <m/>
    <s v="no"/>
    <m/>
    <m/>
    <x v="2"/>
    <m/>
    <x v="0"/>
    <x v="0"/>
    <s v=""/>
    <s v=""/>
    <s v=""/>
    <s v=""/>
  </r>
  <r>
    <x v="7"/>
    <d v="2026-06-09T12:40:57"/>
    <x v="0"/>
    <n v="65100264"/>
    <n v="367037950000"/>
    <s v="8-846-182"/>
    <s v="Fijo"/>
    <x v="0"/>
    <x v="5"/>
    <m/>
    <m/>
    <m/>
    <s v="si"/>
    <d v="2026-05-25T00:00:00"/>
    <m/>
    <x v="2"/>
    <m/>
    <x v="1"/>
    <x v="0"/>
    <s v="25/may"/>
    <s v=""/>
    <s v=""/>
    <n v="1"/>
  </r>
  <r>
    <x v="7"/>
    <d v="2026-06-09T12:44:54"/>
    <x v="0"/>
    <n v="67091518"/>
    <n v="348413180000"/>
    <s v="8-741-2402"/>
    <s v="Fijo"/>
    <x v="0"/>
    <x v="2"/>
    <m/>
    <m/>
    <m/>
    <s v="no"/>
    <m/>
    <m/>
    <x v="0"/>
    <m/>
    <x v="0"/>
    <x v="0"/>
    <s v=""/>
    <s v=""/>
    <s v=""/>
    <s v=""/>
  </r>
  <r>
    <x v="7"/>
    <d v="2026-06-09T12:46:45"/>
    <x v="0"/>
    <n v="64160727"/>
    <n v="361032080000"/>
    <s v="6-727-1876"/>
    <s v="Fijo"/>
    <x v="0"/>
    <x v="5"/>
    <m/>
    <m/>
    <m/>
    <s v="si"/>
    <d v="2026-06-02T00:00:00"/>
    <m/>
    <x v="2"/>
    <m/>
    <x v="2"/>
    <x v="0"/>
    <s v="02/jun"/>
    <s v=""/>
    <s v=""/>
    <n v="1"/>
  </r>
  <r>
    <x v="7"/>
    <d v="2026-06-09T12:49:02"/>
    <x v="0"/>
    <n v="68897631"/>
    <n v="362039650000"/>
    <s v="9-129-137"/>
    <s v="Fijo"/>
    <x v="0"/>
    <x v="5"/>
    <m/>
    <m/>
    <m/>
    <s v="si"/>
    <d v="2026-04-27T00:00:00"/>
    <m/>
    <x v="2"/>
    <m/>
    <x v="3"/>
    <x v="0"/>
    <s v="27/abr"/>
    <s v=""/>
    <s v=""/>
    <n v="1"/>
  </r>
  <r>
    <x v="7"/>
    <d v="2026-06-09T12:51:02"/>
    <x v="0"/>
    <n v="64941371"/>
    <n v="299073030000"/>
    <s v="8-820-1354"/>
    <s v="Fijo"/>
    <x v="4"/>
    <x v="5"/>
    <m/>
    <m/>
    <m/>
    <s v="si"/>
    <d v="2026-06-08T00:00:00"/>
    <m/>
    <x v="1"/>
    <m/>
    <x v="2"/>
    <x v="0"/>
    <s v="08/jun"/>
    <s v=""/>
    <s v=""/>
    <n v="1"/>
  </r>
  <r>
    <x v="7"/>
    <d v="2026-06-09T12:52:41"/>
    <x v="0"/>
    <n v="68905432"/>
    <n v="364040350000"/>
    <s v="4-731-706"/>
    <s v="Fijo"/>
    <x v="0"/>
    <x v="5"/>
    <m/>
    <m/>
    <m/>
    <s v="si"/>
    <d v="2026-06-02T00:00:00"/>
    <m/>
    <x v="1"/>
    <m/>
    <x v="2"/>
    <x v="0"/>
    <s v="02/jun"/>
    <s v=""/>
    <s v=""/>
    <n v="1"/>
  </r>
  <r>
    <x v="7"/>
    <d v="2026-06-09T12:54:38"/>
    <x v="0"/>
    <n v="67890543"/>
    <n v="365040350000"/>
    <s v="8-959-911"/>
    <s v="Fijo"/>
    <x v="0"/>
    <x v="5"/>
    <m/>
    <m/>
    <m/>
    <s v="si"/>
    <d v="2026-05-25T00:00:00"/>
    <m/>
    <x v="2"/>
    <m/>
    <x v="1"/>
    <x v="0"/>
    <s v="25/may"/>
    <s v=""/>
    <s v=""/>
    <n v="1"/>
  </r>
  <r>
    <x v="7"/>
    <d v="2026-06-09T12:56:22"/>
    <x v="0"/>
    <n v="68905432"/>
    <n v="366031360000"/>
    <s v="8-322-153"/>
    <s v="Fijo"/>
    <x v="0"/>
    <x v="2"/>
    <m/>
    <m/>
    <m/>
    <s v="no"/>
    <m/>
    <m/>
    <x v="0"/>
    <m/>
    <x v="0"/>
    <x v="0"/>
    <s v=""/>
    <s v=""/>
    <s v=""/>
    <s v=""/>
  </r>
  <r>
    <x v="7"/>
    <d v="2026-06-09T14:09:18"/>
    <x v="0"/>
    <n v="68905432"/>
    <n v="318085740000"/>
    <s v="8-833-1435"/>
    <s v="Fijo"/>
    <x v="0"/>
    <x v="5"/>
    <m/>
    <m/>
    <m/>
    <s v="si"/>
    <d v="2026-05-25T00:00:00"/>
    <m/>
    <x v="1"/>
    <m/>
    <x v="1"/>
    <x v="0"/>
    <s v="25/may"/>
    <s v=""/>
    <s v=""/>
    <n v="1"/>
  </r>
  <r>
    <x v="7"/>
    <d v="2026-06-09T14:12:45"/>
    <x v="0"/>
    <n v="68905432"/>
    <n v="361039720000"/>
    <s v="4-844-995"/>
    <s v="Fijo"/>
    <x v="0"/>
    <x v="2"/>
    <m/>
    <m/>
    <m/>
    <s v="no"/>
    <m/>
    <m/>
    <x v="1"/>
    <m/>
    <x v="0"/>
    <x v="0"/>
    <s v=""/>
    <s v=""/>
    <s v=""/>
    <s v=""/>
  </r>
  <r>
    <x v="7"/>
    <d v="2026-06-09T14:48:55"/>
    <x v="0"/>
    <n v="67890543"/>
    <n v="364040000000"/>
    <s v="8-517-185"/>
    <s v="Fijo"/>
    <x v="0"/>
    <x v="5"/>
    <m/>
    <m/>
    <m/>
    <s v="si"/>
    <d v="2026-05-30T00:00:00"/>
    <m/>
    <x v="2"/>
    <m/>
    <x v="1"/>
    <x v="0"/>
    <s v="30/may"/>
    <s v=""/>
    <s v=""/>
    <n v="1"/>
  </r>
  <r>
    <x v="7"/>
    <d v="2026-06-09T14:52:52"/>
    <x v="0"/>
    <n v="68911429"/>
    <n v="368036510000"/>
    <s v="8-1063-240"/>
    <s v="Fijo"/>
    <x v="0"/>
    <x v="5"/>
    <m/>
    <m/>
    <m/>
    <s v="si"/>
    <d v="2026-05-27T00:00:00"/>
    <m/>
    <x v="2"/>
    <m/>
    <x v="1"/>
    <x v="0"/>
    <s v="27/may"/>
    <s v=""/>
    <s v=""/>
    <n v="1"/>
  </r>
  <r>
    <x v="7"/>
    <d v="2026-06-09T14:56:17"/>
    <x v="0"/>
    <n v="61090403"/>
    <n v="361040000000"/>
    <s v="1-748-1871"/>
    <s v="Fijo"/>
    <x v="0"/>
    <x v="5"/>
    <m/>
    <m/>
    <m/>
    <s v="si"/>
    <d v="2026-05-30T00:00:00"/>
    <m/>
    <x v="2"/>
    <m/>
    <x v="1"/>
    <x v="0"/>
    <s v="30/may"/>
    <s v=""/>
    <s v=""/>
    <n v="1"/>
  </r>
  <r>
    <x v="7"/>
    <d v="2026-06-09T15:01:47"/>
    <x v="0"/>
    <n v="61820061"/>
    <n v="366039990000"/>
    <s v="4-750-117"/>
    <s v="Fijo"/>
    <x v="0"/>
    <x v="5"/>
    <m/>
    <m/>
    <m/>
    <s v="si"/>
    <d v="2026-06-02T00:00:00"/>
    <m/>
    <x v="2"/>
    <m/>
    <x v="2"/>
    <x v="0"/>
    <s v="02/jun"/>
    <s v=""/>
    <s v=""/>
    <n v="1"/>
  </r>
  <r>
    <x v="7"/>
    <d v="2026-06-09T15:07:55"/>
    <x v="0"/>
    <n v="62697293"/>
    <n v="365037960000"/>
    <s v="8-825-2226"/>
    <s v="Fijo"/>
    <x v="0"/>
    <x v="1"/>
    <m/>
    <m/>
    <m/>
    <s v="no"/>
    <m/>
    <m/>
    <x v="0"/>
    <s v="No brinda monto de pago."/>
    <x v="0"/>
    <x v="0"/>
    <s v=""/>
    <s v=""/>
    <s v=""/>
    <s v=""/>
  </r>
  <r>
    <x v="7"/>
    <d v="2026-06-09T15:10:22"/>
    <x v="0"/>
    <n v="65865790"/>
    <n v="369038160000"/>
    <s v="8-702-905"/>
    <s v="Fijo"/>
    <x v="0"/>
    <x v="2"/>
    <m/>
    <m/>
    <m/>
    <s v="no"/>
    <m/>
    <m/>
    <x v="2"/>
    <m/>
    <x v="0"/>
    <x v="0"/>
    <s v=""/>
    <s v=""/>
    <s v=""/>
    <s v=""/>
  </r>
  <r>
    <x v="7"/>
    <d v="2026-06-09T15:15:31"/>
    <x v="0"/>
    <n v="61999390"/>
    <n v="362038360000"/>
    <s v="8-722-669"/>
    <s v="Fijo"/>
    <x v="0"/>
    <x v="3"/>
    <m/>
    <m/>
    <m/>
    <s v="no"/>
    <m/>
    <m/>
    <x v="2"/>
    <m/>
    <x v="0"/>
    <x v="0"/>
    <s v=""/>
    <s v=""/>
    <s v=""/>
    <s v=""/>
  </r>
  <r>
    <x v="7"/>
    <d v="2026-06-09T15:21:09"/>
    <x v="0"/>
    <n v="61686349"/>
    <n v="365040500000"/>
    <s v="8-1045-734"/>
    <s v="Fijo"/>
    <x v="0"/>
    <x v="5"/>
    <m/>
    <m/>
    <m/>
    <s v="si"/>
    <d v="2026-05-29T00:00:00"/>
    <m/>
    <x v="2"/>
    <m/>
    <x v="1"/>
    <x v="0"/>
    <s v="29/may"/>
    <s v=""/>
    <s v=""/>
    <n v="1"/>
  </r>
  <r>
    <x v="7"/>
    <d v="2026-06-09T15:28:54"/>
    <x v="0"/>
    <n v="62629859"/>
    <n v="369039980000"/>
    <s v="10-708-460"/>
    <s v="Fijo"/>
    <x v="0"/>
    <x v="6"/>
    <m/>
    <m/>
    <m/>
    <s v="no"/>
    <m/>
    <m/>
    <x v="1"/>
    <m/>
    <x v="0"/>
    <x v="0"/>
    <s v=""/>
    <s v=""/>
    <s v=""/>
    <s v=""/>
  </r>
  <r>
    <x v="7"/>
    <d v="2026-06-09T15:32:21"/>
    <x v="0"/>
    <n v="68811767"/>
    <n v="365040620000"/>
    <s v="9-177-759"/>
    <s v="Fijo"/>
    <x v="0"/>
    <x v="5"/>
    <m/>
    <m/>
    <m/>
    <s v="si"/>
    <d v="2026-05-28T00:00:00"/>
    <m/>
    <x v="2"/>
    <m/>
    <x v="1"/>
    <x v="0"/>
    <s v="28/may"/>
    <s v=""/>
    <s v=""/>
    <n v="1"/>
  </r>
  <r>
    <x v="7"/>
    <d v="2026-06-09T15:35:44"/>
    <x v="0"/>
    <n v="67023429"/>
    <n v="361037980000"/>
    <s v="8-941-720"/>
    <s v="Fijo"/>
    <x v="2"/>
    <x v="0"/>
    <m/>
    <m/>
    <m/>
    <s v="no"/>
    <m/>
    <m/>
    <x v="2"/>
    <m/>
    <x v="0"/>
    <x v="0"/>
    <s v=""/>
    <s v=""/>
    <s v=""/>
    <s v=""/>
  </r>
  <r>
    <x v="7"/>
    <d v="2026-06-09T15:42:19"/>
    <x v="0"/>
    <n v="62575299"/>
    <n v="365017280000"/>
    <n v="167068684"/>
    <s v="Fijo"/>
    <x v="2"/>
    <x v="6"/>
    <m/>
    <m/>
    <m/>
    <s v="no"/>
    <m/>
    <m/>
    <x v="1"/>
    <m/>
    <x v="0"/>
    <x v="0"/>
    <s v=""/>
    <s v=""/>
    <s v=""/>
    <s v=""/>
  </r>
  <r>
    <x v="7"/>
    <d v="2026-06-09T15:44:52"/>
    <x v="0"/>
    <n v="66386600"/>
    <n v="367037660000"/>
    <s v="2-213-750"/>
    <s v="Fijo"/>
    <x v="0"/>
    <x v="6"/>
    <m/>
    <m/>
    <m/>
    <s v="no"/>
    <m/>
    <m/>
    <x v="0"/>
    <m/>
    <x v="0"/>
    <x v="0"/>
    <s v=""/>
    <s v=""/>
    <s v=""/>
    <s v=""/>
  </r>
  <r>
    <x v="7"/>
    <d v="2026-06-09T15:47:40"/>
    <x v="0"/>
    <n v="63828351"/>
    <n v="363040550000"/>
    <s v="2-701-1934"/>
    <s v="Fijo"/>
    <x v="0"/>
    <x v="5"/>
    <m/>
    <m/>
    <m/>
    <s v="si"/>
    <d v="2026-05-27T00:00:00"/>
    <m/>
    <x v="1"/>
    <m/>
    <x v="1"/>
    <x v="0"/>
    <s v="27/may"/>
    <s v=""/>
    <s v=""/>
    <n v="1"/>
  </r>
  <r>
    <x v="7"/>
    <d v="2026-06-09T15:50:45"/>
    <x v="0"/>
    <n v="63061178"/>
    <n v="369041810000"/>
    <s v="9-735-990"/>
    <s v="Fijo"/>
    <x v="0"/>
    <x v="5"/>
    <m/>
    <m/>
    <m/>
    <s v="si"/>
    <d v="2026-06-02T00:00:00"/>
    <m/>
    <x v="2"/>
    <m/>
    <x v="2"/>
    <x v="0"/>
    <s v="02/jun"/>
    <s v=""/>
    <s v=""/>
    <n v="1"/>
  </r>
  <r>
    <x v="7"/>
    <d v="2026-06-09T15:55:23"/>
    <x v="0"/>
    <n v="63472684"/>
    <n v="369040410000"/>
    <s v="8-973-557"/>
    <s v="Fijo"/>
    <x v="0"/>
    <x v="2"/>
    <m/>
    <m/>
    <m/>
    <s v="no"/>
    <m/>
    <m/>
    <x v="2"/>
    <m/>
    <x v="0"/>
    <x v="0"/>
    <s v=""/>
    <s v=""/>
    <s v=""/>
    <s v=""/>
  </r>
  <r>
    <x v="7"/>
    <d v="2026-06-09T16:00:24"/>
    <x v="0"/>
    <n v="66545518"/>
    <n v="367036960000"/>
    <s v="8-958-858"/>
    <s v="Fijo"/>
    <x v="3"/>
    <x v="0"/>
    <m/>
    <m/>
    <m/>
    <s v="no"/>
    <m/>
    <m/>
    <x v="2"/>
    <m/>
    <x v="0"/>
    <x v="0"/>
    <s v=""/>
    <s v=""/>
    <s v=""/>
    <s v=""/>
  </r>
  <r>
    <x v="7"/>
    <d v="2026-06-09T16:04:14"/>
    <x v="0"/>
    <n v="65178520"/>
    <n v="361040250000"/>
    <s v="7-101-903"/>
    <s v="Fijo"/>
    <x v="3"/>
    <x v="5"/>
    <m/>
    <m/>
    <m/>
    <s v="si"/>
    <d v="2026-06-01T00:00:00"/>
    <m/>
    <x v="2"/>
    <m/>
    <x v="2"/>
    <x v="0"/>
    <s v="01/jun"/>
    <s v=""/>
    <s v=""/>
    <n v="1"/>
  </r>
  <r>
    <x v="7"/>
    <d v="2026-06-09T16:09:23"/>
    <x v="0"/>
    <n v="62681932"/>
    <n v="369041320000"/>
    <s v="8-837-1879"/>
    <s v="Fijo"/>
    <x v="3"/>
    <x v="5"/>
    <m/>
    <m/>
    <m/>
    <s v="si"/>
    <d v="2026-05-27T00:00:00"/>
    <m/>
    <x v="2"/>
    <m/>
    <x v="1"/>
    <x v="0"/>
    <s v="27/may"/>
    <s v=""/>
    <s v=""/>
    <n v="1"/>
  </r>
  <r>
    <x v="7"/>
    <d v="2026-06-09T16:19:34"/>
    <x v="0"/>
    <n v="61304018"/>
    <n v="367040640000"/>
    <n v="176307222"/>
    <s v="Fijo"/>
    <x v="3"/>
    <x v="1"/>
    <m/>
    <m/>
    <m/>
    <s v="no"/>
    <m/>
    <m/>
    <x v="2"/>
    <s v="No brinda fecha de pago."/>
    <x v="0"/>
    <x v="0"/>
    <s v=""/>
    <s v=""/>
    <s v=""/>
    <s v=""/>
  </r>
  <r>
    <x v="7"/>
    <d v="2026-06-09T16:23:52"/>
    <x v="0"/>
    <n v="66386631"/>
    <n v="363040970000"/>
    <s v="8-746-969"/>
    <s v="Fijo"/>
    <x v="4"/>
    <x v="5"/>
    <m/>
    <m/>
    <m/>
    <s v="si"/>
    <d v="2026-05-28T00:00:00"/>
    <m/>
    <x v="2"/>
    <m/>
    <x v="1"/>
    <x v="0"/>
    <s v="28/may"/>
    <s v=""/>
    <s v=""/>
    <n v="1"/>
  </r>
  <r>
    <x v="7"/>
    <d v="2026-06-09T16:27:02"/>
    <x v="0"/>
    <n v="68905432"/>
    <n v="369039090000"/>
    <s v="8-875-252"/>
    <s v="Fijo"/>
    <x v="0"/>
    <x v="5"/>
    <m/>
    <m/>
    <m/>
    <s v="si"/>
    <d v="2026-05-29T00:00:00"/>
    <m/>
    <x v="1"/>
    <m/>
    <x v="1"/>
    <x v="0"/>
    <s v="29/may"/>
    <s v=""/>
    <s v=""/>
    <n v="1"/>
  </r>
  <r>
    <x v="7"/>
    <d v="2026-06-09T16:33:04"/>
    <x v="0"/>
    <n v="68905432"/>
    <n v="362040630000"/>
    <s v="2-163-1211"/>
    <s v="Fijo"/>
    <x v="0"/>
    <x v="2"/>
    <m/>
    <m/>
    <m/>
    <s v="no"/>
    <m/>
    <m/>
    <x v="0"/>
    <m/>
    <x v="0"/>
    <x v="0"/>
    <s v=""/>
    <s v=""/>
    <s v=""/>
    <s v=""/>
  </r>
  <r>
    <x v="7"/>
    <d v="2026-06-09T16:43:32"/>
    <x v="0"/>
    <n v="63726086"/>
    <n v="361038980000"/>
    <s v="4-744-1656"/>
    <s v="Fijo"/>
    <x v="0"/>
    <x v="2"/>
    <m/>
    <m/>
    <m/>
    <s v="no"/>
    <m/>
    <m/>
    <x v="2"/>
    <m/>
    <x v="0"/>
    <x v="0"/>
    <s v=""/>
    <s v=""/>
    <s v=""/>
    <s v=""/>
  </r>
  <r>
    <x v="7"/>
    <d v="2026-06-09T16:45:59"/>
    <x v="0"/>
    <n v="67787206"/>
    <n v="369038700000"/>
    <s v="8-847-1057"/>
    <s v="Fijo"/>
    <x v="0"/>
    <x v="1"/>
    <s v="Problema de salud"/>
    <m/>
    <m/>
    <s v="no"/>
    <m/>
    <m/>
    <x v="2"/>
    <m/>
    <x v="0"/>
    <x v="0"/>
    <s v=""/>
    <s v=""/>
    <s v=""/>
    <s v=""/>
  </r>
  <r>
    <x v="7"/>
    <d v="2026-06-09T16:49:45"/>
    <x v="0"/>
    <n v="60374445"/>
    <n v="363038840000"/>
    <s v="8-834-713"/>
    <s v="Fijo"/>
    <x v="0"/>
    <x v="1"/>
    <m/>
    <d v="2026-06-16T00:00:00"/>
    <n v="34.31"/>
    <s v="no"/>
    <m/>
    <m/>
    <x v="2"/>
    <m/>
    <x v="0"/>
    <x v="1"/>
    <s v=""/>
    <s v="16/jun"/>
    <n v="1"/>
    <s v=""/>
  </r>
  <r>
    <x v="7"/>
    <d v="2026-06-09T16:53:22"/>
    <x v="0"/>
    <n v="66235009"/>
    <n v="361043240000"/>
    <s v="1-735-228"/>
    <s v="Fijo"/>
    <x v="0"/>
    <x v="6"/>
    <m/>
    <m/>
    <m/>
    <s v="no"/>
    <m/>
    <m/>
    <x v="0"/>
    <m/>
    <x v="0"/>
    <x v="0"/>
    <s v=""/>
    <s v=""/>
    <s v=""/>
    <s v=""/>
  </r>
  <r>
    <x v="7"/>
    <d v="2026-06-09T16:57:26"/>
    <x v="0"/>
    <n v="69092525"/>
    <n v="367043220000"/>
    <s v="E-8-74809"/>
    <s v="Fijo"/>
    <x v="0"/>
    <x v="6"/>
    <m/>
    <m/>
    <m/>
    <s v="no"/>
    <m/>
    <m/>
    <x v="0"/>
    <m/>
    <x v="0"/>
    <x v="0"/>
    <s v=""/>
    <s v=""/>
    <s v=""/>
    <s v=""/>
  </r>
  <r>
    <x v="7"/>
    <d v="2026-06-09T17:01:10"/>
    <x v="0"/>
    <n v="69746188"/>
    <n v="363043200000"/>
    <s v="10-32-223"/>
    <s v="Fijo"/>
    <x v="0"/>
    <x v="10"/>
    <m/>
    <m/>
    <m/>
    <s v="no"/>
    <m/>
    <m/>
    <x v="1"/>
    <m/>
    <x v="0"/>
    <x v="0"/>
    <s v=""/>
    <s v=""/>
    <s v=""/>
    <s v=""/>
  </r>
  <r>
    <x v="7"/>
    <d v="2026-06-09T17:04:50"/>
    <x v="0"/>
    <n v="65411583"/>
    <n v="362040240000"/>
    <s v="8-211-1646"/>
    <s v="Fijo"/>
    <x v="0"/>
    <x v="2"/>
    <m/>
    <m/>
    <m/>
    <s v="no"/>
    <m/>
    <m/>
    <x v="1"/>
    <m/>
    <x v="0"/>
    <x v="0"/>
    <s v=""/>
    <s v=""/>
    <s v=""/>
    <s v=""/>
  </r>
  <r>
    <x v="7"/>
    <d v="2026-06-09T17:07:53"/>
    <x v="0"/>
    <n v="64489593"/>
    <n v="367037640000"/>
    <s v="8-844-247"/>
    <s v="Fijo"/>
    <x v="0"/>
    <x v="3"/>
    <m/>
    <m/>
    <m/>
    <s v="no"/>
    <m/>
    <m/>
    <x v="2"/>
    <m/>
    <x v="0"/>
    <x v="0"/>
    <s v=""/>
    <s v=""/>
    <s v=""/>
    <s v=""/>
  </r>
  <r>
    <x v="7"/>
    <d v="2026-06-09T17:12:49"/>
    <x v="0"/>
    <n v="69199272"/>
    <n v="368040490000"/>
    <n v="196815648"/>
    <s v="Fijo"/>
    <x v="0"/>
    <x v="2"/>
    <m/>
    <m/>
    <m/>
    <s v="no"/>
    <m/>
    <m/>
    <x v="1"/>
    <m/>
    <x v="0"/>
    <x v="0"/>
    <s v=""/>
    <s v=""/>
    <s v=""/>
    <s v=""/>
  </r>
  <r>
    <x v="7"/>
    <d v="2026-06-09T17:18:53"/>
    <x v="0"/>
    <n v="67323047"/>
    <n v="369041900000"/>
    <s v="4-816-1879"/>
    <s v="Fijo"/>
    <x v="0"/>
    <x v="6"/>
    <m/>
    <m/>
    <m/>
    <s v="no"/>
    <m/>
    <m/>
    <x v="0"/>
    <m/>
    <x v="0"/>
    <x v="0"/>
    <s v=""/>
    <s v=""/>
    <s v=""/>
    <s v=""/>
  </r>
  <r>
    <x v="7"/>
    <d v="2026-06-09T17:23:56"/>
    <x v="0"/>
    <n v="60347210"/>
    <n v="331064570000"/>
    <s v="8-476-196"/>
    <s v="Fijo"/>
    <x v="0"/>
    <x v="5"/>
    <m/>
    <m/>
    <m/>
    <s v="si"/>
    <d v="2026-05-26T00:00:00"/>
    <m/>
    <x v="2"/>
    <m/>
    <x v="1"/>
    <x v="0"/>
    <s v="26/may"/>
    <s v=""/>
    <s v=""/>
    <n v="1"/>
  </r>
  <r>
    <x v="7"/>
    <d v="2026-06-09T17:29:55"/>
    <x v="0"/>
    <n v="65135836"/>
    <n v="369054560000"/>
    <s v="8-140-81"/>
    <s v="Fijo"/>
    <x v="3"/>
    <x v="0"/>
    <m/>
    <m/>
    <m/>
    <s v="no"/>
    <m/>
    <m/>
    <x v="3"/>
    <m/>
    <x v="0"/>
    <x v="0"/>
    <s v=""/>
    <s v=""/>
    <s v=""/>
    <s v=""/>
  </r>
  <r>
    <x v="7"/>
    <d v="2026-06-09T17:36:25"/>
    <x v="0"/>
    <n v="67350912"/>
    <n v="368008600000"/>
    <s v="8-1027-190"/>
    <s v="Fijo"/>
    <x v="0"/>
    <x v="1"/>
    <s v="Situación económica"/>
    <m/>
    <m/>
    <s v="no"/>
    <m/>
    <m/>
    <x v="2"/>
    <m/>
    <x v="0"/>
    <x v="0"/>
    <s v=""/>
    <s v=""/>
    <s v=""/>
    <s v=""/>
  </r>
  <r>
    <x v="7"/>
    <d v="2026-06-09T17:43:23"/>
    <x v="0"/>
    <n v="65488317"/>
    <n v="368005810000"/>
    <s v="8-416-562"/>
    <s v="Fijo"/>
    <x v="0"/>
    <x v="1"/>
    <s v="Desempleada"/>
    <m/>
    <m/>
    <s v="no"/>
    <m/>
    <m/>
    <x v="1"/>
    <m/>
    <x v="0"/>
    <x v="0"/>
    <s v=""/>
    <s v=""/>
    <s v=""/>
    <s v=""/>
  </r>
  <r>
    <x v="7"/>
    <d v="2026-06-09T17:52:07"/>
    <x v="0"/>
    <n v="63004038"/>
    <n v="368072120000"/>
    <s v="BG343998"/>
    <s v="Fijo"/>
    <x v="3"/>
    <x v="1"/>
    <m/>
    <d v="2026-06-16T00:00:00"/>
    <n v="37.520000000000003"/>
    <s v="no"/>
    <m/>
    <m/>
    <x v="1"/>
    <m/>
    <x v="0"/>
    <x v="1"/>
    <s v=""/>
    <s v="16/jun"/>
    <n v="1"/>
    <s v=""/>
  </r>
  <r>
    <x v="7"/>
    <d v="2026-06-09T17:59:19"/>
    <x v="0"/>
    <n v="61071807"/>
    <n v="357186870000"/>
    <s v="8-813-1496"/>
    <s v="Fijo"/>
    <x v="0"/>
    <x v="1"/>
    <m/>
    <d v="2026-06-14T00:00:00"/>
    <n v="40"/>
    <s v="no"/>
    <m/>
    <m/>
    <x v="1"/>
    <m/>
    <x v="0"/>
    <x v="1"/>
    <s v=""/>
    <s v="14/jun"/>
    <n v="1"/>
    <s v=""/>
  </r>
  <r>
    <x v="7"/>
    <d v="2026-06-09T18:03:17"/>
    <x v="0"/>
    <n v="66738847"/>
    <n v="163032260000"/>
    <s v="3-118-543"/>
    <s v="Fijo"/>
    <x v="3"/>
    <x v="5"/>
    <m/>
    <m/>
    <m/>
    <s v="si"/>
    <d v="2026-06-02T00:00:00"/>
    <n v="40.54"/>
    <x v="3"/>
    <m/>
    <x v="2"/>
    <x v="0"/>
    <s v="02/jun"/>
    <s v=""/>
    <s v=""/>
    <n v="1"/>
  </r>
  <r>
    <x v="8"/>
    <d v="2026-06-10T09:15:43"/>
    <x v="0"/>
    <n v="67420053"/>
    <n v="369039400000"/>
    <s v="8-342-671"/>
    <s v="Fijo"/>
    <x v="2"/>
    <x v="6"/>
    <m/>
    <m/>
    <m/>
    <s v="no"/>
    <m/>
    <m/>
    <x v="1"/>
    <m/>
    <x v="0"/>
    <x v="0"/>
    <s v=""/>
    <s v=""/>
    <s v=""/>
    <s v=""/>
  </r>
  <r>
    <x v="8"/>
    <d v="2026-06-10T09:37:05"/>
    <x v="0"/>
    <n v="63235335"/>
    <n v="362039460000"/>
    <s v="E-8-211717"/>
    <s v="Fijo"/>
    <x v="2"/>
    <x v="1"/>
    <m/>
    <d v="2026-06-13T00:00:00"/>
    <n v="37.840000000000003"/>
    <s v="no"/>
    <m/>
    <m/>
    <x v="2"/>
    <s v="68761896 titular."/>
    <x v="0"/>
    <x v="1"/>
    <s v=""/>
    <s v="13/jun"/>
    <n v="1"/>
    <s v=""/>
  </r>
  <r>
    <x v="8"/>
    <d v="2026-06-10T09:42:09"/>
    <x v="0"/>
    <n v="66738890"/>
    <n v="367041360000"/>
    <s v="8-775-262"/>
    <s v="Fijo"/>
    <x v="2"/>
    <x v="5"/>
    <m/>
    <m/>
    <m/>
    <s v="si"/>
    <d v="2026-05-27T00:00:00"/>
    <n v="44.03"/>
    <x v="2"/>
    <m/>
    <x v="1"/>
    <x v="0"/>
    <s v="27/may"/>
    <s v=""/>
    <s v=""/>
    <n v="1"/>
  </r>
  <r>
    <x v="8"/>
    <d v="2026-06-10T09:54:07"/>
    <x v="0"/>
    <n v="65444888"/>
    <n v="362040620000"/>
    <s v="8-878-427"/>
    <s v="Fijo"/>
    <x v="2"/>
    <x v="5"/>
    <m/>
    <m/>
    <m/>
    <s v="si"/>
    <d v="2026-05-28T00:00:00"/>
    <n v="53.19"/>
    <x v="1"/>
    <m/>
    <x v="1"/>
    <x v="0"/>
    <s v="28/may"/>
    <s v=""/>
    <s v=""/>
    <n v="1"/>
  </r>
  <r>
    <x v="8"/>
    <d v="2026-06-10T10:02:28"/>
    <x v="0"/>
    <n v="65876999"/>
    <n v="364041530000"/>
    <s v="8-846-476"/>
    <s v="Fijo"/>
    <x v="0"/>
    <x v="0"/>
    <m/>
    <m/>
    <m/>
    <s v="no"/>
    <m/>
    <m/>
    <x v="2"/>
    <m/>
    <x v="0"/>
    <x v="0"/>
    <s v=""/>
    <s v=""/>
    <s v=""/>
    <s v=""/>
  </r>
  <r>
    <x v="8"/>
    <d v="2026-06-10T10:06:57"/>
    <x v="0"/>
    <n v="68789418"/>
    <n v="368038960000"/>
    <s v="8-229-2136"/>
    <s v="Fijo"/>
    <x v="0"/>
    <x v="5"/>
    <m/>
    <m/>
    <m/>
    <s v="si"/>
    <d v="2026-05-26T00:00:00"/>
    <n v="33.11"/>
    <x v="2"/>
    <m/>
    <x v="1"/>
    <x v="0"/>
    <s v="26/may"/>
    <s v=""/>
    <s v=""/>
    <n v="1"/>
  </r>
  <r>
    <x v="8"/>
    <d v="2026-06-10T10:09:56"/>
    <x v="0"/>
    <n v="66015393"/>
    <n v="361040830000"/>
    <s v="8-790-1682"/>
    <s v="Fijo"/>
    <x v="0"/>
    <x v="5"/>
    <m/>
    <m/>
    <m/>
    <s v="si"/>
    <d v="2026-05-25T00:00:00"/>
    <n v="48.38"/>
    <x v="2"/>
    <m/>
    <x v="1"/>
    <x v="0"/>
    <s v="25/may"/>
    <s v=""/>
    <s v=""/>
    <n v="1"/>
  </r>
  <r>
    <x v="8"/>
    <d v="2026-06-10T10:13:13"/>
    <x v="0"/>
    <n v="68946068"/>
    <n v="363039720000"/>
    <s v="9-706-2330"/>
    <s v="Fijo"/>
    <x v="0"/>
    <x v="6"/>
    <m/>
    <m/>
    <m/>
    <s v="no"/>
    <m/>
    <m/>
    <x v="2"/>
    <m/>
    <x v="0"/>
    <x v="0"/>
    <s v=""/>
    <s v=""/>
    <s v=""/>
    <s v=""/>
  </r>
  <r>
    <x v="8"/>
    <d v="2026-06-10T10:19:53"/>
    <x v="0"/>
    <n v="65204776"/>
    <n v="368041970000"/>
    <s v="AQ040690"/>
    <s v="Fijo"/>
    <x v="4"/>
    <x v="5"/>
    <m/>
    <m/>
    <m/>
    <s v="si"/>
    <d v="2026-06-02T00:00:00"/>
    <n v="38.340000000000003"/>
    <x v="2"/>
    <m/>
    <x v="2"/>
    <x v="0"/>
    <s v="02/jun"/>
    <s v=""/>
    <s v=""/>
    <n v="1"/>
  </r>
  <r>
    <x v="8"/>
    <d v="2026-06-10T10:23:28"/>
    <x v="0"/>
    <n v="65411621"/>
    <n v="363042890000"/>
    <s v="5-707-1055"/>
    <s v="Fijo"/>
    <x v="4"/>
    <x v="2"/>
    <m/>
    <m/>
    <m/>
    <s v="no"/>
    <m/>
    <m/>
    <x v="1"/>
    <m/>
    <x v="0"/>
    <x v="0"/>
    <s v=""/>
    <s v=""/>
    <s v=""/>
    <s v=""/>
  </r>
  <r>
    <x v="8"/>
    <d v="2026-06-10T10:29:33"/>
    <x v="0"/>
    <n v="67345993"/>
    <n v="366042740000"/>
    <n v="137605741"/>
    <s v="Fijo"/>
    <x v="0"/>
    <x v="2"/>
    <m/>
    <m/>
    <m/>
    <s v="no"/>
    <m/>
    <m/>
    <x v="2"/>
    <m/>
    <x v="0"/>
    <x v="0"/>
    <s v=""/>
    <s v=""/>
    <s v=""/>
    <s v=""/>
  </r>
  <r>
    <x v="8"/>
    <d v="2026-06-10T10:35:47"/>
    <x v="0"/>
    <n v="68212041"/>
    <n v="364040630000"/>
    <n v="223324475"/>
    <s v="Fijo"/>
    <x v="0"/>
    <x v="6"/>
    <m/>
    <m/>
    <m/>
    <s v="no"/>
    <m/>
    <m/>
    <x v="1"/>
    <m/>
    <x v="0"/>
    <x v="0"/>
    <s v=""/>
    <s v=""/>
    <s v=""/>
    <s v=""/>
  </r>
  <r>
    <x v="8"/>
    <d v="2026-06-10T10:40:50"/>
    <x v="0"/>
    <n v="62611920"/>
    <n v="361042470000"/>
    <s v="4-773-853"/>
    <s v="Fijo"/>
    <x v="0"/>
    <x v="5"/>
    <m/>
    <m/>
    <m/>
    <s v="si"/>
    <d v="2026-05-31T00:00:00"/>
    <n v="64.87"/>
    <x v="1"/>
    <m/>
    <x v="1"/>
    <x v="0"/>
    <s v="31/may"/>
    <s v=""/>
    <s v=""/>
    <n v="1"/>
  </r>
  <r>
    <x v="8"/>
    <d v="2026-06-10T10:45:46"/>
    <x v="0"/>
    <n v="67457655"/>
    <n v="367035440000"/>
    <s v="1-27-1863"/>
    <s v="Fijo"/>
    <x v="0"/>
    <x v="5"/>
    <m/>
    <m/>
    <m/>
    <s v="si"/>
    <d v="2026-05-25T00:00:00"/>
    <n v="38.340000000000003"/>
    <x v="2"/>
    <m/>
    <x v="1"/>
    <x v="0"/>
    <s v="25/may"/>
    <s v=""/>
    <s v=""/>
    <n v="1"/>
  </r>
  <r>
    <x v="8"/>
    <d v="2026-06-10T10:51:41"/>
    <x v="0"/>
    <n v="67965968"/>
    <n v="369043250000"/>
    <s v="8-1046-1604"/>
    <s v="Fijo"/>
    <x v="0"/>
    <x v="0"/>
    <m/>
    <m/>
    <m/>
    <s v="no"/>
    <m/>
    <m/>
    <x v="2"/>
    <m/>
    <x v="0"/>
    <x v="0"/>
    <s v=""/>
    <s v=""/>
    <s v=""/>
    <s v=""/>
  </r>
  <r>
    <x v="8"/>
    <d v="2026-06-10T10:57:35"/>
    <x v="0"/>
    <n v="67271810"/>
    <n v="362044350000"/>
    <s v="8-964-1518"/>
    <s v="Fijo"/>
    <x v="0"/>
    <x v="7"/>
    <m/>
    <m/>
    <m/>
    <s v="no"/>
    <m/>
    <m/>
    <x v="0"/>
    <m/>
    <x v="0"/>
    <x v="0"/>
    <s v=""/>
    <s v=""/>
    <s v=""/>
    <s v=""/>
  </r>
  <r>
    <x v="8"/>
    <d v="2026-06-10T11:01:50"/>
    <x v="0"/>
    <n v="68804261"/>
    <n v="361044990000"/>
    <s v="2-82-108"/>
    <s v="Fijo"/>
    <x v="0"/>
    <x v="2"/>
    <m/>
    <m/>
    <m/>
    <s v="no"/>
    <m/>
    <m/>
    <x v="2"/>
    <m/>
    <x v="0"/>
    <x v="0"/>
    <s v=""/>
    <s v=""/>
    <s v=""/>
    <s v=""/>
  </r>
  <r>
    <x v="8"/>
    <d v="2026-06-10T11:05:11"/>
    <x v="0"/>
    <n v="63060138"/>
    <n v="369039070000"/>
    <s v="8-879-294"/>
    <s v="Fijo"/>
    <x v="0"/>
    <x v="2"/>
    <m/>
    <m/>
    <m/>
    <s v="no"/>
    <m/>
    <m/>
    <x v="2"/>
    <m/>
    <x v="0"/>
    <x v="0"/>
    <s v=""/>
    <s v=""/>
    <s v=""/>
    <s v=""/>
  </r>
  <r>
    <x v="8"/>
    <d v="2026-06-10T11:16:33"/>
    <x v="0"/>
    <n v="68490478"/>
    <n v="366041170000"/>
    <s v="8-743-1368"/>
    <s v="Fijo"/>
    <x v="0"/>
    <x v="6"/>
    <m/>
    <m/>
    <m/>
    <s v="no"/>
    <m/>
    <m/>
    <x v="0"/>
    <m/>
    <x v="0"/>
    <x v="0"/>
    <s v=""/>
    <s v=""/>
    <s v=""/>
    <s v=""/>
  </r>
  <r>
    <x v="8"/>
    <d v="2026-06-10T11:22:13"/>
    <x v="0"/>
    <n v="61478550"/>
    <n v="312062280000"/>
    <s v="8-885-1749"/>
    <s v="Fijo"/>
    <x v="0"/>
    <x v="6"/>
    <m/>
    <m/>
    <m/>
    <s v="no"/>
    <m/>
    <m/>
    <x v="0"/>
    <m/>
    <x v="0"/>
    <x v="0"/>
    <s v=""/>
    <s v=""/>
    <s v=""/>
    <s v=""/>
  </r>
  <r>
    <x v="8"/>
    <d v="2026-06-10T11:23:57"/>
    <x v="0"/>
    <n v="64427455"/>
    <n v="369044690000"/>
    <s v="10-706-2320"/>
    <s v="Fijo"/>
    <x v="0"/>
    <x v="0"/>
    <m/>
    <m/>
    <m/>
    <s v="no"/>
    <m/>
    <m/>
    <x v="1"/>
    <m/>
    <x v="0"/>
    <x v="0"/>
    <s v=""/>
    <s v=""/>
    <s v=""/>
    <s v=""/>
  </r>
  <r>
    <x v="8"/>
    <d v="2026-06-10T11:30:00"/>
    <x v="0"/>
    <n v="66744012"/>
    <n v="368043900000"/>
    <s v="3-115-877"/>
    <s v="Fijo"/>
    <x v="6"/>
    <x v="5"/>
    <m/>
    <m/>
    <m/>
    <s v="si"/>
    <d v="2026-06-05T00:00:00"/>
    <n v="30.94"/>
    <x v="2"/>
    <m/>
    <x v="2"/>
    <x v="0"/>
    <s v="05/jun"/>
    <s v=""/>
    <s v=""/>
    <n v="1"/>
  </r>
  <r>
    <x v="8"/>
    <d v="2026-06-10T11:33:03"/>
    <x v="0"/>
    <n v="67161815"/>
    <n v="363042870000"/>
    <s v="9-121-2501"/>
    <s v="Fijo"/>
    <x v="2"/>
    <x v="2"/>
    <m/>
    <m/>
    <m/>
    <s v="no"/>
    <m/>
    <m/>
    <x v="0"/>
    <m/>
    <x v="0"/>
    <x v="0"/>
    <s v=""/>
    <s v=""/>
    <s v=""/>
    <s v=""/>
  </r>
  <r>
    <x v="8"/>
    <d v="2026-06-10T11:38:10"/>
    <x v="0"/>
    <n v="62062288"/>
    <n v="362041410000"/>
    <s v="E-8-214104"/>
    <s v="Fijo"/>
    <x v="2"/>
    <x v="5"/>
    <m/>
    <m/>
    <m/>
    <s v="si"/>
    <d v="2026-05-28T00:00:00"/>
    <n v="27"/>
    <x v="2"/>
    <m/>
    <x v="1"/>
    <x v="0"/>
    <s v="28/may"/>
    <s v=""/>
    <s v=""/>
    <n v="1"/>
  </r>
  <r>
    <x v="8"/>
    <d v="2026-06-10T11:42:59"/>
    <x v="0"/>
    <n v="64450926"/>
    <n v="367043290000"/>
    <n v="19915765"/>
    <s v="Fijo"/>
    <x v="2"/>
    <x v="2"/>
    <m/>
    <m/>
    <m/>
    <s v="no"/>
    <m/>
    <m/>
    <x v="2"/>
    <m/>
    <x v="0"/>
    <x v="0"/>
    <s v=""/>
    <s v=""/>
    <s v=""/>
    <s v=""/>
  </r>
  <r>
    <x v="8"/>
    <d v="2026-06-10T11:47:41"/>
    <x v="0"/>
    <n v="66680118"/>
    <n v="367042770000"/>
    <s v="E-8-229047"/>
    <s v="Fijo"/>
    <x v="2"/>
    <x v="2"/>
    <m/>
    <m/>
    <m/>
    <s v="no"/>
    <m/>
    <m/>
    <x v="0"/>
    <m/>
    <x v="0"/>
    <x v="0"/>
    <s v=""/>
    <s v=""/>
    <s v=""/>
    <s v=""/>
  </r>
  <r>
    <x v="8"/>
    <d v="2026-06-10T11:51:30"/>
    <x v="0"/>
    <n v="63515026"/>
    <n v="355344960000"/>
    <s v="6-715-599"/>
    <s v="Fijo"/>
    <x v="0"/>
    <x v="6"/>
    <m/>
    <m/>
    <m/>
    <s v="no"/>
    <m/>
    <m/>
    <x v="0"/>
    <m/>
    <x v="0"/>
    <x v="0"/>
    <s v=""/>
    <s v=""/>
    <s v=""/>
    <s v=""/>
  </r>
  <r>
    <x v="8"/>
    <d v="2026-06-10T11:59:17"/>
    <x v="0"/>
    <n v="65599308"/>
    <n v="365042850000"/>
    <s v="4-215-902"/>
    <s v="Fijo"/>
    <x v="0"/>
    <x v="6"/>
    <m/>
    <m/>
    <m/>
    <s v="no"/>
    <m/>
    <m/>
    <x v="0"/>
    <m/>
    <x v="0"/>
    <x v="0"/>
    <s v=""/>
    <s v=""/>
    <s v=""/>
    <s v=""/>
  </r>
  <r>
    <x v="8"/>
    <d v="2026-06-10T12:08:25"/>
    <x v="0"/>
    <n v="69191992"/>
    <n v="369042140000"/>
    <s v="8-1044-1260"/>
    <s v="Fijo"/>
    <x v="0"/>
    <x v="11"/>
    <m/>
    <m/>
    <m/>
    <s v="si"/>
    <d v="2026-06-09T00:00:00"/>
    <n v="39"/>
    <x v="1"/>
    <m/>
    <x v="2"/>
    <x v="0"/>
    <s v="09/jun"/>
    <s v=""/>
    <s v=""/>
    <n v="1"/>
  </r>
  <r>
    <x v="8"/>
    <d v="2026-06-10T12:14:32"/>
    <x v="0"/>
    <n v="66806886"/>
    <n v="362043630000"/>
    <s v="6-49-1084"/>
    <s v="Fijo"/>
    <x v="4"/>
    <x v="5"/>
    <m/>
    <m/>
    <m/>
    <s v="si"/>
    <d v="2026-06-01T00:00:00"/>
    <n v="27.41"/>
    <x v="1"/>
    <m/>
    <x v="2"/>
    <x v="0"/>
    <s v="01/jun"/>
    <s v=""/>
    <s v=""/>
    <n v="1"/>
  </r>
  <r>
    <x v="8"/>
    <d v="2026-06-10T12:23:18"/>
    <x v="0"/>
    <n v="67378338"/>
    <n v="367044360000"/>
    <s v="8-230-978"/>
    <s v="Fijo"/>
    <x v="3"/>
    <x v="1"/>
    <m/>
    <d v="2026-06-13T00:00:00"/>
    <n v="30.08"/>
    <s v="no"/>
    <m/>
    <m/>
    <x v="1"/>
    <m/>
    <x v="0"/>
    <x v="1"/>
    <s v=""/>
    <s v="13/jun"/>
    <n v="1"/>
    <s v=""/>
  </r>
  <r>
    <x v="8"/>
    <d v="2026-06-10T12:33:05"/>
    <x v="0"/>
    <n v="65833150"/>
    <n v="366041680000"/>
    <s v="4-753-2351"/>
    <s v="Fijo"/>
    <x v="0"/>
    <x v="5"/>
    <m/>
    <m/>
    <m/>
    <s v="si"/>
    <d v="2026-06-01T00:00:00"/>
    <n v="30.99"/>
    <x v="2"/>
    <m/>
    <x v="2"/>
    <x v="0"/>
    <s v="01/jun"/>
    <s v=""/>
    <s v=""/>
    <n v="1"/>
  </r>
  <r>
    <x v="8"/>
    <d v="2026-06-10T12:39:44"/>
    <x v="0"/>
    <n v="69777863"/>
    <n v="366035840000"/>
    <s v="4-136-1790"/>
    <s v="Fijo"/>
    <x v="0"/>
    <x v="5"/>
    <m/>
    <m/>
    <m/>
    <s v="si"/>
    <d v="2026-06-06T00:00:00"/>
    <n v="19.97"/>
    <x v="1"/>
    <m/>
    <x v="2"/>
    <x v="0"/>
    <s v="06/jun"/>
    <s v=""/>
    <s v=""/>
    <n v="1"/>
  </r>
  <r>
    <x v="8"/>
    <d v="2026-06-10T12:45:15"/>
    <x v="0"/>
    <n v="68194074"/>
    <n v="364037500000"/>
    <s v="10-710-36"/>
    <s v="Fijo"/>
    <x v="0"/>
    <x v="6"/>
    <m/>
    <m/>
    <m/>
    <s v="no"/>
    <m/>
    <m/>
    <x v="1"/>
    <m/>
    <x v="0"/>
    <x v="0"/>
    <s v=""/>
    <s v=""/>
    <s v=""/>
    <s v=""/>
  </r>
  <r>
    <x v="8"/>
    <d v="2026-06-10T12:49:52"/>
    <x v="0"/>
    <n v="68418651"/>
    <n v="361045560000"/>
    <s v="E8108222"/>
    <s v="Fijo"/>
    <x v="0"/>
    <x v="6"/>
    <m/>
    <m/>
    <m/>
    <s v="no"/>
    <m/>
    <m/>
    <x v="0"/>
    <m/>
    <x v="0"/>
    <x v="0"/>
    <s v=""/>
    <s v=""/>
    <s v=""/>
    <s v=""/>
  </r>
  <r>
    <x v="8"/>
    <d v="2026-06-10T12:55:45"/>
    <x v="0"/>
    <n v="65285488"/>
    <n v="364043420000"/>
    <s v="A4098607"/>
    <s v="Fijo"/>
    <x v="0"/>
    <x v="7"/>
    <m/>
    <m/>
    <m/>
    <s v="no"/>
    <m/>
    <m/>
    <x v="1"/>
    <m/>
    <x v="0"/>
    <x v="0"/>
    <s v=""/>
    <s v=""/>
    <s v=""/>
    <s v=""/>
  </r>
  <r>
    <x v="8"/>
    <d v="2026-06-10T14:10:06"/>
    <x v="0"/>
    <n v="64446859"/>
    <n v="315023150000"/>
    <s v="8-959-2411"/>
    <s v="Fijo"/>
    <x v="0"/>
    <x v="2"/>
    <m/>
    <m/>
    <m/>
    <s v="no"/>
    <m/>
    <m/>
    <x v="1"/>
    <m/>
    <x v="0"/>
    <x v="0"/>
    <s v=""/>
    <s v=""/>
    <s v=""/>
    <s v=""/>
  </r>
  <r>
    <x v="8"/>
    <d v="2026-06-10T14:12:36"/>
    <x v="0"/>
    <n v="69279886"/>
    <n v="366044660000"/>
    <s v="8-840-388"/>
    <s v="Fijo"/>
    <x v="0"/>
    <x v="6"/>
    <m/>
    <m/>
    <m/>
    <s v="no"/>
    <m/>
    <m/>
    <x v="0"/>
    <m/>
    <x v="0"/>
    <x v="0"/>
    <s v=""/>
    <s v=""/>
    <s v=""/>
    <s v=""/>
  </r>
  <r>
    <x v="8"/>
    <d v="2026-06-10T14:16:00"/>
    <x v="0"/>
    <n v="64839221"/>
    <n v="365042540000"/>
    <s v="8-209-421"/>
    <s v="Fijo"/>
    <x v="0"/>
    <x v="5"/>
    <m/>
    <m/>
    <m/>
    <s v="si"/>
    <d v="2026-05-30T00:00:00"/>
    <n v="33.549999999999997"/>
    <x v="2"/>
    <m/>
    <x v="1"/>
    <x v="0"/>
    <s v="30/may"/>
    <s v=""/>
    <s v=""/>
    <n v="1"/>
  </r>
  <r>
    <x v="8"/>
    <d v="2026-06-10T14:22:51"/>
    <x v="0"/>
    <n v="60631816"/>
    <n v="366044030000"/>
    <s v="8-898-582"/>
    <s v="Fijo"/>
    <x v="0"/>
    <x v="5"/>
    <m/>
    <m/>
    <m/>
    <s v="si"/>
    <d v="2026-05-29T00:00:00"/>
    <n v="43.51"/>
    <x v="2"/>
    <m/>
    <x v="1"/>
    <x v="0"/>
    <s v="29/may"/>
    <s v=""/>
    <s v=""/>
    <n v="1"/>
  </r>
  <r>
    <x v="8"/>
    <d v="2026-06-10T14:29:51"/>
    <x v="0"/>
    <n v="68965255"/>
    <n v="361040080000"/>
    <s v="C04036374"/>
    <s v="Fijo"/>
    <x v="0"/>
    <x v="5"/>
    <m/>
    <m/>
    <m/>
    <s v="si"/>
    <d v="2026-05-29T00:00:00"/>
    <n v="33.799999999999997"/>
    <x v="2"/>
    <m/>
    <x v="1"/>
    <x v="0"/>
    <s v="29/may"/>
    <s v=""/>
    <s v=""/>
    <n v="1"/>
  </r>
  <r>
    <x v="8"/>
    <d v="2026-06-10T14:36:42"/>
    <x v="0"/>
    <n v="64909085"/>
    <n v="366044880000"/>
    <s v="8-451-399"/>
    <s v="Fijo"/>
    <x v="0"/>
    <x v="5"/>
    <m/>
    <m/>
    <m/>
    <s v="si"/>
    <d v="2026-06-02T00:00:00"/>
    <n v="23"/>
    <x v="2"/>
    <m/>
    <x v="2"/>
    <x v="0"/>
    <s v="02/jun"/>
    <s v=""/>
    <s v=""/>
    <n v="1"/>
  </r>
  <r>
    <x v="8"/>
    <d v="2026-06-10T14:41:21"/>
    <x v="0"/>
    <n v="65544518"/>
    <n v="363041930000"/>
    <s v="4-119-1293"/>
    <s v="Fijo"/>
    <x v="0"/>
    <x v="3"/>
    <m/>
    <m/>
    <m/>
    <s v="no"/>
    <m/>
    <m/>
    <x v="1"/>
    <m/>
    <x v="0"/>
    <x v="0"/>
    <s v=""/>
    <s v=""/>
    <s v=""/>
    <s v=""/>
  </r>
  <r>
    <x v="8"/>
    <d v="2026-06-10T14:46:08"/>
    <x v="0"/>
    <n v="69376282"/>
    <n v="804236570000"/>
    <s v="3-61-56"/>
    <s v="Fijo"/>
    <x v="0"/>
    <x v="5"/>
    <m/>
    <m/>
    <m/>
    <s v="si"/>
    <d v="2026-05-15T00:00:00"/>
    <n v="34.200000000000003"/>
    <x v="2"/>
    <m/>
    <x v="1"/>
    <x v="0"/>
    <s v="15/may"/>
    <s v=""/>
    <s v=""/>
    <n v="1"/>
  </r>
  <r>
    <x v="8"/>
    <d v="2026-06-10T14:53:54"/>
    <x v="0"/>
    <n v="60903383"/>
    <n v="362042180000"/>
    <s v="8-808-1847"/>
    <s v="Fijo"/>
    <x v="1"/>
    <x v="5"/>
    <m/>
    <m/>
    <m/>
    <s v="si"/>
    <d v="2026-05-27T00:00:00"/>
    <n v="39.17"/>
    <x v="1"/>
    <m/>
    <x v="1"/>
    <x v="0"/>
    <s v="27/may"/>
    <s v=""/>
    <s v=""/>
    <n v="1"/>
  </r>
  <r>
    <x v="8"/>
    <d v="2026-06-10T15:03:57"/>
    <x v="0"/>
    <n v="65422007"/>
    <n v="368043450000"/>
    <s v="E-8-106596"/>
    <s v="Fijo"/>
    <x v="2"/>
    <x v="2"/>
    <m/>
    <m/>
    <m/>
    <s v="no"/>
    <m/>
    <m/>
    <x v="0"/>
    <m/>
    <x v="0"/>
    <x v="0"/>
    <s v=""/>
    <s v=""/>
    <s v=""/>
    <s v=""/>
  </r>
  <r>
    <x v="8"/>
    <d v="2026-06-10T15:08:56"/>
    <x v="0"/>
    <n v="63467340"/>
    <n v="369041380000"/>
    <s v="8-979-827"/>
    <s v="Fijo"/>
    <x v="2"/>
    <x v="5"/>
    <m/>
    <m/>
    <m/>
    <s v="si"/>
    <d v="2026-06-03T00:00:00"/>
    <n v="43.78"/>
    <x v="2"/>
    <m/>
    <x v="2"/>
    <x v="0"/>
    <s v="03/jun"/>
    <s v=""/>
    <s v=""/>
    <n v="1"/>
  </r>
  <r>
    <x v="8"/>
    <d v="2026-06-10T15:14:44"/>
    <x v="0"/>
    <n v="64827755"/>
    <n v="369043290000"/>
    <s v="8-817-679"/>
    <s v="Fijo"/>
    <x v="2"/>
    <x v="0"/>
    <m/>
    <m/>
    <m/>
    <s v="no"/>
    <m/>
    <m/>
    <x v="1"/>
    <m/>
    <x v="0"/>
    <x v="0"/>
    <s v=""/>
    <s v=""/>
    <s v=""/>
    <s v=""/>
  </r>
  <r>
    <x v="8"/>
    <d v="2026-06-10T15:20:23"/>
    <x v="0"/>
    <n v="67911518"/>
    <n v="364045220000"/>
    <s v="5-7-781"/>
    <s v="Fijo"/>
    <x v="0"/>
    <x v="5"/>
    <m/>
    <m/>
    <m/>
    <s v="si"/>
    <d v="2026-06-05T00:00:00"/>
    <n v="34.96"/>
    <x v="2"/>
    <m/>
    <x v="2"/>
    <x v="0"/>
    <s v="05/jun"/>
    <s v=""/>
    <s v=""/>
    <n v="1"/>
  </r>
  <r>
    <x v="8"/>
    <d v="2026-06-10T15:26:20"/>
    <x v="0"/>
    <n v="61682413"/>
    <n v="367040280000"/>
    <s v="AX835312"/>
    <s v="Fijo"/>
    <x v="4"/>
    <x v="5"/>
    <m/>
    <m/>
    <m/>
    <s v="si"/>
    <d v="2026-05-30T00:00:00"/>
    <n v="33.93"/>
    <x v="2"/>
    <m/>
    <x v="1"/>
    <x v="0"/>
    <s v="30/may"/>
    <s v=""/>
    <s v=""/>
    <n v="1"/>
  </r>
  <r>
    <x v="8"/>
    <d v="2026-06-10T15:34:35"/>
    <x v="0"/>
    <n v="65326867"/>
    <n v="361043620000"/>
    <s v="8-1017-994"/>
    <s v="Fijo"/>
    <x v="4"/>
    <x v="0"/>
    <m/>
    <m/>
    <m/>
    <s v="no"/>
    <m/>
    <m/>
    <x v="1"/>
    <m/>
    <x v="0"/>
    <x v="0"/>
    <s v=""/>
    <s v=""/>
    <s v=""/>
    <s v=""/>
  </r>
  <r>
    <x v="8"/>
    <d v="2026-06-10T15:38:42"/>
    <x v="0"/>
    <n v="68905432"/>
    <n v="369043310000"/>
    <s v="8-526-1592"/>
    <s v="Fijo"/>
    <x v="0"/>
    <x v="2"/>
    <m/>
    <m/>
    <m/>
    <s v="no"/>
    <m/>
    <m/>
    <x v="1"/>
    <m/>
    <x v="0"/>
    <x v="0"/>
    <s v=""/>
    <s v=""/>
    <s v=""/>
    <s v=""/>
  </r>
  <r>
    <x v="8"/>
    <d v="2026-06-10T15:43:58"/>
    <x v="0"/>
    <n v="68905432"/>
    <n v="365044620000"/>
    <s v="8-830-587"/>
    <s v="Fijo"/>
    <x v="0"/>
    <x v="2"/>
    <m/>
    <m/>
    <m/>
    <s v="no"/>
    <m/>
    <m/>
    <x v="0"/>
    <m/>
    <x v="0"/>
    <x v="0"/>
    <s v=""/>
    <s v=""/>
    <s v=""/>
    <s v=""/>
  </r>
  <r>
    <x v="8"/>
    <d v="2026-06-10T15:52:23"/>
    <x v="0"/>
    <n v="62372411"/>
    <n v="362044920000"/>
    <s v="4-751-1771"/>
    <s v="Fijo"/>
    <x v="0"/>
    <x v="5"/>
    <m/>
    <m/>
    <m/>
    <s v="si"/>
    <d v="2026-06-05T00:00:00"/>
    <n v="28.42"/>
    <x v="1"/>
    <m/>
    <x v="2"/>
    <x v="0"/>
    <s v="05/jun"/>
    <s v=""/>
    <s v=""/>
    <n v="1"/>
  </r>
  <r>
    <x v="8"/>
    <d v="2026-06-10T15:57:53"/>
    <x v="0"/>
    <n v="60574700"/>
    <n v="367044950000"/>
    <s v="4-787-2189"/>
    <s v="Fijo"/>
    <x v="0"/>
    <x v="5"/>
    <m/>
    <m/>
    <m/>
    <s v="si"/>
    <d v="2026-05-28T00:00:00"/>
    <n v="31.45"/>
    <x v="2"/>
    <m/>
    <x v="1"/>
    <x v="0"/>
    <s v="28/may"/>
    <s v=""/>
    <s v=""/>
    <n v="1"/>
  </r>
  <r>
    <x v="8"/>
    <d v="2026-06-10T16:02:58"/>
    <x v="0"/>
    <n v="68082860"/>
    <n v="369044140000"/>
    <s v="3-742-811"/>
    <s v="Fijo"/>
    <x v="0"/>
    <x v="6"/>
    <m/>
    <m/>
    <m/>
    <s v="no"/>
    <m/>
    <m/>
    <x v="0"/>
    <m/>
    <x v="0"/>
    <x v="0"/>
    <s v=""/>
    <s v=""/>
    <s v=""/>
    <s v=""/>
  </r>
  <r>
    <x v="8"/>
    <d v="2026-06-10T16:08:25"/>
    <x v="0"/>
    <n v="68428295"/>
    <n v="364044210000"/>
    <s v="8-838-1642"/>
    <s v="Fijo"/>
    <x v="0"/>
    <x v="5"/>
    <m/>
    <m/>
    <m/>
    <s v="si"/>
    <d v="2026-05-31T00:00:00"/>
    <n v="30.44"/>
    <x v="1"/>
    <m/>
    <x v="1"/>
    <x v="0"/>
    <s v="31/may"/>
    <s v=""/>
    <s v=""/>
    <n v="1"/>
  </r>
  <r>
    <x v="8"/>
    <d v="2026-06-10T16:13:55"/>
    <x v="0"/>
    <n v="65155444"/>
    <n v="369041840000"/>
    <s v="8-824-1899"/>
    <s v="Fijo"/>
    <x v="0"/>
    <x v="5"/>
    <m/>
    <m/>
    <m/>
    <s v="si"/>
    <d v="2026-05-31T00:00:00"/>
    <n v="30.44"/>
    <x v="2"/>
    <m/>
    <x v="1"/>
    <x v="0"/>
    <s v="31/may"/>
    <s v=""/>
    <s v=""/>
    <n v="1"/>
  </r>
  <r>
    <x v="8"/>
    <d v="2026-06-10T16:17:41"/>
    <x v="0"/>
    <n v="66960174"/>
    <n v="366044600000"/>
    <s v="C02569146"/>
    <s v="Fijo"/>
    <x v="0"/>
    <x v="6"/>
    <m/>
    <m/>
    <m/>
    <s v="no"/>
    <m/>
    <m/>
    <x v="0"/>
    <m/>
    <x v="0"/>
    <x v="0"/>
    <s v=""/>
    <s v=""/>
    <s v=""/>
    <s v=""/>
  </r>
  <r>
    <x v="8"/>
    <d v="2026-06-10T16:21:55"/>
    <x v="0"/>
    <n v="64762023"/>
    <n v="352051900000"/>
    <s v="8-720-1653"/>
    <s v="Fijo"/>
    <x v="0"/>
    <x v="2"/>
    <m/>
    <m/>
    <m/>
    <s v="no"/>
    <m/>
    <m/>
    <x v="2"/>
    <m/>
    <x v="0"/>
    <x v="0"/>
    <s v=""/>
    <s v=""/>
    <s v=""/>
    <s v=""/>
  </r>
  <r>
    <x v="8"/>
    <d v="2026-06-10T16:35:40"/>
    <x v="0"/>
    <n v="68353394"/>
    <n v="367045630000"/>
    <s v="8-738-10"/>
    <s v="Fijo"/>
    <x v="0"/>
    <x v="6"/>
    <m/>
    <m/>
    <m/>
    <s v="no"/>
    <m/>
    <m/>
    <x v="2"/>
    <m/>
    <x v="0"/>
    <x v="0"/>
    <s v=""/>
    <s v=""/>
    <s v=""/>
    <s v=""/>
  </r>
  <r>
    <x v="8"/>
    <d v="2026-06-10T16:40:35"/>
    <x v="0"/>
    <n v="62283674"/>
    <n v="362045230000"/>
    <s v="4-720-2376"/>
    <s v="Fijo"/>
    <x v="0"/>
    <x v="0"/>
    <m/>
    <m/>
    <m/>
    <s v="no"/>
    <m/>
    <m/>
    <x v="0"/>
    <m/>
    <x v="0"/>
    <x v="0"/>
    <s v=""/>
    <s v=""/>
    <s v=""/>
    <s v=""/>
  </r>
  <r>
    <x v="8"/>
    <d v="2026-06-10T16:45:23"/>
    <x v="0"/>
    <n v="68448925"/>
    <n v="362045840000"/>
    <s v="8-1027-259"/>
    <s v="Fijo"/>
    <x v="0"/>
    <x v="5"/>
    <m/>
    <m/>
    <m/>
    <s v="si"/>
    <d v="2026-05-27T00:00:00"/>
    <n v="30"/>
    <x v="2"/>
    <m/>
    <x v="1"/>
    <x v="0"/>
    <s v="27/may"/>
    <s v=""/>
    <s v=""/>
    <n v="1"/>
  </r>
  <r>
    <x v="8"/>
    <d v="2026-06-10T16:52:28"/>
    <x v="0"/>
    <n v="65790799"/>
    <n v="362043260000"/>
    <s v="2-152-711"/>
    <s v="Fijo"/>
    <x v="0"/>
    <x v="5"/>
    <m/>
    <m/>
    <m/>
    <s v="si"/>
    <d v="2026-05-30T00:00:00"/>
    <n v="30"/>
    <x v="2"/>
    <m/>
    <x v="1"/>
    <x v="0"/>
    <s v="30/may"/>
    <s v=""/>
    <s v=""/>
    <n v="1"/>
  </r>
  <r>
    <x v="8"/>
    <d v="2026-06-10T16:58:13"/>
    <x v="0"/>
    <n v="66499032"/>
    <n v="362039070000"/>
    <s v="BF713496"/>
    <s v="Fijo"/>
    <x v="0"/>
    <x v="0"/>
    <m/>
    <m/>
    <m/>
    <s v="no"/>
    <m/>
    <m/>
    <x v="0"/>
    <m/>
    <x v="0"/>
    <x v="0"/>
    <s v=""/>
    <s v=""/>
    <s v=""/>
    <s v=""/>
  </r>
  <r>
    <x v="8"/>
    <d v="2026-06-10T16:59:52"/>
    <x v="0"/>
    <n v="68560545"/>
    <n v="359227530000"/>
    <s v="7-700-2056"/>
    <s v="Fijo"/>
    <x v="0"/>
    <x v="6"/>
    <m/>
    <m/>
    <m/>
    <s v="no"/>
    <m/>
    <m/>
    <x v="0"/>
    <m/>
    <x v="0"/>
    <x v="0"/>
    <s v=""/>
    <s v=""/>
    <s v=""/>
    <s v=""/>
  </r>
  <r>
    <x v="8"/>
    <d v="2026-06-10T17:03:53"/>
    <x v="0"/>
    <n v="64784095"/>
    <n v="366041540000"/>
    <s v="8-1021-2385"/>
    <s v="Fijo"/>
    <x v="0"/>
    <x v="5"/>
    <m/>
    <m/>
    <m/>
    <s v="si"/>
    <d v="2026-05-25T00:00:00"/>
    <n v="30.44"/>
    <x v="2"/>
    <m/>
    <x v="1"/>
    <x v="0"/>
    <s v="25/may"/>
    <s v=""/>
    <s v=""/>
    <n v="1"/>
  </r>
  <r>
    <x v="8"/>
    <d v="2026-06-10T17:08:01"/>
    <x v="0"/>
    <n v="67263394"/>
    <n v="363045490000"/>
    <s v="8-896-162"/>
    <s v="Fijo"/>
    <x v="0"/>
    <x v="5"/>
    <m/>
    <m/>
    <m/>
    <s v="si"/>
    <d v="2026-05-28T00:00:00"/>
    <n v="34.85"/>
    <x v="2"/>
    <m/>
    <x v="1"/>
    <x v="0"/>
    <s v="28/may"/>
    <s v=""/>
    <s v=""/>
    <n v="1"/>
  </r>
  <r>
    <x v="8"/>
    <d v="2026-06-10T17:12:02"/>
    <x v="0"/>
    <n v="63753840"/>
    <n v="365044020000"/>
    <s v="7-705-556"/>
    <s v="Fijo"/>
    <x v="0"/>
    <x v="5"/>
    <m/>
    <m/>
    <m/>
    <s v="si"/>
    <d v="2026-05-31T00:00:00"/>
    <n v="32.380000000000003"/>
    <x v="2"/>
    <m/>
    <x v="1"/>
    <x v="0"/>
    <s v="31/may"/>
    <s v=""/>
    <s v=""/>
    <n v="1"/>
  </r>
  <r>
    <x v="8"/>
    <d v="2026-06-10T17:15:10"/>
    <x v="0"/>
    <n v="67063800"/>
    <n v="299057840000"/>
    <s v="9-729-1940"/>
    <s v="Fijo"/>
    <x v="0"/>
    <x v="5"/>
    <m/>
    <m/>
    <m/>
    <s v="si"/>
    <m/>
    <m/>
    <x v="2"/>
    <m/>
    <x v="0"/>
    <x v="0"/>
    <s v=""/>
    <s v=""/>
    <s v=""/>
    <s v=""/>
  </r>
  <r>
    <x v="8"/>
    <d v="2026-06-10T17:17:37"/>
    <x v="0"/>
    <n v="65528623"/>
    <n v="369045400000"/>
    <s v="2-147-276"/>
    <s v="Fijo"/>
    <x v="4"/>
    <x v="6"/>
    <m/>
    <m/>
    <m/>
    <s v="no"/>
    <m/>
    <m/>
    <x v="0"/>
    <m/>
    <x v="0"/>
    <x v="0"/>
    <s v=""/>
    <s v=""/>
    <s v=""/>
    <s v=""/>
  </r>
  <r>
    <x v="8"/>
    <d v="2026-06-10T17:21:57"/>
    <x v="0"/>
    <n v="68905432"/>
    <n v="368010580000"/>
    <s v="8-522-1667"/>
    <s v="Fijo"/>
    <x v="0"/>
    <x v="2"/>
    <m/>
    <m/>
    <m/>
    <s v="no"/>
    <m/>
    <m/>
    <x v="1"/>
    <m/>
    <x v="0"/>
    <x v="0"/>
    <s v=""/>
    <s v=""/>
    <s v=""/>
    <s v=""/>
  </r>
  <r>
    <x v="8"/>
    <d v="2026-06-10T17:25:12"/>
    <x v="0"/>
    <n v="67318422"/>
    <n v="367042800000"/>
    <s v="8-240-1004"/>
    <s v="Fijo"/>
    <x v="0"/>
    <x v="2"/>
    <m/>
    <m/>
    <m/>
    <s v="no"/>
    <m/>
    <m/>
    <x v="1"/>
    <m/>
    <x v="0"/>
    <x v="0"/>
    <s v=""/>
    <s v=""/>
    <s v=""/>
    <s v=""/>
  </r>
  <r>
    <x v="8"/>
    <d v="2026-06-10T17:33:22"/>
    <x v="0"/>
    <n v="69795698"/>
    <n v="364040580000"/>
    <s v="8-990-2202"/>
    <s v="Fijo"/>
    <x v="0"/>
    <x v="5"/>
    <m/>
    <m/>
    <m/>
    <s v="si"/>
    <d v="2026-05-30T00:00:00"/>
    <n v="30.44"/>
    <x v="1"/>
    <m/>
    <x v="1"/>
    <x v="0"/>
    <s v="30/may"/>
    <s v=""/>
    <s v=""/>
    <n v="1"/>
  </r>
  <r>
    <x v="8"/>
    <d v="2026-06-10T17:38:19"/>
    <x v="0"/>
    <n v="68150976"/>
    <n v="367037860000"/>
    <s v="9-757-382"/>
    <s v="Fijo"/>
    <x v="0"/>
    <x v="6"/>
    <m/>
    <m/>
    <m/>
    <s v="no"/>
    <m/>
    <m/>
    <x v="0"/>
    <m/>
    <x v="0"/>
    <x v="0"/>
    <s v=""/>
    <s v=""/>
    <s v=""/>
    <s v=""/>
  </r>
  <r>
    <x v="8"/>
    <d v="2026-06-10T17:42:06"/>
    <x v="0"/>
    <n v="65958065"/>
    <n v="367044620000"/>
    <s v="8-968-1058"/>
    <s v="Fijo"/>
    <x v="0"/>
    <x v="2"/>
    <m/>
    <m/>
    <m/>
    <s v="no"/>
    <m/>
    <m/>
    <x v="2"/>
    <m/>
    <x v="0"/>
    <x v="0"/>
    <s v=""/>
    <s v=""/>
    <s v=""/>
    <s v=""/>
  </r>
  <r>
    <x v="8"/>
    <d v="2026-06-10T17:46:30"/>
    <x v="0"/>
    <n v="68307896"/>
    <n v="367008060000"/>
    <s v="BG889341"/>
    <s v="Fijo"/>
    <x v="0"/>
    <x v="2"/>
    <m/>
    <m/>
    <m/>
    <s v="no"/>
    <m/>
    <m/>
    <x v="1"/>
    <m/>
    <x v="0"/>
    <x v="0"/>
    <s v=""/>
    <s v=""/>
    <s v=""/>
    <s v=""/>
  </r>
  <r>
    <x v="8"/>
    <d v="2026-06-10T17:51:54"/>
    <x v="0"/>
    <n v="64801214"/>
    <n v="366037470000"/>
    <s v="8-790-2182"/>
    <s v="Fijo"/>
    <x v="0"/>
    <x v="0"/>
    <m/>
    <m/>
    <m/>
    <s v="no"/>
    <m/>
    <m/>
    <x v="2"/>
    <m/>
    <x v="0"/>
    <x v="0"/>
    <s v=""/>
    <s v=""/>
    <s v=""/>
    <s v=""/>
  </r>
  <r>
    <x v="8"/>
    <d v="2026-06-10T17:56:05"/>
    <x v="0"/>
    <n v="67487662"/>
    <n v="367044720000"/>
    <s v="4-747-2"/>
    <s v="Fijo"/>
    <x v="0"/>
    <x v="5"/>
    <m/>
    <m/>
    <m/>
    <s v="si"/>
    <d v="2026-06-03T00:00:00"/>
    <n v="29.17"/>
    <x v="2"/>
    <m/>
    <x v="2"/>
    <x v="0"/>
    <s v="03/jun"/>
    <s v=""/>
    <s v=""/>
    <n v="1"/>
  </r>
  <r>
    <x v="8"/>
    <d v="2026-06-10T17:58:38"/>
    <x v="0"/>
    <n v="64942046"/>
    <n v="366044960000"/>
    <s v="4-798-157"/>
    <s v="Fijo"/>
    <x v="0"/>
    <x v="6"/>
    <m/>
    <m/>
    <m/>
    <s v="no"/>
    <m/>
    <m/>
    <x v="0"/>
    <m/>
    <x v="0"/>
    <x v="0"/>
    <s v=""/>
    <s v=""/>
    <s v=""/>
    <s v=""/>
  </r>
  <r>
    <x v="8"/>
    <d v="2026-06-10T18:01:01"/>
    <x v="0"/>
    <n v="68131635"/>
    <n v="351102330000"/>
    <s v="4-750-678"/>
    <s v="Fijo"/>
    <x v="0"/>
    <x v="2"/>
    <m/>
    <m/>
    <m/>
    <s v="no"/>
    <m/>
    <m/>
    <x v="1"/>
    <m/>
    <x v="0"/>
    <x v="0"/>
    <s v=""/>
    <s v=""/>
    <s v=""/>
    <s v=""/>
  </r>
  <r>
    <x v="9"/>
    <d v="2026-06-11T12:10:37"/>
    <x v="0"/>
    <n v="69694789"/>
    <n v="800989530000"/>
    <s v="4-138-2045"/>
    <s v="Fijo"/>
    <x v="0"/>
    <x v="5"/>
    <m/>
    <m/>
    <m/>
    <s v="si"/>
    <d v="2026-06-01T00:00:00"/>
    <n v="54.44"/>
    <x v="2"/>
    <m/>
    <x v="2"/>
    <x v="0"/>
    <s v="01/jun"/>
    <s v=""/>
    <s v=""/>
    <n v="1"/>
  </r>
  <r>
    <x v="9"/>
    <d v="2026-06-11T12:19:14"/>
    <x v="0"/>
    <n v="64750146"/>
    <n v="336041250000"/>
    <s v="4-805-111"/>
    <s v="Fijo"/>
    <x v="0"/>
    <x v="5"/>
    <m/>
    <m/>
    <m/>
    <s v="si"/>
    <d v="2026-05-29T00:00:00"/>
    <n v="14"/>
    <x v="2"/>
    <m/>
    <x v="1"/>
    <x v="0"/>
    <s v="29/may"/>
    <s v=""/>
    <s v=""/>
    <n v="1"/>
  </r>
  <r>
    <x v="9"/>
    <d v="2026-06-11T12:24:02"/>
    <x v="0"/>
    <n v="63941236"/>
    <n v="364045620000"/>
    <s v="4-819-867"/>
    <s v="Fijo"/>
    <x v="0"/>
    <x v="5"/>
    <m/>
    <m/>
    <m/>
    <s v="si"/>
    <d v="2026-05-31T00:00:00"/>
    <n v="25.25"/>
    <x v="2"/>
    <m/>
    <x v="1"/>
    <x v="0"/>
    <s v="31/may"/>
    <s v=""/>
    <s v=""/>
    <n v="1"/>
  </r>
  <r>
    <x v="9"/>
    <d v="2026-06-11T12:30:01"/>
    <x v="0"/>
    <n v="69369350"/>
    <n v="363041060000"/>
    <s v="8-1018-309"/>
    <s v="Fijo"/>
    <x v="0"/>
    <x v="5"/>
    <m/>
    <m/>
    <m/>
    <s v="si"/>
    <d v="2026-06-06T00:00:00"/>
    <n v="41.37"/>
    <x v="2"/>
    <m/>
    <x v="2"/>
    <x v="0"/>
    <s v="06/jun"/>
    <s v=""/>
    <s v=""/>
    <n v="1"/>
  </r>
  <r>
    <x v="9"/>
    <d v="2026-06-11T12:31:51"/>
    <x v="0"/>
    <n v="68263190"/>
    <n v="362034390000"/>
    <s v="8-1014-2327"/>
    <s v="Fijo"/>
    <x v="0"/>
    <x v="0"/>
    <m/>
    <m/>
    <m/>
    <s v="no"/>
    <m/>
    <m/>
    <x v="1"/>
    <m/>
    <x v="0"/>
    <x v="0"/>
    <s v=""/>
    <s v=""/>
    <s v=""/>
    <s v=""/>
  </r>
  <r>
    <x v="9"/>
    <d v="2026-06-11T12:41:30"/>
    <x v="0"/>
    <n v="65991260"/>
    <n v="368044430000"/>
    <s v="9-731-555"/>
    <s v="Fijo"/>
    <x v="0"/>
    <x v="5"/>
    <m/>
    <m/>
    <m/>
    <s v="si"/>
    <d v="2026-06-08T00:00:00"/>
    <n v="25.39"/>
    <x v="2"/>
    <m/>
    <x v="2"/>
    <x v="0"/>
    <s v="08/jun"/>
    <s v=""/>
    <s v=""/>
    <n v="1"/>
  </r>
  <r>
    <x v="9"/>
    <d v="2026-06-11T12:46:44"/>
    <x v="0"/>
    <n v="60439804"/>
    <n v="366047680000"/>
    <s v="8-306-953"/>
    <s v="Fijo"/>
    <x v="0"/>
    <x v="2"/>
    <m/>
    <m/>
    <m/>
    <s v="no"/>
    <m/>
    <m/>
    <x v="1"/>
    <m/>
    <x v="0"/>
    <x v="0"/>
    <s v=""/>
    <s v=""/>
    <s v=""/>
    <s v=""/>
  </r>
  <r>
    <x v="9"/>
    <d v="2026-06-11T12:53:41"/>
    <x v="0"/>
    <n v="64116955"/>
    <n v="361047020000"/>
    <s v="9-737-681"/>
    <s v="Fijo"/>
    <x v="0"/>
    <x v="5"/>
    <m/>
    <m/>
    <m/>
    <s v="si"/>
    <d v="2026-06-06T00:00:00"/>
    <n v="30.44"/>
    <x v="1"/>
    <m/>
    <x v="2"/>
    <x v="0"/>
    <s v="06/jun"/>
    <s v=""/>
    <s v=""/>
    <n v="1"/>
  </r>
  <r>
    <x v="9"/>
    <d v="2026-06-11T12:59:05"/>
    <x v="0"/>
    <n v="68288324"/>
    <n v="364047850000"/>
    <s v="10-712-2207"/>
    <s v="Fijo"/>
    <x v="0"/>
    <x v="3"/>
    <m/>
    <m/>
    <m/>
    <s v="no"/>
    <m/>
    <m/>
    <x v="2"/>
    <m/>
    <x v="0"/>
    <x v="0"/>
    <s v=""/>
    <s v=""/>
    <s v=""/>
    <s v=""/>
  </r>
  <r>
    <x v="9"/>
    <d v="2026-06-11T13:03:42"/>
    <x v="0"/>
    <n v="63943208"/>
    <n v="305059430000"/>
    <s v="8-928-1087"/>
    <s v="Fijo"/>
    <x v="0"/>
    <x v="6"/>
    <m/>
    <m/>
    <m/>
    <s v="no"/>
    <m/>
    <m/>
    <x v="0"/>
    <m/>
    <x v="0"/>
    <x v="0"/>
    <s v=""/>
    <s v=""/>
    <s v=""/>
    <s v=""/>
  </r>
  <r>
    <x v="9"/>
    <d v="2026-06-11T13:07:07"/>
    <x v="0"/>
    <n v="66673136"/>
    <n v="368037840000"/>
    <s v="8-1044-951"/>
    <s v="Fijo"/>
    <x v="0"/>
    <x v="2"/>
    <m/>
    <m/>
    <m/>
    <s v="no"/>
    <m/>
    <m/>
    <x v="1"/>
    <m/>
    <x v="0"/>
    <x v="0"/>
    <s v=""/>
    <s v=""/>
    <s v=""/>
    <s v=""/>
  </r>
  <r>
    <x v="9"/>
    <d v="2026-06-11T13:11:36"/>
    <x v="0"/>
    <n v="67683403"/>
    <n v="369043420000"/>
    <s v="3-736-1480"/>
    <s v="Fijo"/>
    <x v="0"/>
    <x v="5"/>
    <m/>
    <m/>
    <m/>
    <s v="si"/>
    <d v="2026-05-28T00:00:00"/>
    <n v="35.92"/>
    <x v="2"/>
    <m/>
    <x v="1"/>
    <x v="0"/>
    <s v="28/may"/>
    <s v=""/>
    <s v=""/>
    <n v="1"/>
  </r>
  <r>
    <x v="9"/>
    <d v="2026-06-11T13:14:39"/>
    <x v="0"/>
    <n v="62652524"/>
    <n v="363047290000"/>
    <s v="4-797-1296"/>
    <s v="Fijo"/>
    <x v="0"/>
    <x v="2"/>
    <m/>
    <m/>
    <m/>
    <s v="no"/>
    <m/>
    <m/>
    <x v="2"/>
    <m/>
    <x v="0"/>
    <x v="0"/>
    <s v=""/>
    <s v=""/>
    <s v=""/>
    <s v=""/>
  </r>
  <r>
    <x v="9"/>
    <d v="2026-06-11T14:28:18"/>
    <x v="0"/>
    <n v="67014561"/>
    <n v="367047330000"/>
    <s v="1-713-2053"/>
    <s v="Fijo"/>
    <x v="0"/>
    <x v="5"/>
    <m/>
    <m/>
    <m/>
    <s v="si"/>
    <d v="2026-06-06T00:00:00"/>
    <n v="35.6"/>
    <x v="2"/>
    <m/>
    <x v="2"/>
    <x v="0"/>
    <s v="06/jun"/>
    <s v=""/>
    <s v=""/>
    <n v="1"/>
  </r>
  <r>
    <x v="9"/>
    <d v="2026-06-11T14:34:06"/>
    <x v="0"/>
    <n v="64213994"/>
    <n v="362046720000"/>
    <s v="8-739-2107"/>
    <s v="Fijo"/>
    <x v="0"/>
    <x v="5"/>
    <m/>
    <m/>
    <m/>
    <s v="si"/>
    <m/>
    <m/>
    <x v="2"/>
    <m/>
    <x v="0"/>
    <x v="0"/>
    <s v=""/>
    <s v=""/>
    <s v=""/>
    <s v=""/>
  </r>
  <r>
    <x v="9"/>
    <d v="2026-06-11T14:38:21"/>
    <x v="0"/>
    <n v="64592246"/>
    <n v="323037370000"/>
    <s v="6-719-1176"/>
    <s v="Fijo"/>
    <x v="0"/>
    <x v="2"/>
    <m/>
    <m/>
    <m/>
    <s v="si"/>
    <d v="2026-06-09T00:00:00"/>
    <n v="35.85"/>
    <x v="2"/>
    <m/>
    <x v="2"/>
    <x v="0"/>
    <s v="09/jun"/>
    <s v=""/>
    <s v=""/>
    <n v="1"/>
  </r>
  <r>
    <x v="9"/>
    <d v="2026-06-11T14:44:13"/>
    <x v="0"/>
    <n v="63390355"/>
    <n v="364048200000"/>
    <s v="2-728-245"/>
    <s v="Fijo"/>
    <x v="0"/>
    <x v="2"/>
    <m/>
    <m/>
    <m/>
    <s v="no"/>
    <m/>
    <m/>
    <x v="0"/>
    <m/>
    <x v="0"/>
    <x v="0"/>
    <s v=""/>
    <s v=""/>
    <s v=""/>
    <s v=""/>
  </r>
  <r>
    <x v="9"/>
    <d v="2026-06-11T14:45:38"/>
    <x v="0"/>
    <n v="65229779"/>
    <n v="369048200000"/>
    <s v="BD885163"/>
    <s v="Fijo"/>
    <x v="0"/>
    <x v="6"/>
    <m/>
    <m/>
    <m/>
    <s v="no"/>
    <m/>
    <m/>
    <x v="2"/>
    <m/>
    <x v="0"/>
    <x v="0"/>
    <s v=""/>
    <s v=""/>
    <s v=""/>
    <s v=""/>
  </r>
  <r>
    <x v="9"/>
    <d v="2026-06-11T14:50:07"/>
    <x v="0"/>
    <n v="68082827"/>
    <n v="369048170000"/>
    <s v="8-918-1627"/>
    <s v="Fijo"/>
    <x v="3"/>
    <x v="2"/>
    <m/>
    <m/>
    <m/>
    <s v="no"/>
    <m/>
    <m/>
    <x v="1"/>
    <m/>
    <x v="0"/>
    <x v="0"/>
    <s v=""/>
    <s v=""/>
    <s v=""/>
    <s v=""/>
  </r>
  <r>
    <x v="9"/>
    <d v="2026-06-11T14:55:46"/>
    <x v="0"/>
    <n v="65938624"/>
    <n v="363042820000"/>
    <s v="PAL370908"/>
    <s v="Fijo"/>
    <x v="0"/>
    <x v="5"/>
    <m/>
    <m/>
    <m/>
    <s v="si"/>
    <d v="2026-05-25T00:00:00"/>
    <n v="44.81"/>
    <x v="2"/>
    <m/>
    <x v="1"/>
    <x v="0"/>
    <s v="25/may"/>
    <s v=""/>
    <s v=""/>
    <n v="1"/>
  </r>
  <r>
    <x v="9"/>
    <d v="2026-06-11T14:59:43"/>
    <x v="0"/>
    <n v="65109651"/>
    <n v="363048210000"/>
    <s v="8-810-742"/>
    <s v="Fijo"/>
    <x v="0"/>
    <x v="5"/>
    <m/>
    <m/>
    <m/>
    <s v="si"/>
    <d v="2026-05-29T00:00:00"/>
    <n v="30.44"/>
    <x v="2"/>
    <m/>
    <x v="1"/>
    <x v="0"/>
    <s v="29/may"/>
    <s v=""/>
    <s v=""/>
    <n v="1"/>
  </r>
  <r>
    <x v="9"/>
    <d v="2026-06-11T15:03:11"/>
    <x v="0"/>
    <n v="65077219"/>
    <n v="369048840000"/>
    <s v="8-973-519"/>
    <s v="Fijo"/>
    <x v="0"/>
    <x v="7"/>
    <m/>
    <m/>
    <m/>
    <s v="no"/>
    <m/>
    <m/>
    <x v="0"/>
    <m/>
    <x v="0"/>
    <x v="0"/>
    <s v=""/>
    <s v=""/>
    <s v=""/>
    <s v=""/>
  </r>
  <r>
    <x v="9"/>
    <d v="2026-06-11T15:08:56"/>
    <x v="0"/>
    <n v="67947017"/>
    <n v="352029270000"/>
    <s v="10-709-2122"/>
    <s v="Fijo"/>
    <x v="0"/>
    <x v="1"/>
    <m/>
    <m/>
    <m/>
    <s v="no"/>
    <m/>
    <m/>
    <x v="1"/>
    <m/>
    <x v="0"/>
    <x v="0"/>
    <s v=""/>
    <s v=""/>
    <s v=""/>
    <s v=""/>
  </r>
  <r>
    <x v="9"/>
    <d v="2026-06-11T15:15:19"/>
    <x v="0"/>
    <n v="67931966"/>
    <n v="361042890000"/>
    <s v="E-8-161889"/>
    <s v="Fijo"/>
    <x v="0"/>
    <x v="5"/>
    <m/>
    <m/>
    <m/>
    <s v="si"/>
    <m/>
    <m/>
    <x v="2"/>
    <m/>
    <x v="0"/>
    <x v="0"/>
    <s v=""/>
    <s v=""/>
    <s v=""/>
    <s v=""/>
  </r>
  <r>
    <x v="9"/>
    <d v="2026-06-11T15:21:42"/>
    <x v="0"/>
    <n v="65908684"/>
    <n v="361046470000"/>
    <s v="4-780-1955"/>
    <s v="Fijo"/>
    <x v="0"/>
    <x v="2"/>
    <m/>
    <m/>
    <m/>
    <s v="no"/>
    <m/>
    <m/>
    <x v="2"/>
    <m/>
    <x v="0"/>
    <x v="0"/>
    <s v=""/>
    <s v=""/>
    <s v=""/>
    <s v=""/>
  </r>
  <r>
    <x v="9"/>
    <d v="2026-06-11T15:27:21"/>
    <x v="0"/>
    <n v="63528381"/>
    <n v="363045910000"/>
    <s v="4-766-1064"/>
    <s v="Fijo"/>
    <x v="0"/>
    <x v="1"/>
    <m/>
    <d v="2026-06-15T00:00:00"/>
    <n v="75.75"/>
    <s v="no"/>
    <m/>
    <m/>
    <x v="1"/>
    <m/>
    <x v="0"/>
    <x v="1"/>
    <s v=""/>
    <s v="15/jun"/>
    <n v="1"/>
    <s v=""/>
  </r>
  <r>
    <x v="9"/>
    <d v="2026-06-11T15:36:33"/>
    <x v="0"/>
    <n v="66049688"/>
    <n v="367046940000"/>
    <s v="10-702-1035"/>
    <s v="Fijo"/>
    <x v="0"/>
    <x v="2"/>
    <m/>
    <m/>
    <m/>
    <s v="no"/>
    <m/>
    <m/>
    <x v="2"/>
    <m/>
    <x v="0"/>
    <x v="0"/>
    <s v=""/>
    <s v=""/>
    <s v=""/>
    <s v=""/>
  </r>
  <r>
    <x v="9"/>
    <d v="2026-06-11T15:40:01"/>
    <x v="0"/>
    <n v="67021141"/>
    <n v="361040290000"/>
    <s v="10-702-1035"/>
    <s v="Fijo"/>
    <x v="0"/>
    <x v="2"/>
    <m/>
    <m/>
    <m/>
    <s v="no"/>
    <m/>
    <m/>
    <x v="2"/>
    <m/>
    <x v="0"/>
    <x v="0"/>
    <s v=""/>
    <s v=""/>
    <s v=""/>
    <s v=""/>
  </r>
  <r>
    <x v="9"/>
    <d v="2026-06-11T15:46:28"/>
    <x v="0"/>
    <n v="65188784"/>
    <n v="139010110000"/>
    <s v="3-713-2114"/>
    <s v="Fijo"/>
    <x v="0"/>
    <x v="0"/>
    <m/>
    <m/>
    <m/>
    <s v="no"/>
    <m/>
    <m/>
    <x v="1"/>
    <m/>
    <x v="0"/>
    <x v="0"/>
    <s v=""/>
    <s v=""/>
    <s v=""/>
    <s v=""/>
  </r>
  <r>
    <x v="9"/>
    <d v="2026-06-11T15:51:04"/>
    <x v="0"/>
    <n v="61337582"/>
    <n v="367040070000"/>
    <s v="9-134-922"/>
    <s v="Fijo"/>
    <x v="0"/>
    <x v="6"/>
    <m/>
    <m/>
    <m/>
    <s v="no"/>
    <m/>
    <m/>
    <x v="1"/>
    <m/>
    <x v="0"/>
    <x v="0"/>
    <s v=""/>
    <s v=""/>
    <s v=""/>
    <s v=""/>
  </r>
  <r>
    <x v="9"/>
    <d v="2026-06-11T15:57:00"/>
    <x v="0"/>
    <n v="60845990"/>
    <n v="362047240000"/>
    <s v="8-786-89"/>
    <s v="Fijo"/>
    <x v="0"/>
    <x v="1"/>
    <m/>
    <d v="2026-06-12T00:00:00"/>
    <n v="5"/>
    <s v="no"/>
    <m/>
    <m/>
    <x v="2"/>
    <m/>
    <x v="0"/>
    <x v="1"/>
    <s v=""/>
    <s v="12/jun"/>
    <n v="1"/>
    <s v=""/>
  </r>
  <r>
    <x v="9"/>
    <d v="2026-06-11T16:00:07"/>
    <x v="0"/>
    <n v="68992032"/>
    <n v="368049760000"/>
    <s v="8-993-60"/>
    <s v="Fijo"/>
    <x v="0"/>
    <x v="6"/>
    <m/>
    <m/>
    <m/>
    <s v="no"/>
    <m/>
    <m/>
    <x v="0"/>
    <m/>
    <x v="0"/>
    <x v="0"/>
    <s v=""/>
    <s v=""/>
    <s v=""/>
    <s v=""/>
  </r>
  <r>
    <x v="9"/>
    <d v="2026-06-11T16:06:11"/>
    <x v="0"/>
    <n v="60684144"/>
    <n v="363047220000"/>
    <s v="9-175-796"/>
    <s v="Fijo"/>
    <x v="0"/>
    <x v="3"/>
    <m/>
    <m/>
    <m/>
    <s v="no"/>
    <m/>
    <m/>
    <x v="1"/>
    <m/>
    <x v="0"/>
    <x v="0"/>
    <s v=""/>
    <s v=""/>
    <s v=""/>
    <s v=""/>
  </r>
  <r>
    <x v="9"/>
    <d v="2026-06-11T16:09:48"/>
    <x v="0"/>
    <n v="62817684"/>
    <n v="362042600000"/>
    <s v="E-8-60150"/>
    <s v="Fijo"/>
    <x v="2"/>
    <x v="6"/>
    <m/>
    <m/>
    <m/>
    <s v="no"/>
    <m/>
    <m/>
    <x v="1"/>
    <m/>
    <x v="0"/>
    <x v="0"/>
    <s v=""/>
    <s v=""/>
    <s v=""/>
    <s v=""/>
  </r>
  <r>
    <x v="9"/>
    <d v="2026-06-11T16:15:20"/>
    <x v="0"/>
    <n v="65089511"/>
    <n v="368043310000"/>
    <s v="8-948-61 DV 86"/>
    <s v="Fijo"/>
    <x v="2"/>
    <x v="1"/>
    <m/>
    <d v="2026-06-15T00:00:00"/>
    <n v="29.18"/>
    <s v="no"/>
    <m/>
    <m/>
    <x v="1"/>
    <m/>
    <x v="0"/>
    <x v="1"/>
    <s v=""/>
    <s v="15/jun"/>
    <n v="1"/>
    <s v=""/>
  </r>
  <r>
    <x v="9"/>
    <d v="2026-06-11T16:26:52"/>
    <x v="0"/>
    <n v="65214449"/>
    <n v="365048780000"/>
    <s v="2-701-1992"/>
    <s v="Fijo"/>
    <x v="0"/>
    <x v="1"/>
    <m/>
    <d v="2026-06-15T00:00:00"/>
    <n v="15.44"/>
    <s v="si"/>
    <d v="2026-06-08T00:00:00"/>
    <n v="15"/>
    <x v="2"/>
    <m/>
    <x v="2"/>
    <x v="1"/>
    <s v="08/jun"/>
    <s v="15/jun"/>
    <n v="1"/>
    <n v="1"/>
  </r>
  <r>
    <x v="9"/>
    <d v="2026-06-11T16:32:50"/>
    <x v="0"/>
    <n v="69168631"/>
    <n v="364046530000"/>
    <s v="9-754-903"/>
    <s v="Fijo"/>
    <x v="0"/>
    <x v="5"/>
    <m/>
    <m/>
    <m/>
    <s v="si"/>
    <d v="2026-05-31T00:00:00"/>
    <n v="13.98"/>
    <x v="2"/>
    <m/>
    <x v="1"/>
    <x v="0"/>
    <s v="31/may"/>
    <s v=""/>
    <s v=""/>
    <n v="1"/>
  </r>
  <r>
    <x v="9"/>
    <d v="2026-06-11T16:38:16"/>
    <x v="0"/>
    <n v="67927212"/>
    <n v="366044820000"/>
    <s v="2-746-110"/>
    <s v="Fijo"/>
    <x v="4"/>
    <x v="2"/>
    <m/>
    <m/>
    <m/>
    <s v="no"/>
    <m/>
    <m/>
    <x v="2"/>
    <m/>
    <x v="0"/>
    <x v="0"/>
    <s v=""/>
    <s v=""/>
    <s v=""/>
    <s v=""/>
  </r>
  <r>
    <x v="9"/>
    <d v="2026-06-11T16:41:58"/>
    <x v="0"/>
    <n v="69376846"/>
    <n v="367048830000"/>
    <s v="8-984-1747"/>
    <s v="Fijo"/>
    <x v="4"/>
    <x v="3"/>
    <m/>
    <m/>
    <m/>
    <s v="no"/>
    <m/>
    <m/>
    <x v="1"/>
    <m/>
    <x v="0"/>
    <x v="0"/>
    <s v=""/>
    <s v=""/>
    <s v=""/>
    <s v=""/>
  </r>
  <r>
    <x v="9"/>
    <d v="2026-06-11T16:46:47"/>
    <x v="0"/>
    <n v="63849758"/>
    <n v="366046220000"/>
    <s v="E-8-12-7795"/>
    <s v="Fijo"/>
    <x v="0"/>
    <x v="6"/>
    <m/>
    <m/>
    <m/>
    <s v="no"/>
    <m/>
    <m/>
    <x v="0"/>
    <m/>
    <x v="0"/>
    <x v="0"/>
    <s v=""/>
    <s v=""/>
    <s v=""/>
    <s v=""/>
  </r>
  <r>
    <x v="9"/>
    <d v="2026-06-11T16:50:00"/>
    <x v="0"/>
    <n v="67576042"/>
    <n v="365049820000"/>
    <s v="8-929-944"/>
    <s v="Fijo"/>
    <x v="0"/>
    <x v="6"/>
    <m/>
    <m/>
    <m/>
    <s v="no"/>
    <m/>
    <m/>
    <x v="0"/>
    <m/>
    <x v="0"/>
    <x v="0"/>
    <s v=""/>
    <s v=""/>
    <s v=""/>
    <s v=""/>
  </r>
  <r>
    <x v="9"/>
    <d v="2026-06-11T16:56:02"/>
    <x v="0"/>
    <n v="69935261"/>
    <n v="365048240000"/>
    <s v="4-839-374"/>
    <s v="Fijo"/>
    <x v="0"/>
    <x v="0"/>
    <m/>
    <m/>
    <m/>
    <s v="no"/>
    <m/>
    <m/>
    <x v="1"/>
    <m/>
    <x v="0"/>
    <x v="0"/>
    <s v=""/>
    <s v=""/>
    <s v=""/>
    <s v=""/>
  </r>
  <r>
    <x v="9"/>
    <d v="2026-06-11T17:01:03"/>
    <x v="0"/>
    <n v="66247133"/>
    <n v="362048230000"/>
    <s v="12-726-1534"/>
    <s v="Fijo"/>
    <x v="0"/>
    <x v="2"/>
    <m/>
    <m/>
    <m/>
    <s v="no"/>
    <m/>
    <m/>
    <x v="0"/>
    <m/>
    <x v="0"/>
    <x v="0"/>
    <s v=""/>
    <s v=""/>
    <s v=""/>
    <s v=""/>
  </r>
  <r>
    <x v="9"/>
    <d v="2026-06-11T17:04:58"/>
    <x v="0"/>
    <n v="68467193"/>
    <n v="364042990000"/>
    <s v="4-704-308"/>
    <s v="Fijo"/>
    <x v="0"/>
    <x v="3"/>
    <m/>
    <m/>
    <m/>
    <s v="no"/>
    <m/>
    <m/>
    <x v="1"/>
    <m/>
    <x v="0"/>
    <x v="0"/>
    <s v=""/>
    <s v=""/>
    <s v=""/>
    <s v=""/>
  </r>
  <r>
    <x v="9"/>
    <d v="2026-06-11T17:09:38"/>
    <x v="0"/>
    <n v="63602181"/>
    <n v="366047420000"/>
    <s v="1-756-2364"/>
    <s v="Fijo"/>
    <x v="0"/>
    <x v="2"/>
    <m/>
    <m/>
    <m/>
    <s v="no"/>
    <m/>
    <m/>
    <x v="1"/>
    <m/>
    <x v="0"/>
    <x v="0"/>
    <s v=""/>
    <s v=""/>
    <s v=""/>
    <s v=""/>
  </r>
  <r>
    <x v="9"/>
    <d v="2026-06-11T17:15:19"/>
    <x v="0"/>
    <n v="64370913"/>
    <n v="369049080000"/>
    <s v="8-935-506"/>
    <s v="Fijo"/>
    <x v="0"/>
    <x v="5"/>
    <m/>
    <m/>
    <m/>
    <s v="si"/>
    <d v="2026-05-27T00:00:00"/>
    <n v="30.44"/>
    <x v="1"/>
    <m/>
    <x v="1"/>
    <x v="0"/>
    <s v="27/may"/>
    <s v=""/>
    <s v=""/>
    <n v="1"/>
  </r>
  <r>
    <x v="9"/>
    <d v="2026-06-11T17:20:08"/>
    <x v="0"/>
    <n v="65947342"/>
    <n v="362049930000"/>
    <s v="8-732-2045"/>
    <s v="Fijo"/>
    <x v="0"/>
    <x v="5"/>
    <m/>
    <m/>
    <m/>
    <s v="si"/>
    <d v="2026-06-06T00:00:00"/>
    <n v="24.94"/>
    <x v="2"/>
    <m/>
    <x v="2"/>
    <x v="0"/>
    <s v="06/jun"/>
    <s v=""/>
    <s v=""/>
    <n v="1"/>
  </r>
  <r>
    <x v="9"/>
    <d v="2026-06-11T17:24:38"/>
    <x v="0"/>
    <n v="68501747"/>
    <n v="363050240000"/>
    <s v="8-916-55"/>
    <s v="Fijo"/>
    <x v="0"/>
    <x v="2"/>
    <m/>
    <m/>
    <m/>
    <s v="no"/>
    <m/>
    <m/>
    <x v="1"/>
    <m/>
    <x v="0"/>
    <x v="0"/>
    <s v=""/>
    <s v=""/>
    <s v=""/>
    <s v=""/>
  </r>
  <r>
    <x v="9"/>
    <d v="2026-06-11T17:29:39"/>
    <x v="0"/>
    <n v="68804261"/>
    <n v="361044990000"/>
    <s v="2-82-108"/>
    <s v="Fijo"/>
    <x v="0"/>
    <x v="2"/>
    <m/>
    <m/>
    <m/>
    <s v="no"/>
    <m/>
    <m/>
    <x v="2"/>
    <m/>
    <x v="0"/>
    <x v="0"/>
    <s v=""/>
    <s v=""/>
    <s v=""/>
    <s v=""/>
  </r>
  <r>
    <x v="9"/>
    <d v="2026-06-11T17:33:59"/>
    <x v="0"/>
    <n v="61639454"/>
    <n v="365049190000"/>
    <s v="8-953-627"/>
    <s v="Fijo"/>
    <x v="0"/>
    <x v="2"/>
    <m/>
    <m/>
    <m/>
    <s v="no"/>
    <m/>
    <m/>
    <x v="1"/>
    <m/>
    <x v="0"/>
    <x v="0"/>
    <s v=""/>
    <s v=""/>
    <s v=""/>
    <s v=""/>
  </r>
  <r>
    <x v="9"/>
    <d v="2026-06-11T17:39:44"/>
    <x v="0"/>
    <n v="60269664"/>
    <n v="361050120000"/>
    <s v="8-845-1964"/>
    <s v="Fijo"/>
    <x v="1"/>
    <x v="5"/>
    <m/>
    <m/>
    <m/>
    <s v="si"/>
    <d v="2026-06-08T00:00:00"/>
    <n v="27.02"/>
    <x v="2"/>
    <m/>
    <x v="2"/>
    <x v="0"/>
    <s v="08/jun"/>
    <s v=""/>
    <s v=""/>
    <n v="1"/>
  </r>
  <r>
    <x v="9"/>
    <d v="2026-06-11T17:43:40"/>
    <x v="0"/>
    <n v="66513626"/>
    <n v="366027960000"/>
    <s v="BD387724"/>
    <s v="Fijo"/>
    <x v="2"/>
    <x v="5"/>
    <m/>
    <m/>
    <m/>
    <s v="si"/>
    <d v="2026-06-08T00:00:00"/>
    <n v="33.47"/>
    <x v="2"/>
    <m/>
    <x v="2"/>
    <x v="0"/>
    <s v="08/jun"/>
    <s v=""/>
    <s v=""/>
    <n v="1"/>
  </r>
  <r>
    <x v="9"/>
    <d v="2026-06-11T17:53:21"/>
    <x v="0"/>
    <n v="66757494"/>
    <n v="366048810000"/>
    <s v="9-62-94"/>
    <s v="Fijo"/>
    <x v="0"/>
    <x v="2"/>
    <m/>
    <m/>
    <m/>
    <s v="no"/>
    <m/>
    <m/>
    <x v="2"/>
    <m/>
    <x v="0"/>
    <x v="0"/>
    <s v=""/>
    <s v=""/>
    <s v=""/>
    <s v=""/>
  </r>
  <r>
    <x v="9"/>
    <d v="2026-06-11T17:58:32"/>
    <x v="0"/>
    <n v="64507669"/>
    <n v="804457890000"/>
    <s v="8-208-315"/>
    <s v="Fijo"/>
    <x v="4"/>
    <x v="5"/>
    <m/>
    <m/>
    <m/>
    <s v="si"/>
    <d v="2026-06-05T00:00:00"/>
    <n v="45.01"/>
    <x v="2"/>
    <m/>
    <x v="2"/>
    <x v="0"/>
    <s v="05/jun"/>
    <s v=""/>
    <s v=""/>
    <n v="1"/>
  </r>
  <r>
    <x v="9"/>
    <d v="2026-06-11T18:09:12"/>
    <x v="0"/>
    <n v="67917692"/>
    <n v="349454890000"/>
    <s v="8-1009-166"/>
    <s v="Fijo"/>
    <x v="4"/>
    <x v="6"/>
    <m/>
    <m/>
    <m/>
    <s v="no"/>
    <m/>
    <m/>
    <x v="0"/>
    <m/>
    <x v="0"/>
    <x v="0"/>
    <s v=""/>
    <s v=""/>
    <s v=""/>
    <s v=""/>
  </r>
  <r>
    <x v="9"/>
    <d v="2026-06-11T18:13:04"/>
    <x v="0"/>
    <n v="66413275"/>
    <n v="361034560000"/>
    <s v="8-1031-2399"/>
    <s v="Fijo"/>
    <x v="4"/>
    <x v="1"/>
    <s v="Problema de salud"/>
    <d v="2026-06-18T00:00:00"/>
    <n v="89.9"/>
    <s v="no"/>
    <m/>
    <m/>
    <x v="1"/>
    <m/>
    <x v="0"/>
    <x v="1"/>
    <s v=""/>
    <s v="18/jun"/>
    <n v="1"/>
    <s v=""/>
  </r>
  <r>
    <x v="9"/>
    <d v="2026-06-11T18:16:33"/>
    <x v="0"/>
    <n v="67890543"/>
    <n v="365050340000"/>
    <s v="4-726-1343"/>
    <s v="Fijo"/>
    <x v="0"/>
    <x v="5"/>
    <m/>
    <m/>
    <m/>
    <s v="si"/>
    <d v="2026-06-06T00:00:00"/>
    <n v="23.08"/>
    <x v="2"/>
    <m/>
    <x v="2"/>
    <x v="0"/>
    <s v="06/jun"/>
    <s v=""/>
    <s v=""/>
    <n v="1"/>
  </r>
  <r>
    <x v="10"/>
    <d v="2026-06-12T09:46:25"/>
    <x v="0"/>
    <n v="62188600"/>
    <n v="364045810000"/>
    <s v="8-902-2470"/>
    <s v="Fijo"/>
    <x v="0"/>
    <x v="2"/>
    <m/>
    <m/>
    <m/>
    <s v="no"/>
    <m/>
    <m/>
    <x v="1"/>
    <m/>
    <x v="0"/>
    <x v="0"/>
    <s v=""/>
    <s v=""/>
    <s v=""/>
    <s v=""/>
  </r>
  <r>
    <x v="10"/>
    <d v="2026-06-12T09:51:15"/>
    <x v="0"/>
    <n v="65999681"/>
    <n v="306013100000"/>
    <s v="8-900-1358"/>
    <s v="Fijo"/>
    <x v="0"/>
    <x v="5"/>
    <m/>
    <m/>
    <m/>
    <s v="si"/>
    <d v="2026-06-08T00:00:00"/>
    <n v="30.44"/>
    <x v="2"/>
    <m/>
    <x v="2"/>
    <x v="0"/>
    <s v="08/jun"/>
    <s v=""/>
    <s v=""/>
    <n v="1"/>
  </r>
  <r>
    <x v="10"/>
    <d v="2026-06-12T09:54:09"/>
    <x v="0"/>
    <n v="63409051"/>
    <n v="369050130000"/>
    <s v="2-78-2257"/>
    <s v="Fijo"/>
    <x v="0"/>
    <x v="3"/>
    <m/>
    <m/>
    <m/>
    <s v="no"/>
    <m/>
    <m/>
    <x v="1"/>
    <m/>
    <x v="0"/>
    <x v="0"/>
    <s v=""/>
    <s v=""/>
    <s v=""/>
    <s v=""/>
  </r>
  <r>
    <x v="10"/>
    <d v="2026-06-12T09:58:15"/>
    <x v="0"/>
    <n v="64495263"/>
    <n v="366050930000"/>
    <s v="4-45-711"/>
    <s v="Fijo"/>
    <x v="0"/>
    <x v="5"/>
    <m/>
    <m/>
    <m/>
    <s v="si"/>
    <d v="2026-06-04T00:00:00"/>
    <n v="32.68"/>
    <x v="2"/>
    <m/>
    <x v="2"/>
    <x v="0"/>
    <s v="04/jun"/>
    <s v=""/>
    <s v=""/>
    <n v="1"/>
  </r>
  <r>
    <x v="10"/>
    <d v="2026-06-12T10:08:57"/>
    <x v="0"/>
    <n v="68926334"/>
    <n v="361046610000"/>
    <s v="4-774-1797"/>
    <s v="Fijo"/>
    <x v="0"/>
    <x v="1"/>
    <s v="Situación económica"/>
    <d v="2026-06-24T00:00:00"/>
    <n v="40"/>
    <s v="no"/>
    <m/>
    <m/>
    <x v="0"/>
    <m/>
    <x v="0"/>
    <x v="1"/>
    <s v=""/>
    <s v="24/jun"/>
    <n v="1"/>
    <s v=""/>
  </r>
  <r>
    <x v="10"/>
    <d v="2026-06-12T10:15:39"/>
    <x v="0"/>
    <n v="66549346"/>
    <n v="364044270000"/>
    <s v="8-888-1943"/>
    <s v="Fijo"/>
    <x v="0"/>
    <x v="5"/>
    <m/>
    <m/>
    <m/>
    <s v="no"/>
    <m/>
    <m/>
    <x v="2"/>
    <m/>
    <x v="0"/>
    <x v="0"/>
    <s v=""/>
    <s v=""/>
    <s v=""/>
    <s v=""/>
  </r>
  <r>
    <x v="10"/>
    <d v="2026-06-12T10:17:48"/>
    <x v="0"/>
    <n v="68162356"/>
    <n v="366051980000"/>
    <s v="8-1013-1540"/>
    <s v="Fijo"/>
    <x v="0"/>
    <x v="6"/>
    <m/>
    <m/>
    <m/>
    <s v="no"/>
    <m/>
    <m/>
    <x v="0"/>
    <m/>
    <x v="0"/>
    <x v="0"/>
    <s v=""/>
    <s v=""/>
    <s v=""/>
    <s v=""/>
  </r>
  <r>
    <x v="10"/>
    <d v="2026-06-12T10:25:34"/>
    <x v="0"/>
    <n v="68836092"/>
    <n v="365051880000"/>
    <s v="4-820-1325"/>
    <s v="Fijo"/>
    <x v="0"/>
    <x v="7"/>
    <m/>
    <m/>
    <m/>
    <s v="no"/>
    <m/>
    <m/>
    <x v="0"/>
    <m/>
    <x v="0"/>
    <x v="0"/>
    <s v=""/>
    <s v=""/>
    <s v=""/>
    <s v=""/>
  </r>
  <r>
    <x v="10"/>
    <d v="2026-06-12T10:30:43"/>
    <x v="0"/>
    <n v="68653084"/>
    <n v="351044170000"/>
    <s v="E-8-82683"/>
    <s v="Fijo"/>
    <x v="0"/>
    <x v="1"/>
    <s v="Situación económica"/>
    <m/>
    <m/>
    <s v="no"/>
    <m/>
    <m/>
    <x v="2"/>
    <m/>
    <x v="0"/>
    <x v="0"/>
    <s v=""/>
    <s v=""/>
    <s v=""/>
    <s v=""/>
  </r>
  <r>
    <x v="10"/>
    <d v="2026-06-12T10:39:44"/>
    <x v="0"/>
    <n v="65424487"/>
    <n v="363051470000"/>
    <s v="8-1031-1263"/>
    <s v="Fijo"/>
    <x v="0"/>
    <x v="1"/>
    <s v="Desempleada"/>
    <m/>
    <m/>
    <s v="no"/>
    <m/>
    <m/>
    <x v="1"/>
    <m/>
    <x v="0"/>
    <x v="0"/>
    <s v=""/>
    <s v=""/>
    <s v=""/>
    <s v=""/>
  </r>
  <r>
    <x v="10"/>
    <d v="2026-06-12T10:48:11"/>
    <x v="0"/>
    <n v="64827755"/>
    <n v="369043290000"/>
    <s v="8-817-679"/>
    <s v="Fijo"/>
    <x v="2"/>
    <x v="2"/>
    <m/>
    <m/>
    <m/>
    <s v="no"/>
    <m/>
    <m/>
    <x v="1"/>
    <m/>
    <x v="0"/>
    <x v="0"/>
    <s v=""/>
    <s v=""/>
    <s v=""/>
    <s v=""/>
  </r>
  <r>
    <x v="10"/>
    <d v="2026-06-12T10:53:37"/>
    <x v="0"/>
    <n v="63701756"/>
    <n v="995049220000"/>
    <s v="1-700-1284"/>
    <s v="Fijo"/>
    <x v="4"/>
    <x v="5"/>
    <m/>
    <m/>
    <m/>
    <s v="si"/>
    <d v="2026-05-25T00:00:00"/>
    <n v="29.78"/>
    <x v="1"/>
    <m/>
    <x v="1"/>
    <x v="0"/>
    <s v="25/may"/>
    <s v=""/>
    <s v=""/>
    <n v="1"/>
  </r>
  <r>
    <x v="10"/>
    <d v="2026-06-12T10:58:27"/>
    <x v="0"/>
    <n v="65859082"/>
    <n v="215051180000"/>
    <s v="8-947-1890"/>
    <s v="Fijo"/>
    <x v="0"/>
    <x v="0"/>
    <m/>
    <m/>
    <m/>
    <s v="no"/>
    <m/>
    <m/>
    <x v="1"/>
    <m/>
    <x v="0"/>
    <x v="0"/>
    <s v=""/>
    <s v=""/>
    <s v=""/>
    <s v=""/>
  </r>
  <r>
    <x v="10"/>
    <d v="2026-06-12T11:04:07"/>
    <x v="0"/>
    <n v="63679769"/>
    <n v="361051060000"/>
    <s v="8-787-1757"/>
    <s v="Fijo"/>
    <x v="0"/>
    <x v="6"/>
    <m/>
    <m/>
    <m/>
    <s v="no"/>
    <m/>
    <m/>
    <x v="0"/>
    <m/>
    <x v="0"/>
    <x v="0"/>
    <s v=""/>
    <s v=""/>
    <s v=""/>
    <s v=""/>
  </r>
  <r>
    <x v="10"/>
    <d v="2026-06-12T11:13:35"/>
    <x v="0"/>
    <n v="66171962"/>
    <n v="356182480000"/>
    <s v="8-814-1713"/>
    <s v="Fijo"/>
    <x v="0"/>
    <x v="2"/>
    <m/>
    <m/>
    <m/>
    <s v="no"/>
    <m/>
    <m/>
    <x v="0"/>
    <m/>
    <x v="0"/>
    <x v="0"/>
    <s v=""/>
    <s v=""/>
    <s v=""/>
    <s v=""/>
  </r>
  <r>
    <x v="10"/>
    <d v="2026-06-12T11:24:57"/>
    <x v="0"/>
    <n v="67960036"/>
    <n v="354318770000"/>
    <s v="2-759-883"/>
    <s v="Fijo"/>
    <x v="0"/>
    <x v="3"/>
    <m/>
    <m/>
    <m/>
    <s v="no"/>
    <m/>
    <m/>
    <x v="0"/>
    <m/>
    <x v="0"/>
    <x v="0"/>
    <s v=""/>
    <s v=""/>
    <s v=""/>
    <s v=""/>
  </r>
  <r>
    <x v="10"/>
    <d v="2026-06-12T11:35:46"/>
    <x v="0"/>
    <n v="63987806"/>
    <n v="369019680000"/>
    <s v="4-144-299"/>
    <s v="Fijo"/>
    <x v="0"/>
    <x v="2"/>
    <m/>
    <m/>
    <m/>
    <s v="no"/>
    <m/>
    <m/>
    <x v="2"/>
    <m/>
    <x v="0"/>
    <x v="0"/>
    <s v=""/>
    <s v=""/>
    <s v=""/>
    <s v=""/>
  </r>
  <r>
    <x v="10"/>
    <d v="2026-06-12T11:43:20"/>
    <x v="0"/>
    <n v="64684688"/>
    <n v="362050480000"/>
    <s v="4-190-178"/>
    <s v="Fijo"/>
    <x v="0"/>
    <x v="6"/>
    <m/>
    <m/>
    <m/>
    <s v="no"/>
    <m/>
    <m/>
    <x v="0"/>
    <m/>
    <x v="0"/>
    <x v="0"/>
    <s v=""/>
    <s v=""/>
    <s v=""/>
    <s v=""/>
  </r>
  <r>
    <x v="10"/>
    <d v="2026-06-12T11:47:58"/>
    <x v="0"/>
    <n v="63661124"/>
    <n v="364051740000"/>
    <s v="4-103-2240"/>
    <s v="Fijo"/>
    <x v="0"/>
    <x v="5"/>
    <m/>
    <m/>
    <m/>
    <s v="no"/>
    <m/>
    <m/>
    <x v="2"/>
    <m/>
    <x v="0"/>
    <x v="0"/>
    <s v=""/>
    <s v=""/>
    <s v=""/>
    <s v=""/>
  </r>
  <r>
    <x v="10"/>
    <d v="2026-06-12T11:55:14"/>
    <x v="0"/>
    <n v="69470939"/>
    <n v="367051150000"/>
    <s v="8-226-14"/>
    <s v="Fijo"/>
    <x v="0"/>
    <x v="2"/>
    <m/>
    <m/>
    <m/>
    <s v="no"/>
    <m/>
    <m/>
    <x v="1"/>
    <m/>
    <x v="0"/>
    <x v="0"/>
    <s v=""/>
    <s v=""/>
    <s v=""/>
    <s v=""/>
  </r>
  <r>
    <x v="10"/>
    <d v="2026-06-12T12:03:49"/>
    <x v="0"/>
    <n v="67938725"/>
    <n v="369050710000"/>
    <s v="1-742-2275"/>
    <s v="Fijo"/>
    <x v="0"/>
    <x v="1"/>
    <m/>
    <d v="2026-06-16T00:00:00"/>
    <n v="25.25"/>
    <s v="no"/>
    <m/>
    <m/>
    <x v="2"/>
    <s v="Indica se cambio de operador."/>
    <x v="0"/>
    <x v="1"/>
    <s v=""/>
    <s v="16/jun"/>
    <n v="1"/>
    <s v=""/>
  </r>
  <r>
    <x v="10"/>
    <d v="2026-06-12T12:11:06"/>
    <x v="0"/>
    <n v="63763434"/>
    <n v="365052890000"/>
    <s v="8-997-1078"/>
    <s v="Fijo"/>
    <x v="0"/>
    <x v="7"/>
    <m/>
    <m/>
    <m/>
    <s v="no"/>
    <m/>
    <m/>
    <x v="2"/>
    <m/>
    <x v="0"/>
    <x v="0"/>
    <s v=""/>
    <s v=""/>
    <s v=""/>
    <s v=""/>
  </r>
  <r>
    <x v="10"/>
    <d v="2026-06-12T12:14:40"/>
    <x v="0"/>
    <n v="68915788"/>
    <n v="364049890000"/>
    <s v="8-759-2354"/>
    <s v="Fijo"/>
    <x v="0"/>
    <x v="3"/>
    <s v="Desempleada"/>
    <m/>
    <m/>
    <s v="no"/>
    <m/>
    <m/>
    <x v="1"/>
    <m/>
    <x v="0"/>
    <x v="0"/>
    <s v=""/>
    <s v=""/>
    <s v=""/>
    <s v=""/>
  </r>
  <r>
    <x v="10"/>
    <d v="2026-06-12T12:21:30"/>
    <x v="0"/>
    <n v="68010458"/>
    <n v="363053080000"/>
    <s v="E-8-198628"/>
    <s v="Fijo"/>
    <x v="0"/>
    <x v="6"/>
    <m/>
    <m/>
    <m/>
    <s v="no"/>
    <m/>
    <m/>
    <x v="0"/>
    <m/>
    <x v="0"/>
    <x v="0"/>
    <s v=""/>
    <s v=""/>
    <s v=""/>
    <s v=""/>
  </r>
  <r>
    <x v="10"/>
    <d v="2026-06-12T12:26:34"/>
    <x v="0"/>
    <n v="64778284"/>
    <n v="367051870000"/>
    <s v="8-812-1702"/>
    <s v="Fijo"/>
    <x v="0"/>
    <x v="5"/>
    <m/>
    <m/>
    <m/>
    <s v="si"/>
    <d v="2026-06-06T00:00:00"/>
    <n v="52.73"/>
    <x v="2"/>
    <m/>
    <x v="2"/>
    <x v="0"/>
    <s v="06/jun"/>
    <s v=""/>
    <s v=""/>
    <n v="1"/>
  </r>
  <r>
    <x v="10"/>
    <d v="2026-06-12T12:33:02"/>
    <x v="0"/>
    <n v="64638747"/>
    <n v="369051930000"/>
    <s v="8-905-1036"/>
    <s v="Fijo"/>
    <x v="0"/>
    <x v="2"/>
    <m/>
    <m/>
    <m/>
    <s v="no"/>
    <m/>
    <m/>
    <x v="1"/>
    <m/>
    <x v="0"/>
    <x v="0"/>
    <s v=""/>
    <s v=""/>
    <s v=""/>
    <s v=""/>
  </r>
  <r>
    <x v="10"/>
    <d v="2026-06-12T12:36:52"/>
    <x v="0"/>
    <n v="64027226"/>
    <n v="369052590000"/>
    <s v="12-709-2387"/>
    <s v="Fijo"/>
    <x v="0"/>
    <x v="0"/>
    <m/>
    <m/>
    <m/>
    <s v="no"/>
    <m/>
    <m/>
    <x v="1"/>
    <m/>
    <x v="0"/>
    <x v="0"/>
    <s v=""/>
    <s v=""/>
    <s v=""/>
    <s v=""/>
  </r>
  <r>
    <x v="10"/>
    <d v="2026-06-12T12:41:58"/>
    <x v="0"/>
    <n v="64742767"/>
    <n v="365045590000"/>
    <s v="8-1054-331"/>
    <s v="Fijo"/>
    <x v="0"/>
    <x v="2"/>
    <m/>
    <m/>
    <m/>
    <s v="no"/>
    <m/>
    <m/>
    <x v="0"/>
    <m/>
    <x v="0"/>
    <x v="0"/>
    <s v=""/>
    <s v=""/>
    <s v=""/>
    <s v=""/>
  </r>
  <r>
    <x v="10"/>
    <d v="2026-06-12T12:55:04"/>
    <x v="0"/>
    <n v="68193998"/>
    <n v="355224300000"/>
    <s v="8-795-65"/>
    <s v="Fijo"/>
    <x v="0"/>
    <x v="1"/>
    <m/>
    <d v="2026-06-13T00:00:00"/>
    <n v="27.88"/>
    <s v="no"/>
    <m/>
    <m/>
    <x v="2"/>
    <m/>
    <x v="0"/>
    <x v="1"/>
    <s v=""/>
    <s v="13/jun"/>
    <n v="1"/>
    <s v=""/>
  </r>
  <r>
    <x v="10"/>
    <d v="2026-06-12T12:59:40"/>
    <x v="0"/>
    <n v="63548617"/>
    <n v="362053400000"/>
    <s v="8-912-1154"/>
    <s v="Fijo"/>
    <x v="0"/>
    <x v="0"/>
    <m/>
    <m/>
    <m/>
    <s v="no"/>
    <m/>
    <m/>
    <x v="0"/>
    <m/>
    <x v="0"/>
    <x v="0"/>
    <s v=""/>
    <s v=""/>
    <s v=""/>
    <s v=""/>
  </r>
  <r>
    <x v="10"/>
    <d v="2026-06-12T13:01:32"/>
    <x v="0"/>
    <n v="67509594"/>
    <n v="363054090000"/>
    <s v="8-519-177"/>
    <s v="Fijo"/>
    <x v="0"/>
    <x v="6"/>
    <m/>
    <m/>
    <m/>
    <s v="no"/>
    <m/>
    <m/>
    <x v="1"/>
    <m/>
    <x v="0"/>
    <x v="0"/>
    <s v=""/>
    <s v=""/>
    <s v=""/>
    <s v=""/>
  </r>
  <r>
    <x v="10"/>
    <d v="2026-06-12T13:04:07"/>
    <x v="0"/>
    <n v="68703911"/>
    <n v="364050830000"/>
    <s v="9-1053-1565"/>
    <s v="Fijo"/>
    <x v="0"/>
    <x v="3"/>
    <m/>
    <m/>
    <m/>
    <s v="no"/>
    <m/>
    <m/>
    <x v="1"/>
    <m/>
    <x v="0"/>
    <x v="0"/>
    <s v=""/>
    <s v=""/>
    <s v=""/>
    <s v=""/>
  </r>
  <r>
    <x v="10"/>
    <d v="2026-06-12T13:06:32"/>
    <x v="0"/>
    <n v="65728021"/>
    <n v="364052440000"/>
    <s v="8-240-734"/>
    <s v="Fijo"/>
    <x v="0"/>
    <x v="5"/>
    <m/>
    <m/>
    <m/>
    <s v="si"/>
    <d v="2026-06-11T00:00:00"/>
    <n v="40.36"/>
    <x v="1"/>
    <m/>
    <x v="2"/>
    <x v="0"/>
    <s v="11/jun"/>
    <s v=""/>
    <s v=""/>
    <n v="1"/>
  </r>
  <r>
    <x v="10"/>
    <d v="2026-06-12T13:09:32"/>
    <x v="0"/>
    <n v="67699989"/>
    <n v="368052330000"/>
    <s v="E-8-94036"/>
    <s v="Fijo"/>
    <x v="0"/>
    <x v="2"/>
    <m/>
    <m/>
    <m/>
    <s v="no"/>
    <m/>
    <m/>
    <x v="1"/>
    <m/>
    <x v="0"/>
    <x v="0"/>
    <s v=""/>
    <s v=""/>
    <s v=""/>
    <s v=""/>
  </r>
  <r>
    <x v="10"/>
    <d v="2026-06-12T13:12:43"/>
    <x v="0"/>
    <n v="63733529"/>
    <n v="363038810000"/>
    <s v="8-285-62"/>
    <s v="Fijo"/>
    <x v="0"/>
    <x v="2"/>
    <m/>
    <m/>
    <m/>
    <s v="no"/>
    <m/>
    <m/>
    <x v="1"/>
    <m/>
    <x v="0"/>
    <x v="0"/>
    <s v=""/>
    <s v=""/>
    <s v=""/>
    <s v=""/>
  </r>
  <r>
    <x v="10"/>
    <d v="2026-06-12T13:14:30"/>
    <x v="0"/>
    <n v="63309512"/>
    <n v="366053870000"/>
    <s v="8-316-529"/>
    <s v="Fijo"/>
    <x v="0"/>
    <x v="6"/>
    <m/>
    <m/>
    <m/>
    <s v="no"/>
    <m/>
    <m/>
    <x v="0"/>
    <m/>
    <x v="0"/>
    <x v="0"/>
    <s v=""/>
    <s v=""/>
    <s v=""/>
    <s v=""/>
  </r>
  <r>
    <x v="10"/>
    <d v="2026-06-12T14:26:03"/>
    <x v="0"/>
    <n v="65294266"/>
    <n v="363053950000"/>
    <s v="E-8-127558"/>
    <s v="Fijo"/>
    <x v="0"/>
    <x v="2"/>
    <m/>
    <m/>
    <m/>
    <s v="no"/>
    <m/>
    <m/>
    <x v="0"/>
    <m/>
    <x v="0"/>
    <x v="0"/>
    <s v=""/>
    <s v=""/>
    <s v=""/>
    <s v=""/>
  </r>
  <r>
    <x v="10"/>
    <d v="2026-06-12T14:33:05"/>
    <x v="0"/>
    <n v="67899021"/>
    <n v="358071890000"/>
    <s v="8-237-325"/>
    <s v="Fijo"/>
    <x v="0"/>
    <x v="5"/>
    <m/>
    <m/>
    <m/>
    <s v="si"/>
    <d v="2026-06-16T00:00:00"/>
    <n v="8.14"/>
    <x v="2"/>
    <m/>
    <x v="2"/>
    <x v="0"/>
    <s v="16/jun"/>
    <s v=""/>
    <s v=""/>
    <n v="1"/>
  </r>
  <r>
    <x v="10"/>
    <d v="2026-06-12T14:39:20"/>
    <x v="0"/>
    <n v="64616711"/>
    <n v="362053700000"/>
    <s v="RD6614183"/>
    <s v="Fijo"/>
    <x v="0"/>
    <x v="2"/>
    <m/>
    <m/>
    <m/>
    <s v="no"/>
    <m/>
    <m/>
    <x v="2"/>
    <m/>
    <x v="0"/>
    <x v="0"/>
    <s v=""/>
    <s v=""/>
    <s v=""/>
    <s v=""/>
  </r>
  <r>
    <x v="10"/>
    <d v="2026-06-12T14:41:41"/>
    <x v="0"/>
    <n v="68616236"/>
    <n v="192020960000"/>
    <s v="9-111-2665"/>
    <s v="Fijo"/>
    <x v="0"/>
    <x v="6"/>
    <m/>
    <m/>
    <m/>
    <s v="no"/>
    <m/>
    <m/>
    <x v="0"/>
    <m/>
    <x v="0"/>
    <x v="0"/>
    <s v=""/>
    <s v=""/>
    <s v=""/>
    <s v=""/>
  </r>
  <r>
    <x v="10"/>
    <d v="2026-06-12T14:46:40"/>
    <x v="0"/>
    <n v="68273101"/>
    <n v="364045890000"/>
    <s v="E-8-70094"/>
    <s v="Fijo"/>
    <x v="0"/>
    <x v="2"/>
    <m/>
    <m/>
    <m/>
    <s v="no"/>
    <m/>
    <m/>
    <x v="2"/>
    <m/>
    <x v="0"/>
    <x v="0"/>
    <s v=""/>
    <s v=""/>
    <s v=""/>
    <s v=""/>
  </r>
  <r>
    <x v="10"/>
    <d v="2026-06-12T14:50:47"/>
    <x v="0"/>
    <n v="65694757"/>
    <n v="363051470000"/>
    <s v="8-806-1490"/>
    <s v="Fijo"/>
    <x v="0"/>
    <x v="7"/>
    <m/>
    <m/>
    <m/>
    <s v="no"/>
    <m/>
    <m/>
    <x v="1"/>
    <m/>
    <x v="0"/>
    <x v="0"/>
    <s v=""/>
    <s v=""/>
    <s v=""/>
    <s v=""/>
  </r>
  <r>
    <x v="10"/>
    <d v="2026-06-12T14:56:53"/>
    <x v="0"/>
    <n v="64966174"/>
    <n v="363053820000"/>
    <s v="8-880-1751"/>
    <s v="Fijo"/>
    <x v="0"/>
    <x v="3"/>
    <m/>
    <m/>
    <m/>
    <s v="no"/>
    <m/>
    <m/>
    <x v="2"/>
    <m/>
    <x v="0"/>
    <x v="0"/>
    <s v=""/>
    <s v=""/>
    <s v=""/>
    <s v=""/>
  </r>
  <r>
    <x v="10"/>
    <d v="2026-06-12T15:00:34"/>
    <x v="0"/>
    <n v="61123186"/>
    <n v="302030030000"/>
    <s v="8-760-511"/>
    <s v="Fijo"/>
    <x v="0"/>
    <x v="6"/>
    <m/>
    <m/>
    <m/>
    <s v="no"/>
    <m/>
    <m/>
    <x v="0"/>
    <m/>
    <x v="0"/>
    <x v="0"/>
    <s v=""/>
    <s v=""/>
    <s v=""/>
    <s v=""/>
  </r>
  <r>
    <x v="10"/>
    <d v="2026-06-12T15:04:44"/>
    <x v="0"/>
    <n v="62339515"/>
    <n v="361053400000"/>
    <s v="BF087939"/>
    <s v="Fijo"/>
    <x v="0"/>
    <x v="0"/>
    <m/>
    <m/>
    <m/>
    <s v="no"/>
    <m/>
    <m/>
    <x v="2"/>
    <m/>
    <x v="0"/>
    <x v="0"/>
    <s v=""/>
    <s v=""/>
    <s v=""/>
    <s v=""/>
  </r>
  <r>
    <x v="10"/>
    <d v="2026-06-12T15:12:11"/>
    <x v="0"/>
    <n v="67476772"/>
    <n v="365037880000"/>
    <s v="8-223-354"/>
    <s v="Fijo"/>
    <x v="0"/>
    <x v="2"/>
    <m/>
    <m/>
    <m/>
    <s v="no"/>
    <m/>
    <m/>
    <x v="1"/>
    <m/>
    <x v="0"/>
    <x v="0"/>
    <s v=""/>
    <s v=""/>
    <s v=""/>
    <s v=""/>
  </r>
  <r>
    <x v="10"/>
    <d v="2026-06-12T15:16:19"/>
    <x v="0"/>
    <n v="68366005"/>
    <n v="367047650000"/>
    <s v="10-705-1507"/>
    <s v="Fijo"/>
    <x v="0"/>
    <x v="2"/>
    <m/>
    <m/>
    <m/>
    <s v="no"/>
    <m/>
    <m/>
    <x v="1"/>
    <m/>
    <x v="0"/>
    <x v="0"/>
    <s v=""/>
    <s v=""/>
    <s v=""/>
    <s v=""/>
  </r>
  <r>
    <x v="10"/>
    <d v="2026-06-12T15:21:08"/>
    <x v="0"/>
    <n v="69677364"/>
    <n v="361052450000"/>
    <s v="8-943-1449"/>
    <s v="Fijo"/>
    <x v="2"/>
    <x v="0"/>
    <m/>
    <m/>
    <m/>
    <s v="no"/>
    <m/>
    <m/>
    <x v="1"/>
    <m/>
    <x v="0"/>
    <x v="0"/>
    <s v=""/>
    <s v=""/>
    <s v=""/>
    <s v=""/>
  </r>
  <r>
    <x v="10"/>
    <d v="2026-06-12T15:25:10"/>
    <x v="0"/>
    <n v="61903275"/>
    <n v="368050460000"/>
    <s v="EC3132480"/>
    <s v="Fijo"/>
    <x v="2"/>
    <x v="2"/>
    <m/>
    <m/>
    <m/>
    <s v="no"/>
    <m/>
    <m/>
    <x v="0"/>
    <m/>
    <x v="0"/>
    <x v="0"/>
    <s v=""/>
    <s v=""/>
    <s v=""/>
    <s v=""/>
  </r>
  <r>
    <x v="10"/>
    <d v="2026-06-12T15:28:31"/>
    <x v="0"/>
    <n v="60195070"/>
    <n v="361044920000"/>
    <n v="221068901"/>
    <s v="Fijo"/>
    <x v="2"/>
    <x v="5"/>
    <m/>
    <m/>
    <m/>
    <s v="no"/>
    <m/>
    <m/>
    <x v="2"/>
    <m/>
    <x v="0"/>
    <x v="0"/>
    <s v=""/>
    <s v=""/>
    <s v=""/>
    <s v=""/>
  </r>
  <r>
    <x v="10"/>
    <d v="2026-06-12T15:38:24"/>
    <x v="0"/>
    <n v="63339292"/>
    <n v="369051950000"/>
    <s v="C03470752"/>
    <s v="Fijo"/>
    <x v="2"/>
    <x v="1"/>
    <m/>
    <d v="2026-06-14T00:00:00"/>
    <n v="46.65"/>
    <s v="no"/>
    <m/>
    <m/>
    <x v="1"/>
    <m/>
    <x v="0"/>
    <x v="1"/>
    <s v=""/>
    <s v="14/jun"/>
    <n v="1"/>
    <s v=""/>
  </r>
  <r>
    <x v="10"/>
    <d v="2026-06-12T15:41:40"/>
    <x v="0"/>
    <n v="68817186"/>
    <n v="363051920000"/>
    <s v="N-20-2382"/>
    <s v="Fijo"/>
    <x v="2"/>
    <x v="5"/>
    <m/>
    <m/>
    <m/>
    <s v="si"/>
    <d v="2026-06-03T00:00:00"/>
    <n v="42.16"/>
    <x v="2"/>
    <m/>
    <x v="2"/>
    <x v="0"/>
    <s v="03/jun"/>
    <s v=""/>
    <s v=""/>
    <n v="1"/>
  </r>
  <r>
    <x v="10"/>
    <d v="2026-06-12T15:48:35"/>
    <x v="0"/>
    <n v="62574514"/>
    <n v="364043650000"/>
    <s v="AT394869"/>
    <s v="Fijo"/>
    <x v="3"/>
    <x v="0"/>
    <m/>
    <m/>
    <m/>
    <s v="no"/>
    <m/>
    <m/>
    <x v="2"/>
    <m/>
    <x v="0"/>
    <x v="0"/>
    <s v=""/>
    <s v=""/>
    <s v=""/>
    <s v=""/>
  </r>
  <r>
    <x v="10"/>
    <d v="2026-06-12T15:54:43"/>
    <x v="0"/>
    <n v="68047084"/>
    <n v="365053250000"/>
    <s v="4-281-798"/>
    <s v="Fijo"/>
    <x v="4"/>
    <x v="3"/>
    <m/>
    <m/>
    <m/>
    <s v="no"/>
    <m/>
    <m/>
    <x v="1"/>
    <m/>
    <x v="0"/>
    <x v="0"/>
    <s v=""/>
    <s v=""/>
    <s v=""/>
    <s v=""/>
  </r>
  <r>
    <x v="10"/>
    <d v="2026-06-12T16:05:41"/>
    <x v="0"/>
    <n v="69852603"/>
    <n v="358108750000"/>
    <s v="1-708-84"/>
    <s v="Fijo"/>
    <x v="3"/>
    <x v="1"/>
    <m/>
    <d v="2026-06-13T00:00:00"/>
    <n v="34.85"/>
    <s v="no"/>
    <m/>
    <m/>
    <x v="2"/>
    <m/>
    <x v="0"/>
    <x v="1"/>
    <s v=""/>
    <s v="13/jun"/>
    <n v="1"/>
    <s v=""/>
  </r>
  <r>
    <x v="10"/>
    <d v="2026-06-12T16:14:24"/>
    <x v="0"/>
    <n v="67890543"/>
    <n v="364052120000"/>
    <s v="8-238-2598"/>
    <s v="Fijo"/>
    <x v="0"/>
    <x v="2"/>
    <m/>
    <m/>
    <m/>
    <s v="no"/>
    <m/>
    <m/>
    <x v="2"/>
    <m/>
    <x v="0"/>
    <x v="0"/>
    <s v=""/>
    <s v=""/>
    <s v=""/>
    <s v=""/>
  </r>
  <r>
    <x v="10"/>
    <d v="2026-06-12T16:18:29"/>
    <x v="0"/>
    <n v="67549384"/>
    <n v="367053310000"/>
    <s v="8-1012-2107"/>
    <s v="Fijo"/>
    <x v="0"/>
    <x v="6"/>
    <m/>
    <m/>
    <m/>
    <s v="no"/>
    <m/>
    <m/>
    <x v="0"/>
    <m/>
    <x v="0"/>
    <x v="0"/>
    <s v=""/>
    <s v=""/>
    <s v=""/>
    <s v=""/>
  </r>
  <r>
    <x v="10"/>
    <d v="2026-06-12T16:26:00"/>
    <x v="0"/>
    <n v="62533043"/>
    <n v="365053150000"/>
    <s v="8-888-1786"/>
    <s v="Fijo"/>
    <x v="0"/>
    <x v="1"/>
    <m/>
    <d v="2026-06-15T00:00:00"/>
    <n v="35.92"/>
    <s v="no"/>
    <m/>
    <m/>
    <x v="1"/>
    <m/>
    <x v="0"/>
    <x v="1"/>
    <s v=""/>
    <s v="15/jun"/>
    <n v="1"/>
    <s v=""/>
  </r>
  <r>
    <x v="10"/>
    <d v="2026-06-12T16:30:22"/>
    <x v="0"/>
    <n v="63684257"/>
    <n v="368052640000"/>
    <s v="4-843-1631"/>
    <s v="Fijo"/>
    <x v="0"/>
    <x v="1"/>
    <m/>
    <d v="2026-06-16T00:00:00"/>
    <n v="20.45"/>
    <s v="no"/>
    <m/>
    <m/>
    <x v="1"/>
    <m/>
    <x v="0"/>
    <x v="1"/>
    <s v=""/>
    <s v="16/jun"/>
    <n v="1"/>
    <s v=""/>
  </r>
  <r>
    <x v="10"/>
    <d v="2026-06-12T16:35:32"/>
    <x v="0"/>
    <n v="64290731"/>
    <n v="362050050000"/>
    <s v="4-737-2320"/>
    <s v="Fijo"/>
    <x v="0"/>
    <x v="2"/>
    <m/>
    <m/>
    <m/>
    <s v="no"/>
    <m/>
    <m/>
    <x v="0"/>
    <m/>
    <x v="0"/>
    <x v="0"/>
    <s v=""/>
    <s v=""/>
    <s v=""/>
    <s v=""/>
  </r>
  <r>
    <x v="10"/>
    <d v="2026-06-12T16:40:11"/>
    <x v="0"/>
    <n v="68118161"/>
    <n v="364052730000"/>
    <s v="4-731-23"/>
    <s v="Fijo"/>
    <x v="0"/>
    <x v="5"/>
    <m/>
    <m/>
    <m/>
    <s v="si"/>
    <d v="2026-05-19T00:00:00"/>
    <n v="10"/>
    <x v="2"/>
    <m/>
    <x v="1"/>
    <x v="0"/>
    <s v="19/may"/>
    <s v=""/>
    <s v=""/>
    <n v="1"/>
  </r>
  <r>
    <x v="10"/>
    <d v="2026-06-12T16:49:41"/>
    <x v="0"/>
    <n v="69872653"/>
    <n v="361047370000"/>
    <s v="5-716-709"/>
    <s v="Fijo"/>
    <x v="0"/>
    <x v="2"/>
    <m/>
    <m/>
    <m/>
    <s v="no"/>
    <m/>
    <m/>
    <x v="1"/>
    <m/>
    <x v="0"/>
    <x v="0"/>
    <s v=""/>
    <s v=""/>
    <s v=""/>
    <s v=""/>
  </r>
  <r>
    <x v="10"/>
    <d v="2026-06-12T16:55:14"/>
    <x v="0"/>
    <n v="61691391"/>
    <n v="361052350000"/>
    <s v="7-88-351"/>
    <s v="Fijo"/>
    <x v="0"/>
    <x v="2"/>
    <m/>
    <m/>
    <m/>
    <s v="no"/>
    <m/>
    <m/>
    <x v="2"/>
    <m/>
    <x v="0"/>
    <x v="0"/>
    <s v=""/>
    <s v=""/>
    <s v=""/>
    <s v=""/>
  </r>
  <r>
    <x v="10"/>
    <d v="2026-06-12T17:01:51"/>
    <x v="0"/>
    <n v="67918466"/>
    <n v="367053930000"/>
    <s v="8-999-1391"/>
    <s v="Fijo"/>
    <x v="0"/>
    <x v="1"/>
    <m/>
    <d v="2026-06-15T00:00:00"/>
    <n v="30.44"/>
    <s v="no"/>
    <m/>
    <m/>
    <x v="2"/>
    <m/>
    <x v="0"/>
    <x v="1"/>
    <s v=""/>
    <s v="15/jun"/>
    <n v="1"/>
    <s v=""/>
  </r>
  <r>
    <x v="10"/>
    <d v="2026-06-12T17:05:32"/>
    <x v="0"/>
    <n v="67654352"/>
    <n v="369043070000"/>
    <s v="8-1000-629"/>
    <s v="Fijo"/>
    <x v="0"/>
    <x v="3"/>
    <m/>
    <m/>
    <m/>
    <s v="no"/>
    <m/>
    <m/>
    <x v="2"/>
    <m/>
    <x v="0"/>
    <x v="0"/>
    <s v=""/>
    <s v=""/>
    <s v=""/>
    <s v=""/>
  </r>
  <r>
    <x v="10"/>
    <d v="2026-06-12T17:08:25"/>
    <x v="0"/>
    <n v="65460179"/>
    <n v="367054380000"/>
    <s v="8-1065-193"/>
    <s v="Fijo"/>
    <x v="0"/>
    <x v="6"/>
    <m/>
    <m/>
    <m/>
    <s v="no"/>
    <m/>
    <m/>
    <x v="0"/>
    <m/>
    <x v="0"/>
    <x v="0"/>
    <s v=""/>
    <s v=""/>
    <s v=""/>
    <s v=""/>
  </r>
  <r>
    <x v="10"/>
    <d v="2026-06-12T17:13:50"/>
    <x v="0"/>
    <n v="65315068"/>
    <n v="361053420000"/>
    <s v="8-868-333"/>
    <s v="Fijo"/>
    <x v="0"/>
    <x v="2"/>
    <m/>
    <m/>
    <m/>
    <s v="no"/>
    <m/>
    <m/>
    <x v="2"/>
    <m/>
    <x v="0"/>
    <x v="0"/>
    <s v=""/>
    <s v=""/>
    <s v=""/>
    <s v=""/>
  </r>
  <r>
    <x v="10"/>
    <d v="2026-06-12T17:17:08"/>
    <x v="0"/>
    <n v="64098764"/>
    <n v="251035480000"/>
    <s v="8-805-57"/>
    <s v="Fijo"/>
    <x v="0"/>
    <x v="2"/>
    <m/>
    <m/>
    <m/>
    <s v="no"/>
    <m/>
    <m/>
    <x v="1"/>
    <m/>
    <x v="0"/>
    <x v="0"/>
    <s v=""/>
    <s v=""/>
    <s v=""/>
    <s v=""/>
  </r>
  <r>
    <x v="10"/>
    <d v="2026-06-12T17:20:20"/>
    <x v="0"/>
    <n v="69726267"/>
    <n v="365054310000"/>
    <s v="1-757-2254"/>
    <s v="Fijo"/>
    <x v="0"/>
    <x v="2"/>
    <m/>
    <m/>
    <m/>
    <s v="no"/>
    <m/>
    <m/>
    <x v="2"/>
    <m/>
    <x v="0"/>
    <x v="0"/>
    <s v=""/>
    <s v=""/>
    <s v=""/>
    <s v=""/>
  </r>
  <r>
    <x v="10"/>
    <d v="2026-06-12T17:29:36"/>
    <x v="0"/>
    <n v="62166829"/>
    <n v="369053850000"/>
    <s v="8-911-175"/>
    <s v="Fijo"/>
    <x v="0"/>
    <x v="2"/>
    <m/>
    <m/>
    <m/>
    <s v="no"/>
    <m/>
    <m/>
    <x v="2"/>
    <m/>
    <x v="0"/>
    <x v="0"/>
    <s v=""/>
    <s v=""/>
    <s v=""/>
    <s v=""/>
  </r>
  <r>
    <x v="10"/>
    <d v="2026-06-12T17:35:39"/>
    <x v="0"/>
    <n v="67724685"/>
    <n v="369054020000"/>
    <s v="8-702-1920"/>
    <s v="Fijo"/>
    <x v="0"/>
    <x v="1"/>
    <m/>
    <d v="2026-06-12T00:00:00"/>
    <n v="28.93"/>
    <s v="no"/>
    <m/>
    <m/>
    <x v="2"/>
    <m/>
    <x v="0"/>
    <x v="1"/>
    <s v=""/>
    <s v="12/jun"/>
    <n v="1"/>
    <s v=""/>
  </r>
  <r>
    <x v="10"/>
    <d v="2026-06-12T17:42:34"/>
    <x v="0"/>
    <n v="62103288"/>
    <n v="366054670000"/>
    <s v="E-8-238098"/>
    <s v="Fijo"/>
    <x v="1"/>
    <x v="2"/>
    <m/>
    <m/>
    <m/>
    <s v="no"/>
    <m/>
    <m/>
    <x v="2"/>
    <m/>
    <x v="0"/>
    <x v="0"/>
    <s v=""/>
    <s v=""/>
    <s v=""/>
    <s v=""/>
  </r>
  <r>
    <x v="10"/>
    <d v="2026-06-12T17:48:31"/>
    <x v="0"/>
    <n v="62050211"/>
    <n v="368051950000"/>
    <s v="8-238-990"/>
    <s v="Fijo"/>
    <x v="1"/>
    <x v="5"/>
    <m/>
    <m/>
    <m/>
    <s v="si"/>
    <d v="2026-06-12T00:00:00"/>
    <n v="43.51"/>
    <x v="2"/>
    <m/>
    <x v="2"/>
    <x v="0"/>
    <s v="12/jun"/>
    <s v=""/>
    <s v=""/>
    <n v="1"/>
  </r>
  <r>
    <x v="10"/>
    <d v="2026-06-12T17:52:39"/>
    <x v="0"/>
    <n v="60845990"/>
    <n v="362047240000"/>
    <s v="8-786-89"/>
    <s v="Fijo"/>
    <x v="0"/>
    <x v="5"/>
    <m/>
    <m/>
    <m/>
    <s v="si"/>
    <d v="2026-06-11T00:00:00"/>
    <n v="26.78"/>
    <x v="2"/>
    <m/>
    <x v="2"/>
    <x v="0"/>
    <s v="11/jun"/>
    <s v=""/>
    <s v=""/>
    <n v="1"/>
  </r>
  <r>
    <x v="10"/>
    <d v="2026-06-12T17:56:07"/>
    <x v="0"/>
    <n v="67418170"/>
    <n v="316012930000"/>
    <s v="3-84-2460"/>
    <s v="Fijo"/>
    <x v="0"/>
    <x v="6"/>
    <m/>
    <m/>
    <m/>
    <s v="no"/>
    <m/>
    <m/>
    <x v="0"/>
    <m/>
    <x v="0"/>
    <x v="0"/>
    <s v=""/>
    <s v=""/>
    <s v=""/>
    <s v=""/>
  </r>
  <r>
    <x v="10"/>
    <d v="2026-06-12T17:59:21"/>
    <x v="0"/>
    <n v="63339008"/>
    <n v="363054030000"/>
    <s v="8-812-2062"/>
    <s v="Fijo"/>
    <x v="2"/>
    <x v="1"/>
    <m/>
    <d v="2026-06-16T00:00:00"/>
    <n v="32.42"/>
    <s v="no"/>
    <m/>
    <m/>
    <x v="2"/>
    <m/>
    <x v="0"/>
    <x v="1"/>
    <s v=""/>
    <s v="16/jun"/>
    <n v="1"/>
    <s v=""/>
  </r>
  <r>
    <x v="10"/>
    <d v="2026-06-12T18:07:07"/>
    <x v="0"/>
    <n v="62409388"/>
    <n v="367045970000"/>
    <s v="3-98-96"/>
    <s v="Fijo"/>
    <x v="2"/>
    <x v="6"/>
    <m/>
    <m/>
    <m/>
    <s v="no"/>
    <m/>
    <m/>
    <x v="0"/>
    <m/>
    <x v="0"/>
    <x v="0"/>
    <s v=""/>
    <s v=""/>
    <s v=""/>
    <s v=""/>
  </r>
  <r>
    <x v="11"/>
    <d v="2026-06-13T09:20:38"/>
    <x v="0"/>
    <n v="68525682"/>
    <n v="369052360000"/>
    <n v="176316774"/>
    <s v="Fijo"/>
    <x v="2"/>
    <x v="6"/>
    <m/>
    <m/>
    <m/>
    <s v="no"/>
    <m/>
    <m/>
    <x v="1"/>
    <m/>
    <x v="0"/>
    <x v="0"/>
    <s v=""/>
    <s v=""/>
    <s v=""/>
    <s v=""/>
  </r>
  <r>
    <x v="11"/>
    <d v="2026-06-13T09:26:43"/>
    <x v="0"/>
    <n v="67032028"/>
    <n v="364050220000"/>
    <s v="N-21-64"/>
    <s v="Fijo"/>
    <x v="2"/>
    <x v="2"/>
    <m/>
    <m/>
    <m/>
    <s v="no"/>
    <m/>
    <m/>
    <x v="2"/>
    <m/>
    <x v="0"/>
    <x v="0"/>
    <s v=""/>
    <s v=""/>
    <s v=""/>
    <s v=""/>
  </r>
  <r>
    <x v="11"/>
    <d v="2026-06-13T09:32:17"/>
    <x v="0"/>
    <n v="64896793"/>
    <n v="343366460000"/>
    <s v="4-730-100"/>
    <s v="Fijo"/>
    <x v="0"/>
    <x v="2"/>
    <m/>
    <m/>
    <m/>
    <s v="no"/>
    <m/>
    <m/>
    <x v="2"/>
    <m/>
    <x v="0"/>
    <x v="0"/>
    <s v=""/>
    <s v=""/>
    <s v=""/>
    <s v=""/>
  </r>
  <r>
    <x v="11"/>
    <d v="2026-06-13T09:37:19"/>
    <x v="0"/>
    <n v="67394334"/>
    <n v="365054640000"/>
    <s v="5-712-1961"/>
    <s v="Fijo"/>
    <x v="3"/>
    <x v="5"/>
    <m/>
    <m/>
    <m/>
    <s v="si"/>
    <d v="2026-06-04T00:00:00"/>
    <n v="38"/>
    <x v="1"/>
    <m/>
    <x v="2"/>
    <x v="0"/>
    <s v="04/jun"/>
    <s v=""/>
    <s v=""/>
    <n v="1"/>
  </r>
  <r>
    <x v="11"/>
    <d v="2026-06-13T09:43:13"/>
    <x v="0"/>
    <n v="65354420"/>
    <n v="201032510000"/>
    <s v="8-452-123"/>
    <s v="Fijo"/>
    <x v="3"/>
    <x v="1"/>
    <m/>
    <m/>
    <m/>
    <s v="no"/>
    <m/>
    <m/>
    <x v="2"/>
    <s v="No brinda fecha de pago."/>
    <x v="0"/>
    <x v="0"/>
    <s v=""/>
    <s v=""/>
    <s v=""/>
    <s v=""/>
  </r>
  <r>
    <x v="11"/>
    <d v="2026-06-13T09:45:59"/>
    <x v="0"/>
    <n v="67254445"/>
    <n v="367040470000"/>
    <s v="8-865-465"/>
    <s v="Fijo"/>
    <x v="3"/>
    <x v="6"/>
    <m/>
    <m/>
    <m/>
    <s v="no"/>
    <m/>
    <m/>
    <x v="0"/>
    <m/>
    <x v="0"/>
    <x v="0"/>
    <s v=""/>
    <s v=""/>
    <s v=""/>
    <s v=""/>
  </r>
  <r>
    <x v="11"/>
    <d v="2026-06-13T09:52:32"/>
    <x v="0"/>
    <n v="65377901"/>
    <n v="342327190000"/>
    <s v="8-1002-529"/>
    <s v="Fijo"/>
    <x v="4"/>
    <x v="0"/>
    <m/>
    <m/>
    <m/>
    <s v="no"/>
    <m/>
    <m/>
    <x v="2"/>
    <m/>
    <x v="0"/>
    <x v="0"/>
    <s v=""/>
    <s v=""/>
    <s v=""/>
    <s v=""/>
  </r>
  <r>
    <x v="11"/>
    <d v="2026-06-13T10:03:09"/>
    <x v="0"/>
    <n v="67657553"/>
    <n v="362054340000"/>
    <s v="10-708-1463"/>
    <s v="Fijo"/>
    <x v="3"/>
    <x v="5"/>
    <m/>
    <m/>
    <m/>
    <s v="si"/>
    <d v="2026-06-11T00:00:00"/>
    <n v="30.44"/>
    <x v="2"/>
    <m/>
    <x v="2"/>
    <x v="0"/>
    <s v="11/jun"/>
    <s v=""/>
    <s v=""/>
    <n v="1"/>
  </r>
  <r>
    <x v="11"/>
    <d v="2026-06-13T10:08:13"/>
    <x v="0"/>
    <n v="68905432"/>
    <n v="369052460000"/>
    <s v="2-719-987"/>
    <s v="Fijo"/>
    <x v="0"/>
    <x v="2"/>
    <m/>
    <m/>
    <m/>
    <s v="no"/>
    <m/>
    <m/>
    <x v="2"/>
    <m/>
    <x v="0"/>
    <x v="0"/>
    <s v=""/>
    <s v=""/>
    <s v=""/>
    <s v=""/>
  </r>
  <r>
    <x v="11"/>
    <d v="2026-06-13T10:15:31"/>
    <x v="0"/>
    <n v="68144477"/>
    <n v="174073700000"/>
    <s v="8-334-971"/>
    <s v="Fijo"/>
    <x v="0"/>
    <x v="2"/>
    <m/>
    <m/>
    <m/>
    <s v="no"/>
    <m/>
    <m/>
    <x v="1"/>
    <m/>
    <x v="0"/>
    <x v="0"/>
    <s v=""/>
    <s v=""/>
    <s v=""/>
    <s v=""/>
  </r>
  <r>
    <x v="11"/>
    <d v="2026-06-13T10:24:44"/>
    <x v="0"/>
    <n v="68046457"/>
    <n v="366054080000"/>
    <s v="4-703-291"/>
    <s v="Fijo"/>
    <x v="0"/>
    <x v="5"/>
    <m/>
    <m/>
    <m/>
    <s v="si"/>
    <d v="2026-06-13T00:00:00"/>
    <n v="24.36"/>
    <x v="2"/>
    <m/>
    <x v="2"/>
    <x v="0"/>
    <s v="13/jun"/>
    <s v=""/>
    <s v=""/>
    <n v="1"/>
  </r>
  <r>
    <x v="11"/>
    <d v="2026-06-13T10:34:15"/>
    <x v="0"/>
    <n v="66547016"/>
    <n v="361052130000"/>
    <s v="8-796-2368"/>
    <s v="Fijo"/>
    <x v="0"/>
    <x v="1"/>
    <m/>
    <d v="2026-06-16T00:00:00"/>
    <n v="34.700000000000003"/>
    <s v="no"/>
    <m/>
    <m/>
    <x v="1"/>
    <m/>
    <x v="0"/>
    <x v="1"/>
    <s v=""/>
    <s v="16/jun"/>
    <n v="1"/>
    <s v=""/>
  </r>
  <r>
    <x v="11"/>
    <d v="2026-06-13T10:43:23"/>
    <x v="0"/>
    <n v="62235574"/>
    <n v="367054370000"/>
    <s v="8-1017-2478"/>
    <s v="Fijo"/>
    <x v="0"/>
    <x v="1"/>
    <m/>
    <d v="2026-06-14T00:00:00"/>
    <n v="35.86"/>
    <s v="no"/>
    <m/>
    <m/>
    <x v="2"/>
    <m/>
    <x v="0"/>
    <x v="1"/>
    <s v=""/>
    <s v="14/jun"/>
    <n v="1"/>
    <s v=""/>
  </r>
  <r>
    <x v="11"/>
    <d v="2026-06-13T10:48:26"/>
    <x v="0"/>
    <n v="64020060"/>
    <n v="367051760000"/>
    <s v="8-165-1606"/>
    <s v="Fijo"/>
    <x v="0"/>
    <x v="6"/>
    <m/>
    <m/>
    <m/>
    <s v="no"/>
    <m/>
    <m/>
    <x v="1"/>
    <m/>
    <x v="0"/>
    <x v="0"/>
    <s v=""/>
    <s v=""/>
    <s v=""/>
    <s v=""/>
  </r>
  <r>
    <x v="11"/>
    <d v="2026-06-13T10:53:00"/>
    <x v="0"/>
    <n v="65294266"/>
    <n v="361055210000"/>
    <s v="1-728-864"/>
    <s v="Fijo"/>
    <x v="0"/>
    <x v="2"/>
    <m/>
    <m/>
    <m/>
    <s v="no"/>
    <m/>
    <m/>
    <x v="1"/>
    <m/>
    <x v="0"/>
    <x v="0"/>
    <s v=""/>
    <s v=""/>
    <s v=""/>
    <s v=""/>
  </r>
  <r>
    <x v="11"/>
    <d v="2026-06-13T10:56:43"/>
    <x v="0"/>
    <n v="65407963"/>
    <n v="369056400000"/>
    <s v="8-980-541"/>
    <s v="Fijo"/>
    <x v="0"/>
    <x v="6"/>
    <m/>
    <m/>
    <m/>
    <s v="no"/>
    <m/>
    <m/>
    <x v="0"/>
    <m/>
    <x v="0"/>
    <x v="0"/>
    <s v=""/>
    <s v=""/>
    <s v=""/>
    <s v=""/>
  </r>
  <r>
    <x v="11"/>
    <d v="2026-06-13T11:06:40"/>
    <x v="0"/>
    <n v="67158965"/>
    <n v="362055490000"/>
    <s v="8-953-2411"/>
    <s v="Fijo"/>
    <x v="0"/>
    <x v="1"/>
    <s v="Situación económica"/>
    <d v="2026-06-21T00:00:00"/>
    <n v="121.76"/>
    <s v="no"/>
    <m/>
    <m/>
    <x v="0"/>
    <m/>
    <x v="0"/>
    <x v="1"/>
    <s v=""/>
    <s v="21/jun"/>
    <n v="1"/>
    <s v=""/>
  </r>
  <r>
    <x v="11"/>
    <d v="2026-06-13T11:12:21"/>
    <x v="0"/>
    <n v="67082235"/>
    <n v="367055060000"/>
    <s v="6-37-533"/>
    <s v="Fijo"/>
    <x v="0"/>
    <x v="6"/>
    <m/>
    <m/>
    <m/>
    <s v="no"/>
    <m/>
    <m/>
    <x v="0"/>
    <m/>
    <x v="0"/>
    <x v="0"/>
    <s v=""/>
    <s v=""/>
    <s v=""/>
    <s v=""/>
  </r>
  <r>
    <x v="11"/>
    <d v="2026-06-13T11:15:21"/>
    <x v="0"/>
    <n v="65792534"/>
    <n v="362004680000"/>
    <s v="8-946-1209"/>
    <s v="Fijo"/>
    <x v="0"/>
    <x v="6"/>
    <m/>
    <m/>
    <m/>
    <s v="no"/>
    <m/>
    <m/>
    <x v="2"/>
    <m/>
    <x v="0"/>
    <x v="0"/>
    <s v=""/>
    <s v=""/>
    <s v=""/>
    <s v=""/>
  </r>
  <r>
    <x v="11"/>
    <d v="2026-06-13T11:21:19"/>
    <x v="0"/>
    <n v="68584624"/>
    <n v="358315440000"/>
    <s v="E-8-167721"/>
    <s v="Fijo"/>
    <x v="2"/>
    <x v="5"/>
    <m/>
    <m/>
    <m/>
    <s v="si"/>
    <d v="2026-06-07T00:00:00"/>
    <n v="42.16"/>
    <x v="2"/>
    <m/>
    <x v="2"/>
    <x v="0"/>
    <s v="07/jun"/>
    <s v=""/>
    <s v=""/>
    <n v="1"/>
  </r>
  <r>
    <x v="11"/>
    <d v="2026-06-13T11:33:18"/>
    <x v="0"/>
    <n v="67374223"/>
    <n v="364055230000"/>
    <n v="172881506"/>
    <s v="Fijo"/>
    <x v="2"/>
    <x v="6"/>
    <m/>
    <m/>
    <m/>
    <s v="no"/>
    <m/>
    <m/>
    <x v="0"/>
    <m/>
    <x v="0"/>
    <x v="0"/>
    <s v=""/>
    <s v=""/>
    <s v=""/>
    <s v=""/>
  </r>
  <r>
    <x v="11"/>
    <d v="2026-06-13T11:40:29"/>
    <x v="0"/>
    <n v="63508147"/>
    <n v="366052860000"/>
    <s v="8-822-509"/>
    <s v="Fijo"/>
    <x v="0"/>
    <x v="2"/>
    <m/>
    <m/>
    <m/>
    <s v="no"/>
    <m/>
    <m/>
    <x v="1"/>
    <m/>
    <x v="0"/>
    <x v="0"/>
    <s v=""/>
    <s v=""/>
    <s v=""/>
    <s v=""/>
  </r>
  <r>
    <x v="11"/>
    <d v="2026-06-13T11:48:40"/>
    <x v="0"/>
    <n v="65483495"/>
    <n v="366054160000"/>
    <s v="2-759-2128"/>
    <s v="Fijo"/>
    <x v="4"/>
    <x v="6"/>
    <m/>
    <m/>
    <m/>
    <s v="no"/>
    <m/>
    <m/>
    <x v="0"/>
    <m/>
    <x v="0"/>
    <x v="0"/>
    <s v=""/>
    <s v=""/>
    <s v=""/>
    <s v=""/>
  </r>
  <r>
    <x v="11"/>
    <d v="2026-06-13T11:55:55"/>
    <x v="0"/>
    <n v="69045247"/>
    <n v="364055280000"/>
    <s v="8-1036-416"/>
    <s v="Fijo"/>
    <x v="3"/>
    <x v="2"/>
    <m/>
    <m/>
    <m/>
    <s v="no"/>
    <m/>
    <m/>
    <x v="0"/>
    <m/>
    <x v="0"/>
    <x v="0"/>
    <s v=""/>
    <s v=""/>
    <s v=""/>
    <s v=""/>
  </r>
  <r>
    <x v="11"/>
    <d v="2026-06-13T12:00:24"/>
    <x v="0"/>
    <n v="67890453"/>
    <n v="369053400000"/>
    <s v="8-843-1831"/>
    <s v="Fijo"/>
    <x v="0"/>
    <x v="6"/>
    <m/>
    <m/>
    <m/>
    <s v="no"/>
    <m/>
    <m/>
    <x v="0"/>
    <m/>
    <x v="0"/>
    <x v="0"/>
    <s v=""/>
    <s v=""/>
    <s v=""/>
    <s v=""/>
  </r>
  <r>
    <x v="11"/>
    <d v="2026-06-13T12:07:23"/>
    <x v="0"/>
    <n v="69694121"/>
    <n v="346309320000"/>
    <s v="8-959-2394"/>
    <s v="Fijo"/>
    <x v="0"/>
    <x v="5"/>
    <m/>
    <m/>
    <m/>
    <s v="si"/>
    <d v="2026-05-30T00:00:00"/>
    <n v="30.44"/>
    <x v="2"/>
    <m/>
    <x v="1"/>
    <x v="0"/>
    <s v="30/may"/>
    <s v=""/>
    <s v=""/>
    <n v="1"/>
  </r>
  <r>
    <x v="11"/>
    <d v="2026-06-13T12:11:27"/>
    <x v="0"/>
    <n v="68905432"/>
    <n v="364055750000"/>
    <s v="9-736-969"/>
    <s v="Fijo"/>
    <x v="0"/>
    <x v="2"/>
    <m/>
    <m/>
    <m/>
    <s v="no"/>
    <m/>
    <m/>
    <x v="2"/>
    <m/>
    <x v="0"/>
    <x v="0"/>
    <s v=""/>
    <s v=""/>
    <s v=""/>
    <s v=""/>
  </r>
  <r>
    <x v="11"/>
    <d v="2026-06-13T12:17:28"/>
    <x v="0"/>
    <n v="63564570"/>
    <n v="364055080000"/>
    <s v="8-208-1816"/>
    <s v="Fijo"/>
    <x v="0"/>
    <x v="6"/>
    <m/>
    <m/>
    <m/>
    <s v="no"/>
    <m/>
    <m/>
    <x v="0"/>
    <m/>
    <x v="0"/>
    <x v="0"/>
    <s v=""/>
    <s v=""/>
    <s v=""/>
    <s v=""/>
  </r>
  <r>
    <x v="11"/>
    <d v="2026-06-13T12:24:49"/>
    <x v="0"/>
    <n v="67658735"/>
    <n v="368053910000"/>
    <s v="8-1010-2461"/>
    <s v="Fijo"/>
    <x v="0"/>
    <x v="1"/>
    <m/>
    <d v="2026-06-17T00:00:00"/>
    <n v="30.44"/>
    <s v="no"/>
    <m/>
    <m/>
    <x v="1"/>
    <m/>
    <x v="0"/>
    <x v="1"/>
    <s v=""/>
    <s v="17/jun"/>
    <n v="1"/>
    <s v=""/>
  </r>
  <r>
    <x v="11"/>
    <d v="2026-06-13T12:32:09"/>
    <x v="0"/>
    <n v="64587854"/>
    <n v="368056090000"/>
    <s v="8-896-2481"/>
    <s v="Fijo"/>
    <x v="0"/>
    <x v="1"/>
    <m/>
    <m/>
    <m/>
    <s v="no"/>
    <m/>
    <m/>
    <x v="1"/>
    <s v="Motivos personales."/>
    <x v="0"/>
    <x v="0"/>
    <s v=""/>
    <s v=""/>
    <s v=""/>
    <s v=""/>
  </r>
  <r>
    <x v="11"/>
    <d v="2026-06-13T12:38:12"/>
    <x v="0"/>
    <n v="61688413"/>
    <n v="366057090000"/>
    <s v="8-708-1419"/>
    <s v="Fijo"/>
    <x v="0"/>
    <x v="2"/>
    <m/>
    <m/>
    <m/>
    <s v="no"/>
    <m/>
    <m/>
    <x v="1"/>
    <m/>
    <x v="0"/>
    <x v="0"/>
    <s v=""/>
    <s v=""/>
    <s v=""/>
    <s v=""/>
  </r>
  <r>
    <x v="11"/>
    <d v="2026-06-13T12:40:34"/>
    <x v="0"/>
    <n v="67899021"/>
    <n v="362058960000"/>
    <s v="5-6-131"/>
    <s v="Fijo"/>
    <x v="0"/>
    <x v="6"/>
    <m/>
    <m/>
    <m/>
    <s v="no"/>
    <m/>
    <m/>
    <x v="0"/>
    <m/>
    <x v="0"/>
    <x v="0"/>
    <s v=""/>
    <s v=""/>
    <s v=""/>
    <s v=""/>
  </r>
  <r>
    <x v="11"/>
    <d v="2026-06-13T13:43:48"/>
    <x v="0"/>
    <n v="63040958"/>
    <n v="362056570000"/>
    <s v="8-850-49"/>
    <s v="Fijo"/>
    <x v="0"/>
    <x v="2"/>
    <m/>
    <m/>
    <m/>
    <s v="no"/>
    <m/>
    <m/>
    <x v="2"/>
    <m/>
    <x v="0"/>
    <x v="0"/>
    <s v=""/>
    <s v=""/>
    <s v=""/>
    <s v=""/>
  </r>
  <r>
    <x v="11"/>
    <d v="2026-06-13T13:50:27"/>
    <x v="0"/>
    <n v="67071435"/>
    <n v="366056820000"/>
    <s v="8-982-465"/>
    <s v="Fijo"/>
    <x v="0"/>
    <x v="6"/>
    <m/>
    <m/>
    <m/>
    <s v="no"/>
    <m/>
    <m/>
    <x v="0"/>
    <m/>
    <x v="0"/>
    <x v="0"/>
    <s v=""/>
    <s v=""/>
    <s v=""/>
    <s v=""/>
  </r>
  <r>
    <x v="11"/>
    <d v="2026-06-13T13:55:30"/>
    <x v="0"/>
    <n v="63896742"/>
    <n v="343270890000"/>
    <s v="8-748-2256"/>
    <s v="Fijo"/>
    <x v="0"/>
    <x v="2"/>
    <m/>
    <m/>
    <m/>
    <s v="no"/>
    <m/>
    <m/>
    <x v="1"/>
    <m/>
    <x v="0"/>
    <x v="0"/>
    <s v=""/>
    <s v=""/>
    <s v=""/>
    <s v=""/>
  </r>
  <r>
    <x v="11"/>
    <d v="2026-06-13T13:57:52"/>
    <x v="0"/>
    <n v="65004064"/>
    <n v="368057830000"/>
    <s v="8-1034-1812"/>
    <s v="Fijo"/>
    <x v="0"/>
    <x v="5"/>
    <m/>
    <m/>
    <m/>
    <s v="si"/>
    <d v="2026-06-10T00:00:00"/>
    <n v="30.44"/>
    <x v="2"/>
    <m/>
    <x v="2"/>
    <x v="0"/>
    <s v="10/jun"/>
    <s v=""/>
    <s v=""/>
    <n v="1"/>
  </r>
  <r>
    <x v="11"/>
    <d v="2026-06-13T14:01:35"/>
    <x v="0"/>
    <n v="63577418"/>
    <n v="364052540000"/>
    <s v="4-807-1245"/>
    <s v="Fijo"/>
    <x v="0"/>
    <x v="2"/>
    <m/>
    <m/>
    <m/>
    <s v="si"/>
    <m/>
    <m/>
    <x v="2"/>
    <m/>
    <x v="0"/>
    <x v="0"/>
    <s v=""/>
    <s v=""/>
    <s v=""/>
    <s v=""/>
  </r>
  <r>
    <x v="11"/>
    <d v="2026-06-13T14:07:24"/>
    <x v="0"/>
    <n v="61767204"/>
    <n v="187049080000"/>
    <s v="8-780-1944"/>
    <s v="Fijo"/>
    <x v="0"/>
    <x v="2"/>
    <m/>
    <m/>
    <m/>
    <s v="no"/>
    <m/>
    <m/>
    <x v="2"/>
    <m/>
    <x v="0"/>
    <x v="0"/>
    <s v=""/>
    <s v=""/>
    <s v=""/>
    <s v=""/>
  </r>
  <r>
    <x v="11"/>
    <d v="2026-06-13T14:14:21"/>
    <x v="0"/>
    <n v="64482172"/>
    <n v="365055920000"/>
    <s v="8-888-2173"/>
    <s v="Fijo"/>
    <x v="2"/>
    <x v="1"/>
    <m/>
    <d v="2026-06-13T00:00:00"/>
    <n v="74.52"/>
    <s v="no"/>
    <m/>
    <m/>
    <x v="1"/>
    <s v="Paga hoy"/>
    <x v="0"/>
    <x v="1"/>
    <s v=""/>
    <s v="13/jun"/>
    <n v="1"/>
    <s v=""/>
  </r>
  <r>
    <x v="11"/>
    <d v="2026-06-13T14:24:48"/>
    <x v="0"/>
    <n v="62445371"/>
    <n v="361055310000"/>
    <s v="3-733-162"/>
    <s v="Fijo"/>
    <x v="2"/>
    <x v="2"/>
    <m/>
    <m/>
    <m/>
    <s v="no"/>
    <m/>
    <m/>
    <x v="2"/>
    <m/>
    <x v="0"/>
    <x v="0"/>
    <s v=""/>
    <s v=""/>
    <s v=""/>
    <s v=""/>
  </r>
  <r>
    <x v="11"/>
    <d v="2026-06-13T14:29:25"/>
    <x v="0"/>
    <n v="62233861"/>
    <n v="362055610000"/>
    <s v="3-753-228"/>
    <s v="Fijo"/>
    <x v="0"/>
    <x v="1"/>
    <s v="No brinda motivo"/>
    <m/>
    <m/>
    <s v="no"/>
    <m/>
    <m/>
    <x v="2"/>
    <s v="Cierra la llamada."/>
    <x v="0"/>
    <x v="0"/>
    <s v=""/>
    <s v=""/>
    <s v=""/>
    <s v=""/>
  </r>
  <r>
    <x v="11"/>
    <d v="2026-06-13T14:41:31"/>
    <x v="0"/>
    <n v="66634767"/>
    <n v="152071270000"/>
    <s v="8-357-660"/>
    <s v="Fijo"/>
    <x v="3"/>
    <x v="2"/>
    <m/>
    <m/>
    <m/>
    <s v="no"/>
    <m/>
    <m/>
    <x v="1"/>
    <m/>
    <x v="0"/>
    <x v="0"/>
    <s v=""/>
    <s v=""/>
    <s v=""/>
    <s v=""/>
  </r>
  <r>
    <x v="11"/>
    <d v="2026-06-13T14:46:00"/>
    <x v="0"/>
    <n v="63510073"/>
    <n v="362054530000"/>
    <s v="4-219-950"/>
    <s v="Fijo"/>
    <x v="4"/>
    <x v="2"/>
    <m/>
    <m/>
    <m/>
    <s v="no"/>
    <m/>
    <m/>
    <x v="0"/>
    <m/>
    <x v="0"/>
    <x v="0"/>
    <s v=""/>
    <s v=""/>
    <s v=""/>
    <s v=""/>
  </r>
  <r>
    <x v="11"/>
    <d v="2026-06-13T14:57:07"/>
    <x v="0"/>
    <n v="68969232"/>
    <n v="268014720000"/>
    <s v="8-867-706"/>
    <s v="Fijo"/>
    <x v="4"/>
    <x v="2"/>
    <m/>
    <m/>
    <m/>
    <s v="no"/>
    <m/>
    <m/>
    <x v="2"/>
    <m/>
    <x v="0"/>
    <x v="0"/>
    <s v=""/>
    <s v=""/>
    <s v=""/>
    <s v=""/>
  </r>
  <r>
    <x v="11"/>
    <d v="2026-06-13T15:02:25"/>
    <x v="0"/>
    <n v="65884408"/>
    <n v="361056830000"/>
    <s v="2-713-1737"/>
    <s v="Fijo"/>
    <x v="4"/>
    <x v="1"/>
    <s v="Problema de salud"/>
    <m/>
    <m/>
    <s v="no"/>
    <m/>
    <m/>
    <x v="2"/>
    <m/>
    <x v="0"/>
    <x v="0"/>
    <s v=""/>
    <s v=""/>
    <s v=""/>
    <s v=""/>
  </r>
  <r>
    <x v="11"/>
    <d v="2026-06-13T15:09:59"/>
    <x v="0"/>
    <n v="67890543"/>
    <n v="366051050000"/>
    <s v="2-78-1836"/>
    <s v="Fijo"/>
    <x v="0"/>
    <x v="6"/>
    <m/>
    <m/>
    <m/>
    <s v="no"/>
    <m/>
    <m/>
    <x v="0"/>
    <m/>
    <x v="0"/>
    <x v="0"/>
    <s v=""/>
    <s v=""/>
    <s v=""/>
    <s v=""/>
  </r>
  <r>
    <x v="11"/>
    <d v="2026-06-13T15:20:19"/>
    <x v="0"/>
    <n v="69727304"/>
    <n v="362035620000"/>
    <s v="7-116-2620"/>
    <s v="Fijo"/>
    <x v="0"/>
    <x v="3"/>
    <m/>
    <m/>
    <m/>
    <s v="no"/>
    <m/>
    <m/>
    <x v="2"/>
    <m/>
    <x v="0"/>
    <x v="0"/>
    <s v=""/>
    <s v=""/>
    <s v=""/>
    <s v=""/>
  </r>
  <r>
    <x v="11"/>
    <d v="2026-06-13T15:28:27"/>
    <x v="0"/>
    <n v="67724685"/>
    <n v="369054020000"/>
    <s v="8-702-1920"/>
    <s v="Fijo"/>
    <x v="0"/>
    <x v="5"/>
    <m/>
    <m/>
    <m/>
    <s v="si"/>
    <d v="2026-06-12T00:00:00"/>
    <n v="28.93"/>
    <x v="2"/>
    <s v="Cumple promesa."/>
    <x v="2"/>
    <x v="0"/>
    <s v="12/jun"/>
    <s v=""/>
    <s v=""/>
    <n v="1"/>
  </r>
  <r>
    <x v="11"/>
    <d v="2026-06-13T15:55:10"/>
    <x v="0"/>
    <n v="67890543"/>
    <n v="366056560000"/>
    <s v="2-752-416"/>
    <s v="Fijo"/>
    <x v="0"/>
    <x v="6"/>
    <m/>
    <m/>
    <m/>
    <s v="no"/>
    <m/>
    <m/>
    <x v="1"/>
    <m/>
    <x v="0"/>
    <x v="0"/>
    <s v=""/>
    <s v=""/>
    <s v=""/>
    <s v=""/>
  </r>
  <r>
    <x v="12"/>
    <d v="2026-06-15T09:30:51"/>
    <x v="0"/>
    <n v="66529477"/>
    <n v="266050980000"/>
    <s v="8-875-711"/>
    <s v="Fijo"/>
    <x v="3"/>
    <x v="1"/>
    <m/>
    <m/>
    <m/>
    <s v="si"/>
    <d v="2026-06-11T00:00:00"/>
    <n v="45"/>
    <x v="0"/>
    <s v="Cumple pago."/>
    <x v="2"/>
    <x v="0"/>
    <s v="11/jun"/>
    <s v=""/>
    <s v=""/>
    <n v="1"/>
  </r>
  <r>
    <x v="12"/>
    <d v="2026-06-15T09:40:32"/>
    <x v="0"/>
    <n v="68761896"/>
    <n v="362039460000"/>
    <s v="E-8-211717"/>
    <s v="Fijo"/>
    <x v="2"/>
    <x v="1"/>
    <m/>
    <m/>
    <m/>
    <s v="si"/>
    <d v="2026-06-12T00:00:00"/>
    <n v="37.840000000000003"/>
    <x v="2"/>
    <s v="Cumple promesa."/>
    <x v="2"/>
    <x v="0"/>
    <s v="12/jun"/>
    <s v=""/>
    <s v=""/>
    <n v="1"/>
  </r>
  <r>
    <x v="12"/>
    <d v="2026-06-15T09:44:59"/>
    <x v="0"/>
    <n v="69261622"/>
    <n v="368054760000"/>
    <s v="8-508-441"/>
    <s v="Fijo"/>
    <x v="0"/>
    <x v="6"/>
    <m/>
    <m/>
    <m/>
    <s v="no"/>
    <m/>
    <m/>
    <x v="1"/>
    <m/>
    <x v="0"/>
    <x v="0"/>
    <s v=""/>
    <s v=""/>
    <s v=""/>
    <s v=""/>
  </r>
  <r>
    <x v="12"/>
    <d v="2026-06-15T09:48:59"/>
    <x v="0"/>
    <n v="66000437"/>
    <n v="281013130000"/>
    <n v="8811643"/>
    <s v="Fijo"/>
    <x v="0"/>
    <x v="2"/>
    <m/>
    <m/>
    <m/>
    <s v="no"/>
    <m/>
    <m/>
    <x v="2"/>
    <m/>
    <x v="0"/>
    <x v="0"/>
    <s v=""/>
    <s v=""/>
    <s v=""/>
    <s v=""/>
  </r>
  <r>
    <x v="12"/>
    <d v="2026-06-15T09:55:44"/>
    <x v="0"/>
    <n v="69248688"/>
    <n v="363057610000"/>
    <s v="4-749-1042"/>
    <s v="Fijo"/>
    <x v="0"/>
    <x v="2"/>
    <m/>
    <m/>
    <m/>
    <s v="no"/>
    <m/>
    <m/>
    <x v="0"/>
    <m/>
    <x v="0"/>
    <x v="0"/>
    <s v=""/>
    <s v=""/>
    <s v=""/>
    <s v=""/>
  </r>
  <r>
    <x v="12"/>
    <d v="2026-06-15T10:03:43"/>
    <x v="0"/>
    <n v="65407934"/>
    <n v="364056550000"/>
    <s v="1-725-1783"/>
    <s v="Fijo"/>
    <x v="0"/>
    <x v="2"/>
    <m/>
    <m/>
    <m/>
    <s v="no"/>
    <m/>
    <m/>
    <x v="0"/>
    <m/>
    <x v="0"/>
    <x v="0"/>
    <s v=""/>
    <s v=""/>
    <s v=""/>
    <s v=""/>
  </r>
  <r>
    <x v="12"/>
    <d v="2026-06-15T10:07:55"/>
    <x v="0"/>
    <n v="64284867"/>
    <n v="361050890000"/>
    <s v="4-776-1602"/>
    <s v="Fijo"/>
    <x v="0"/>
    <x v="2"/>
    <m/>
    <m/>
    <m/>
    <s v="no"/>
    <m/>
    <m/>
    <x v="2"/>
    <m/>
    <x v="0"/>
    <x v="0"/>
    <s v=""/>
    <s v=""/>
    <s v=""/>
    <s v=""/>
  </r>
  <r>
    <x v="12"/>
    <d v="2026-06-15T10:13:00"/>
    <x v="0"/>
    <n v="66186901"/>
    <n v="367056160000"/>
    <s v="4-755-1956"/>
    <s v="Fijo"/>
    <x v="0"/>
    <x v="2"/>
    <m/>
    <m/>
    <m/>
    <s v="no"/>
    <m/>
    <m/>
    <x v="2"/>
    <m/>
    <x v="0"/>
    <x v="0"/>
    <s v=""/>
    <s v=""/>
    <s v=""/>
    <s v=""/>
  </r>
  <r>
    <x v="12"/>
    <d v="2026-06-15T10:18:17"/>
    <x v="0"/>
    <n v="65254343"/>
    <n v="364055220000"/>
    <s v="4-113-765"/>
    <s v="Fijo"/>
    <x v="0"/>
    <x v="2"/>
    <m/>
    <m/>
    <m/>
    <s v="no"/>
    <m/>
    <m/>
    <x v="2"/>
    <m/>
    <x v="0"/>
    <x v="0"/>
    <s v=""/>
    <s v=""/>
    <s v=""/>
    <s v=""/>
  </r>
  <r>
    <x v="12"/>
    <d v="2026-06-15T10:24:26"/>
    <x v="0"/>
    <n v="68975029"/>
    <n v="365056570000"/>
    <s v="9-710-1843"/>
    <s v="Fijo"/>
    <x v="0"/>
    <x v="2"/>
    <m/>
    <m/>
    <m/>
    <s v="no"/>
    <m/>
    <m/>
    <x v="2"/>
    <m/>
    <x v="0"/>
    <x v="0"/>
    <s v=""/>
    <s v=""/>
    <s v=""/>
    <s v=""/>
  </r>
  <r>
    <x v="12"/>
    <d v="2026-06-15T10:29:56"/>
    <x v="0"/>
    <n v="68904081"/>
    <n v="369057160000"/>
    <s v="3-729-1291"/>
    <s v="Fijo"/>
    <x v="0"/>
    <x v="1"/>
    <m/>
    <m/>
    <m/>
    <s v="no"/>
    <m/>
    <m/>
    <x v="1"/>
    <s v="Responde y cierra la llamada."/>
    <x v="0"/>
    <x v="0"/>
    <s v=""/>
    <s v=""/>
    <s v=""/>
    <s v=""/>
  </r>
  <r>
    <x v="12"/>
    <d v="2026-06-15T10:37:17"/>
    <x v="0"/>
    <n v="66367601"/>
    <n v="367059090000"/>
    <s v="8-1057-1937"/>
    <s v="Fijo"/>
    <x v="0"/>
    <x v="0"/>
    <m/>
    <m/>
    <m/>
    <s v="no"/>
    <m/>
    <m/>
    <x v="1"/>
    <m/>
    <x v="0"/>
    <x v="0"/>
    <s v=""/>
    <s v=""/>
    <s v=""/>
    <s v=""/>
  </r>
  <r>
    <x v="12"/>
    <d v="2026-06-15T10:44:43"/>
    <x v="0"/>
    <n v="66307348"/>
    <n v="369058600000"/>
    <s v="8-883-1307"/>
    <s v="Fijo"/>
    <x v="0"/>
    <x v="2"/>
    <m/>
    <m/>
    <m/>
    <s v="no"/>
    <m/>
    <m/>
    <x v="0"/>
    <m/>
    <x v="0"/>
    <x v="0"/>
    <s v=""/>
    <s v=""/>
    <s v=""/>
    <s v=""/>
  </r>
  <r>
    <x v="12"/>
    <d v="2026-06-15T10:50:29"/>
    <x v="0"/>
    <n v="69525295"/>
    <n v="365058410000"/>
    <s v="8-1002-2220"/>
    <s v="Fijo"/>
    <x v="0"/>
    <x v="5"/>
    <m/>
    <m/>
    <m/>
    <s v="si"/>
    <d v="2026-06-11T00:00:00"/>
    <n v="81.819999999999993"/>
    <x v="1"/>
    <m/>
    <x v="2"/>
    <x v="0"/>
    <s v="11/jun"/>
    <s v=""/>
    <s v=""/>
    <n v="1"/>
  </r>
  <r>
    <x v="12"/>
    <d v="2026-06-15T10:55:04"/>
    <x v="0"/>
    <n v="68316803"/>
    <n v="362058360000"/>
    <s v="8-987-1254"/>
    <s v="Fijo"/>
    <x v="0"/>
    <x v="2"/>
    <m/>
    <m/>
    <m/>
    <s v="no"/>
    <m/>
    <m/>
    <x v="1"/>
    <m/>
    <x v="0"/>
    <x v="0"/>
    <s v=""/>
    <s v=""/>
    <s v=""/>
    <s v=""/>
  </r>
  <r>
    <x v="12"/>
    <d v="2026-06-15T11:03:56"/>
    <x v="0"/>
    <n v="69955199"/>
    <n v="369058490000"/>
    <s v="C03150937"/>
    <s v="Fijo"/>
    <x v="0"/>
    <x v="6"/>
    <m/>
    <m/>
    <m/>
    <s v="no"/>
    <m/>
    <m/>
    <x v="0"/>
    <m/>
    <x v="0"/>
    <x v="0"/>
    <s v=""/>
    <s v=""/>
    <s v=""/>
    <s v=""/>
  </r>
  <r>
    <x v="12"/>
    <d v="2026-06-15T11:09:05"/>
    <x v="0"/>
    <n v="64932748"/>
    <n v="365058440000"/>
    <s v="8-878-1413"/>
    <s v="Fijo"/>
    <x v="0"/>
    <x v="3"/>
    <m/>
    <m/>
    <m/>
    <s v="no"/>
    <m/>
    <m/>
    <x v="1"/>
    <m/>
    <x v="0"/>
    <x v="0"/>
    <s v=""/>
    <s v=""/>
    <s v=""/>
    <s v=""/>
  </r>
  <r>
    <x v="12"/>
    <d v="2026-06-15T11:14:33"/>
    <x v="0"/>
    <n v="63572358"/>
    <n v="368060330000"/>
    <s v="10-706-2280"/>
    <s v="Fijo"/>
    <x v="0"/>
    <x v="2"/>
    <m/>
    <m/>
    <m/>
    <s v="no"/>
    <m/>
    <m/>
    <x v="2"/>
    <m/>
    <x v="0"/>
    <x v="0"/>
    <s v=""/>
    <s v=""/>
    <s v=""/>
    <s v=""/>
  </r>
  <r>
    <x v="12"/>
    <d v="2026-06-15T11:20:44"/>
    <x v="0"/>
    <n v="67163219"/>
    <n v="986062940000"/>
    <s v="4-270-112"/>
    <s v="Fijo"/>
    <x v="0"/>
    <x v="0"/>
    <m/>
    <m/>
    <m/>
    <s v="no"/>
    <m/>
    <m/>
    <x v="1"/>
    <m/>
    <x v="0"/>
    <x v="0"/>
    <s v=""/>
    <s v=""/>
    <s v=""/>
    <s v=""/>
  </r>
  <r>
    <x v="12"/>
    <d v="2026-06-15T11:31:48"/>
    <x v="0"/>
    <n v="61375191"/>
    <n v="351044170000"/>
    <s v="E-8-82683"/>
    <s v="Fijo"/>
    <x v="0"/>
    <x v="0"/>
    <m/>
    <m/>
    <m/>
    <s v="no"/>
    <m/>
    <m/>
    <x v="2"/>
    <m/>
    <x v="0"/>
    <x v="0"/>
    <s v=""/>
    <s v=""/>
    <s v=""/>
    <s v=""/>
  </r>
  <r>
    <x v="12"/>
    <d v="2026-06-15T11:36:25"/>
    <x v="0"/>
    <n v="65587644"/>
    <n v="369058990000"/>
    <s v="8-1055-457"/>
    <s v="Fijo"/>
    <x v="0"/>
    <x v="5"/>
    <m/>
    <m/>
    <m/>
    <s v="si"/>
    <d v="2026-06-12T00:00:00"/>
    <n v="30.44"/>
    <x v="2"/>
    <m/>
    <x v="2"/>
    <x v="0"/>
    <s v="12/jun"/>
    <s v=""/>
    <s v=""/>
    <n v="1"/>
  </r>
  <r>
    <x v="12"/>
    <d v="2026-06-15T11:48:28"/>
    <x v="0"/>
    <n v="66651769"/>
    <n v="369059340000"/>
    <s v="8-740-283"/>
    <s v="Fijo"/>
    <x v="0"/>
    <x v="5"/>
    <m/>
    <m/>
    <m/>
    <s v="si"/>
    <d v="2026-06-15T00:00:00"/>
    <n v="17.420000000000002"/>
    <x v="2"/>
    <m/>
    <x v="2"/>
    <x v="0"/>
    <s v="15/jun"/>
    <s v=""/>
    <s v=""/>
    <n v="1"/>
  </r>
  <r>
    <x v="12"/>
    <d v="2026-06-15T11:58:11"/>
    <x v="0"/>
    <n v="65662804"/>
    <n v="803528580000"/>
    <s v="7-95-776"/>
    <s v="Fijo"/>
    <x v="0"/>
    <x v="1"/>
    <m/>
    <d v="2026-06-23T00:00:00"/>
    <n v="97.66"/>
    <s v="no"/>
    <m/>
    <m/>
    <x v="1"/>
    <m/>
    <x v="0"/>
    <x v="1"/>
    <s v=""/>
    <s v="23/jun"/>
    <n v="1"/>
    <s v=""/>
  </r>
  <r>
    <x v="12"/>
    <d v="2026-06-15T12:04:19"/>
    <x v="0"/>
    <n v="69536117"/>
    <n v="369057170000"/>
    <s v="8-1060-343"/>
    <s v="Fijo"/>
    <x v="0"/>
    <x v="5"/>
    <m/>
    <m/>
    <m/>
    <s v="si"/>
    <d v="2026-06-13T00:00:00"/>
    <n v="30.32"/>
    <x v="2"/>
    <m/>
    <x v="2"/>
    <x v="0"/>
    <s v="13/jun"/>
    <s v=""/>
    <s v=""/>
    <n v="1"/>
  </r>
  <r>
    <x v="12"/>
    <d v="2026-06-15T12:08:37"/>
    <x v="0"/>
    <n v="67857224"/>
    <n v="367059730000"/>
    <s v="8-388-908"/>
    <s v="Fijo"/>
    <x v="0"/>
    <x v="2"/>
    <m/>
    <m/>
    <m/>
    <s v="no"/>
    <m/>
    <m/>
    <x v="2"/>
    <m/>
    <x v="0"/>
    <x v="0"/>
    <s v=""/>
    <s v=""/>
    <s v=""/>
    <s v=""/>
  </r>
  <r>
    <x v="12"/>
    <d v="2026-06-15T12:15:04"/>
    <x v="0"/>
    <n v="64366435"/>
    <n v="366056840000"/>
    <s v="8-758-10"/>
    <s v="Fijo"/>
    <x v="1"/>
    <x v="2"/>
    <m/>
    <m/>
    <m/>
    <s v="no"/>
    <m/>
    <m/>
    <x v="0"/>
    <m/>
    <x v="0"/>
    <x v="0"/>
    <s v=""/>
    <s v=""/>
    <s v=""/>
    <s v=""/>
  </r>
  <r>
    <x v="12"/>
    <d v="2026-06-15T12:19:29"/>
    <x v="0"/>
    <n v="69456048"/>
    <n v="361058600000"/>
    <s v="8-755-1522"/>
    <s v="Fijo"/>
    <x v="0"/>
    <x v="6"/>
    <m/>
    <m/>
    <m/>
    <s v="no"/>
    <m/>
    <m/>
    <x v="0"/>
    <m/>
    <x v="0"/>
    <x v="0"/>
    <s v=""/>
    <s v=""/>
    <s v=""/>
    <s v=""/>
  </r>
  <r>
    <x v="12"/>
    <d v="2026-06-15T12:27:05"/>
    <x v="0"/>
    <n v="62880884"/>
    <n v="363057280000"/>
    <s v="8-797-1351"/>
    <s v="Fijo"/>
    <x v="2"/>
    <x v="1"/>
    <m/>
    <d v="2026-06-16T00:00:00"/>
    <n v="37.42"/>
    <s v="no"/>
    <m/>
    <m/>
    <x v="2"/>
    <m/>
    <x v="0"/>
    <x v="1"/>
    <s v=""/>
    <s v="16/jun"/>
    <n v="1"/>
    <s v=""/>
  </r>
  <r>
    <x v="12"/>
    <d v="2026-06-15T12:33:55"/>
    <x v="0"/>
    <n v="60754602"/>
    <n v="368058120000"/>
    <s v="BD323503"/>
    <s v="Fijo"/>
    <x v="2"/>
    <x v="1"/>
    <m/>
    <d v="2026-06-16T00:00:00"/>
    <n v="50.78"/>
    <s v="no"/>
    <m/>
    <m/>
    <x v="2"/>
    <m/>
    <x v="0"/>
    <x v="1"/>
    <s v=""/>
    <s v="16/jun"/>
    <n v="1"/>
    <s v=""/>
  </r>
  <r>
    <x v="12"/>
    <d v="2026-06-15T12:37:32"/>
    <x v="0"/>
    <n v="68525682"/>
    <n v="366052370000"/>
    <n v="176316774"/>
    <s v="Fijo"/>
    <x v="2"/>
    <x v="6"/>
    <m/>
    <m/>
    <m/>
    <s v="no"/>
    <m/>
    <m/>
    <x v="1"/>
    <m/>
    <x v="0"/>
    <x v="0"/>
    <s v=""/>
    <s v=""/>
    <s v=""/>
    <s v=""/>
  </r>
  <r>
    <x v="12"/>
    <d v="2026-06-15T12:43:09"/>
    <x v="0"/>
    <n v="63721027"/>
    <n v="362049720000"/>
    <s v="8-426-189"/>
    <s v="Fijo"/>
    <x v="0"/>
    <x v="2"/>
    <m/>
    <m/>
    <m/>
    <s v="no"/>
    <m/>
    <m/>
    <x v="2"/>
    <m/>
    <x v="0"/>
    <x v="0"/>
    <s v=""/>
    <s v=""/>
    <s v=""/>
    <s v=""/>
  </r>
  <r>
    <x v="12"/>
    <d v="2026-06-15T12:46:29"/>
    <x v="0"/>
    <n v="68039921"/>
    <n v="366043260000"/>
    <s v="2-749-1097"/>
    <s v="Fijo"/>
    <x v="0"/>
    <x v="2"/>
    <m/>
    <m/>
    <m/>
    <s v="no"/>
    <m/>
    <m/>
    <x v="1"/>
    <m/>
    <x v="0"/>
    <x v="0"/>
    <s v=""/>
    <s v=""/>
    <s v=""/>
    <s v=""/>
  </r>
  <r>
    <x v="12"/>
    <d v="2026-06-15T12:51:59"/>
    <x v="0"/>
    <n v="69204726"/>
    <n v="362054210000"/>
    <s v="9-161-871"/>
    <s v="Fijo"/>
    <x v="0"/>
    <x v="1"/>
    <s v="No brinda motivo"/>
    <m/>
    <m/>
    <s v="no"/>
    <m/>
    <m/>
    <x v="1"/>
    <m/>
    <x v="0"/>
    <x v="0"/>
    <s v=""/>
    <s v=""/>
    <s v=""/>
    <s v=""/>
  </r>
  <r>
    <x v="12"/>
    <d v="2026-06-15T12:59:07"/>
    <x v="0"/>
    <n v="67934508"/>
    <n v="364051680000"/>
    <s v="8-1030-88"/>
    <s v="Fijo"/>
    <x v="3"/>
    <x v="1"/>
    <s v="Reclamo de factura"/>
    <m/>
    <m/>
    <s v="no"/>
    <m/>
    <m/>
    <x v="1"/>
    <m/>
    <x v="0"/>
    <x v="0"/>
    <s v=""/>
    <s v=""/>
    <s v=""/>
    <s v=""/>
  </r>
  <r>
    <x v="12"/>
    <d v="2026-06-15T13:05:34"/>
    <x v="0"/>
    <n v="67034290"/>
    <n v="367054210000"/>
    <s v="10-702-2411"/>
    <s v="Fijo"/>
    <x v="4"/>
    <x v="1"/>
    <m/>
    <d v="2026-06-16T00:00:00"/>
    <n v="33"/>
    <s v="no"/>
    <m/>
    <m/>
    <x v="1"/>
    <m/>
    <x v="0"/>
    <x v="1"/>
    <s v=""/>
    <s v="16/jun"/>
    <n v="1"/>
    <s v=""/>
  </r>
  <r>
    <x v="12"/>
    <d v="2026-06-15T13:08:12"/>
    <x v="0"/>
    <n v="67814117"/>
    <n v="363052420000"/>
    <s v="8-487-100"/>
    <s v="Fijo"/>
    <x v="4"/>
    <x v="3"/>
    <m/>
    <m/>
    <m/>
    <s v="no"/>
    <m/>
    <m/>
    <x v="1"/>
    <m/>
    <x v="0"/>
    <x v="0"/>
    <s v=""/>
    <s v=""/>
    <s v=""/>
    <s v=""/>
  </r>
  <r>
    <x v="12"/>
    <d v="2026-06-15T13:09:51"/>
    <x v="0"/>
    <n v="67795397"/>
    <n v="364059480000"/>
    <s v="7-40-14"/>
    <s v="Fijo"/>
    <x v="4"/>
    <x v="0"/>
    <m/>
    <m/>
    <m/>
    <s v="no"/>
    <m/>
    <m/>
    <x v="0"/>
    <m/>
    <x v="0"/>
    <x v="0"/>
    <s v=""/>
    <s v=""/>
    <s v=""/>
    <s v=""/>
  </r>
  <r>
    <x v="12"/>
    <d v="2026-06-15T13:11:56"/>
    <x v="0"/>
    <n v="64148365"/>
    <n v="367056740000"/>
    <s v="8-1066-1109"/>
    <s v="Fijo"/>
    <x v="3"/>
    <x v="7"/>
    <m/>
    <m/>
    <m/>
    <s v="no"/>
    <m/>
    <m/>
    <x v="2"/>
    <m/>
    <x v="0"/>
    <x v="0"/>
    <s v=""/>
    <s v=""/>
    <s v=""/>
    <s v=""/>
  </r>
  <r>
    <x v="12"/>
    <d v="2026-06-15T13:12:48"/>
    <x v="0"/>
    <n v="68905432"/>
    <n v="369053400000"/>
    <s v="8-843-1831"/>
    <s v="Fijo"/>
    <x v="0"/>
    <x v="6"/>
    <m/>
    <m/>
    <m/>
    <s v="no"/>
    <m/>
    <m/>
    <x v="0"/>
    <m/>
    <x v="0"/>
    <x v="0"/>
    <s v=""/>
    <s v=""/>
    <s v=""/>
    <s v=""/>
  </r>
  <r>
    <x v="12"/>
    <d v="2026-06-15T14:25:12"/>
    <x v="0"/>
    <n v="69788660"/>
    <n v="365042620000"/>
    <s v="1-731-616"/>
    <s v="Fijo"/>
    <x v="0"/>
    <x v="5"/>
    <m/>
    <m/>
    <m/>
    <s v="si"/>
    <d v="2026-05-29T00:00:00"/>
    <n v="31.05"/>
    <x v="1"/>
    <m/>
    <x v="1"/>
    <x v="0"/>
    <s v="29/may"/>
    <s v=""/>
    <s v=""/>
    <n v="1"/>
  </r>
  <r>
    <x v="12"/>
    <d v="2026-06-15T14:31:16"/>
    <x v="0"/>
    <n v="65961241"/>
    <n v="365059270000"/>
    <s v="4-701-725"/>
    <s v="Fijo"/>
    <x v="0"/>
    <x v="5"/>
    <m/>
    <m/>
    <m/>
    <s v="si"/>
    <d v="2026-06-11T00:00:00"/>
    <n v="38.479999999999997"/>
    <x v="2"/>
    <m/>
    <x v="2"/>
    <x v="0"/>
    <s v="11/jun"/>
    <s v=""/>
    <s v=""/>
    <n v="1"/>
  </r>
  <r>
    <x v="12"/>
    <d v="2026-06-15T14:35:20"/>
    <x v="0"/>
    <n v="68441153"/>
    <n v="364055260000"/>
    <s v="3-749-1584"/>
    <s v="Fijo"/>
    <x v="0"/>
    <x v="3"/>
    <m/>
    <m/>
    <m/>
    <s v="no"/>
    <m/>
    <m/>
    <x v="1"/>
    <m/>
    <x v="0"/>
    <x v="0"/>
    <s v=""/>
    <s v=""/>
    <s v=""/>
    <s v=""/>
  </r>
  <r>
    <x v="12"/>
    <d v="2026-06-15T14:42:11"/>
    <x v="0"/>
    <n v="66831034"/>
    <n v="361059180000"/>
    <s v="8-903-1401"/>
    <s v="Fijo"/>
    <x v="0"/>
    <x v="2"/>
    <m/>
    <m/>
    <m/>
    <s v="no"/>
    <m/>
    <m/>
    <x v="2"/>
    <m/>
    <x v="0"/>
    <x v="0"/>
    <s v=""/>
    <s v=""/>
    <s v=""/>
    <s v=""/>
  </r>
  <r>
    <x v="12"/>
    <d v="2026-06-15T14:44:51"/>
    <x v="0"/>
    <n v="63269942"/>
    <n v="363058060000"/>
    <s v="AS640152"/>
    <s v="Fijo"/>
    <x v="0"/>
    <x v="3"/>
    <m/>
    <m/>
    <m/>
    <s v="no"/>
    <m/>
    <m/>
    <x v="0"/>
    <m/>
    <x v="0"/>
    <x v="0"/>
    <s v=""/>
    <s v=""/>
    <s v=""/>
    <s v=""/>
  </r>
  <r>
    <x v="12"/>
    <d v="2026-06-15T14:55:55"/>
    <x v="0"/>
    <n v="66307348"/>
    <n v="363055220000"/>
    <s v="8-513-522"/>
    <s v="Fijo"/>
    <x v="0"/>
    <x v="2"/>
    <m/>
    <m/>
    <m/>
    <s v="no"/>
    <m/>
    <m/>
    <x v="0"/>
    <m/>
    <x v="0"/>
    <x v="0"/>
    <s v=""/>
    <s v=""/>
    <s v=""/>
    <s v=""/>
  </r>
  <r>
    <x v="12"/>
    <d v="2026-06-15T14:59:56"/>
    <x v="0"/>
    <n v="66307348"/>
    <n v="363027740000"/>
    <s v="8-475-827"/>
    <s v="Fijo"/>
    <x v="0"/>
    <x v="2"/>
    <m/>
    <m/>
    <m/>
    <s v="no"/>
    <m/>
    <m/>
    <x v="0"/>
    <m/>
    <x v="0"/>
    <x v="0"/>
    <s v=""/>
    <s v=""/>
    <s v=""/>
    <s v=""/>
  </r>
  <r>
    <x v="12"/>
    <d v="2026-06-15T15:04:55"/>
    <x v="0"/>
    <n v="66307348"/>
    <n v="366047220000"/>
    <s v="8-993-2435"/>
    <s v="Fijo"/>
    <x v="0"/>
    <x v="6"/>
    <m/>
    <m/>
    <m/>
    <s v="no"/>
    <m/>
    <m/>
    <x v="0"/>
    <m/>
    <x v="0"/>
    <x v="0"/>
    <s v=""/>
    <s v=""/>
    <s v=""/>
    <s v=""/>
  </r>
  <r>
    <x v="12"/>
    <d v="2026-06-15T15:09:12"/>
    <x v="0"/>
    <n v="63893244"/>
    <n v="362058960000"/>
    <s v="5-6-131"/>
    <s v="Fijo"/>
    <x v="0"/>
    <x v="6"/>
    <m/>
    <m/>
    <m/>
    <s v="no"/>
    <m/>
    <m/>
    <x v="0"/>
    <m/>
    <x v="0"/>
    <x v="0"/>
    <s v=""/>
    <s v=""/>
    <s v=""/>
    <s v=""/>
  </r>
  <r>
    <x v="12"/>
    <d v="2026-06-15T15:13:48"/>
    <x v="0"/>
    <n v="61625857"/>
    <n v="364059380000"/>
    <s v="1-734-1896"/>
    <s v="Fijo"/>
    <x v="0"/>
    <x v="0"/>
    <m/>
    <m/>
    <m/>
    <s v="no"/>
    <m/>
    <m/>
    <x v="0"/>
    <m/>
    <x v="0"/>
    <x v="0"/>
    <s v=""/>
    <s v=""/>
    <s v=""/>
    <s v=""/>
  </r>
  <r>
    <x v="12"/>
    <d v="2026-06-15T15:20:52"/>
    <x v="0"/>
    <n v="66315814"/>
    <n v="362059540000"/>
    <s v="8-1041-2078"/>
    <s v="Fijo"/>
    <x v="0"/>
    <x v="2"/>
    <m/>
    <m/>
    <m/>
    <s v="no"/>
    <m/>
    <m/>
    <x v="1"/>
    <m/>
    <x v="0"/>
    <x v="0"/>
    <s v=""/>
    <s v=""/>
    <s v=""/>
    <s v=""/>
  </r>
  <r>
    <x v="12"/>
    <d v="2026-06-15T15:27:48"/>
    <x v="0"/>
    <n v="63063032"/>
    <n v="367059140000"/>
    <s v="3-93-758"/>
    <s v="Fijo"/>
    <x v="0"/>
    <x v="5"/>
    <m/>
    <m/>
    <m/>
    <s v="si"/>
    <d v="2026-06-05T00:00:00"/>
    <n v="30.81"/>
    <x v="2"/>
    <m/>
    <x v="2"/>
    <x v="0"/>
    <s v="05/jun"/>
    <s v=""/>
    <s v=""/>
    <n v="1"/>
  </r>
  <r>
    <x v="12"/>
    <d v="2026-06-15T15:33:18"/>
    <x v="0"/>
    <n v="67777797"/>
    <n v="361059350000"/>
    <s v="8-895-2183"/>
    <s v="Fijo"/>
    <x v="0"/>
    <x v="6"/>
    <m/>
    <m/>
    <m/>
    <s v="no"/>
    <m/>
    <m/>
    <x v="0"/>
    <m/>
    <x v="0"/>
    <x v="0"/>
    <s v=""/>
    <s v=""/>
    <s v=""/>
    <s v=""/>
  </r>
  <r>
    <x v="12"/>
    <d v="2026-06-15T15:46:03"/>
    <x v="0"/>
    <n v="67511407"/>
    <n v="369052910000"/>
    <s v="8-915-726"/>
    <s v="Fijo"/>
    <x v="0"/>
    <x v="3"/>
    <m/>
    <d v="2026-06-16T00:00:00"/>
    <n v="20"/>
    <s v="no"/>
    <m/>
    <m/>
    <x v="2"/>
    <m/>
    <x v="0"/>
    <x v="1"/>
    <s v=""/>
    <s v="16/jun"/>
    <n v="1"/>
    <s v=""/>
  </r>
  <r>
    <x v="12"/>
    <d v="2026-06-15T15:48:30"/>
    <x v="0"/>
    <n v="63199921"/>
    <n v="367057060000"/>
    <s v="3-732-1206"/>
    <s v="Fijo"/>
    <x v="0"/>
    <x v="6"/>
    <m/>
    <m/>
    <m/>
    <s v="no"/>
    <m/>
    <m/>
    <x v="1"/>
    <m/>
    <x v="0"/>
    <x v="0"/>
    <s v=""/>
    <s v=""/>
    <s v=""/>
    <s v=""/>
  </r>
  <r>
    <x v="12"/>
    <d v="2026-06-15T15:53:01"/>
    <x v="0"/>
    <n v="67862883"/>
    <n v="362058370000"/>
    <s v="1-761-533"/>
    <s v="Fijo"/>
    <x v="0"/>
    <x v="0"/>
    <m/>
    <m/>
    <m/>
    <s v="no"/>
    <m/>
    <m/>
    <x v="1"/>
    <m/>
    <x v="0"/>
    <x v="0"/>
    <s v=""/>
    <s v=""/>
    <s v=""/>
    <s v=""/>
  </r>
  <r>
    <x v="12"/>
    <d v="2026-06-15T15:58:21"/>
    <x v="0"/>
    <n v="67868257"/>
    <n v="349120800100"/>
    <s v="8-839-834"/>
    <s v="Fijo"/>
    <x v="0"/>
    <x v="2"/>
    <m/>
    <m/>
    <m/>
    <s v="no"/>
    <m/>
    <m/>
    <x v="0"/>
    <m/>
    <x v="0"/>
    <x v="0"/>
    <s v=""/>
    <s v=""/>
    <s v=""/>
    <s v=""/>
  </r>
  <r>
    <x v="12"/>
    <d v="2026-06-15T16:06:10"/>
    <x v="0"/>
    <n v="63053756"/>
    <n v="362017840000"/>
    <s v="8-1010-1039"/>
    <s v="Fijo"/>
    <x v="0"/>
    <x v="2"/>
    <m/>
    <m/>
    <m/>
    <s v="no"/>
    <m/>
    <m/>
    <x v="2"/>
    <m/>
    <x v="0"/>
    <x v="0"/>
    <s v=""/>
    <s v=""/>
    <s v=""/>
    <s v=""/>
  </r>
  <r>
    <x v="12"/>
    <d v="2026-06-15T16:15:04"/>
    <x v="0"/>
    <n v="65703590"/>
    <n v="363058570000"/>
    <s v="8-1048-480"/>
    <s v="Fijo"/>
    <x v="0"/>
    <x v="2"/>
    <m/>
    <m/>
    <m/>
    <s v="no"/>
    <m/>
    <m/>
    <x v="2"/>
    <m/>
    <x v="0"/>
    <x v="0"/>
    <s v=""/>
    <s v=""/>
    <s v=""/>
    <s v=""/>
  </r>
  <r>
    <x v="12"/>
    <d v="2026-06-15T16:23:52"/>
    <x v="0"/>
    <n v="68423198"/>
    <n v="369059500000"/>
    <s v="PN0189745"/>
    <s v="Fijo"/>
    <x v="1"/>
    <x v="2"/>
    <m/>
    <m/>
    <m/>
    <s v="no"/>
    <m/>
    <m/>
    <x v="2"/>
    <m/>
    <x v="0"/>
    <x v="0"/>
    <s v=""/>
    <s v=""/>
    <s v=""/>
    <s v=""/>
  </r>
  <r>
    <x v="12"/>
    <d v="2026-06-15T16:30:34"/>
    <x v="0"/>
    <n v="68229573"/>
    <n v="361057920000"/>
    <s v="8-804-1652"/>
    <s v="Fijo"/>
    <x v="0"/>
    <x v="2"/>
    <m/>
    <m/>
    <m/>
    <s v="no"/>
    <m/>
    <m/>
    <x v="2"/>
    <m/>
    <x v="0"/>
    <x v="0"/>
    <s v=""/>
    <s v=""/>
    <s v=""/>
    <s v=""/>
  </r>
  <r>
    <x v="12"/>
    <d v="2026-06-15T16:35:25"/>
    <x v="0"/>
    <n v="64792362"/>
    <n v="365057300000"/>
    <s v="BH591913"/>
    <s v="Fijo"/>
    <x v="6"/>
    <x v="2"/>
    <m/>
    <m/>
    <m/>
    <s v="no"/>
    <m/>
    <m/>
    <x v="1"/>
    <m/>
    <x v="0"/>
    <x v="0"/>
    <s v=""/>
    <s v=""/>
    <s v=""/>
    <s v=""/>
  </r>
  <r>
    <x v="12"/>
    <d v="2026-06-15T16:41:24"/>
    <x v="0"/>
    <n v="69203641"/>
    <n v="369057230000"/>
    <s v="AT197700"/>
    <s v="Fijo"/>
    <x v="2"/>
    <x v="5"/>
    <m/>
    <m/>
    <m/>
    <s v="si"/>
    <d v="2026-06-12T00:00:00"/>
    <n v="54.85"/>
    <x v="2"/>
    <m/>
    <x v="2"/>
    <x v="0"/>
    <s v="12/jun"/>
    <s v=""/>
    <s v=""/>
    <n v="1"/>
  </r>
  <r>
    <x v="12"/>
    <d v="2026-06-15T16:50:19"/>
    <x v="0"/>
    <n v="66320677"/>
    <n v="362057950000"/>
    <s v="E-8-227001"/>
    <s v="Fijo"/>
    <x v="2"/>
    <x v="1"/>
    <m/>
    <d v="2026-06-16T00:00:00"/>
    <n v="47.45"/>
    <s v="no"/>
    <m/>
    <m/>
    <x v="2"/>
    <m/>
    <x v="0"/>
    <x v="1"/>
    <s v=""/>
    <s v="16/jun"/>
    <n v="1"/>
    <s v=""/>
  </r>
  <r>
    <x v="12"/>
    <d v="2026-06-15T16:54:18"/>
    <x v="0"/>
    <n v="62109821"/>
    <n v="366059700000"/>
    <s v="9-732-100"/>
    <s v="Fijo"/>
    <x v="2"/>
    <x v="6"/>
    <m/>
    <m/>
    <m/>
    <s v="no"/>
    <m/>
    <m/>
    <x v="1"/>
    <m/>
    <x v="0"/>
    <x v="0"/>
    <s v=""/>
    <s v=""/>
    <s v=""/>
    <s v=""/>
  </r>
  <r>
    <x v="12"/>
    <d v="2026-06-15T17:03:02"/>
    <x v="0"/>
    <n v="62202239"/>
    <n v="367059340000"/>
    <n v="167064237"/>
    <s v="Fijo"/>
    <x v="2"/>
    <x v="1"/>
    <m/>
    <m/>
    <m/>
    <s v="no"/>
    <m/>
    <m/>
    <x v="0"/>
    <s v="No brinda fecha de pago."/>
    <x v="0"/>
    <x v="0"/>
    <s v=""/>
    <s v=""/>
    <s v=""/>
    <s v=""/>
  </r>
  <r>
    <x v="12"/>
    <d v="2026-06-15T17:12:09"/>
    <x v="0"/>
    <n v="67587661"/>
    <n v="367058810000"/>
    <s v="8-985-1425"/>
    <s v="Fijo"/>
    <x v="0"/>
    <x v="1"/>
    <m/>
    <m/>
    <m/>
    <s v="no"/>
    <m/>
    <m/>
    <x v="1"/>
    <s v="No esta de acuerdo con la facturación con el servicio restringido."/>
    <x v="0"/>
    <x v="0"/>
    <s v=""/>
    <s v=""/>
    <s v=""/>
    <s v=""/>
  </r>
  <r>
    <x v="12"/>
    <d v="2026-06-15T17:23:47"/>
    <x v="0"/>
    <n v="66635749"/>
    <n v="366060160000"/>
    <s v="8-490-965"/>
    <s v="Fijo"/>
    <x v="0"/>
    <x v="1"/>
    <m/>
    <m/>
    <m/>
    <s v="no"/>
    <m/>
    <m/>
    <x v="2"/>
    <s v="Desacuerdo con ciclo de facturación."/>
    <x v="0"/>
    <x v="0"/>
    <s v=""/>
    <s v=""/>
    <s v=""/>
    <s v=""/>
  </r>
  <r>
    <x v="12"/>
    <d v="2026-06-15T17:34:08"/>
    <x v="0"/>
    <n v="65301333"/>
    <n v="346132080000"/>
    <s v="A7381321"/>
    <s v="Fijo"/>
    <x v="0"/>
    <x v="2"/>
    <m/>
    <m/>
    <m/>
    <s v="no"/>
    <m/>
    <m/>
    <x v="1"/>
    <m/>
    <x v="0"/>
    <x v="0"/>
    <s v=""/>
    <s v=""/>
    <s v=""/>
    <s v=""/>
  </r>
  <r>
    <x v="12"/>
    <d v="2026-06-15T17:37:32"/>
    <x v="0"/>
    <n v="62417886"/>
    <n v="365036320000"/>
    <s v="4-237-46"/>
    <s v="Fijo"/>
    <x v="0"/>
    <x v="2"/>
    <m/>
    <m/>
    <m/>
    <s v="no"/>
    <m/>
    <m/>
    <x v="1"/>
    <m/>
    <x v="0"/>
    <x v="0"/>
    <s v=""/>
    <s v=""/>
    <s v=""/>
    <s v=""/>
  </r>
  <r>
    <x v="12"/>
    <d v="2026-06-15T17:43:28"/>
    <x v="0"/>
    <n v="67378338"/>
    <n v="367044360000"/>
    <s v="8-230-978"/>
    <s v="Fijo"/>
    <x v="3"/>
    <x v="3"/>
    <m/>
    <m/>
    <m/>
    <s v="no"/>
    <m/>
    <m/>
    <x v="1"/>
    <m/>
    <x v="0"/>
    <x v="0"/>
    <s v=""/>
    <s v=""/>
    <s v=""/>
    <s v=""/>
  </r>
  <r>
    <x v="12"/>
    <d v="2026-06-15T17:54:47"/>
    <x v="0"/>
    <n v="68193998"/>
    <n v="355224300000"/>
    <s v="8-795-65"/>
    <s v="Fijo"/>
    <x v="0"/>
    <x v="1"/>
    <m/>
    <d v="2026-06-16T00:00:00"/>
    <n v="27.88"/>
    <s v="no"/>
    <m/>
    <m/>
    <x v="2"/>
    <m/>
    <x v="0"/>
    <x v="1"/>
    <s v=""/>
    <s v="16/jun"/>
    <n v="1"/>
    <s v=""/>
  </r>
  <r>
    <x v="12"/>
    <d v="2026-06-15T17:57:34"/>
    <x v="0"/>
    <n v="69852603"/>
    <n v="358108750000"/>
    <s v="1-708-84"/>
    <s v="Fijo"/>
    <x v="3"/>
    <x v="0"/>
    <m/>
    <m/>
    <m/>
    <s v="no"/>
    <m/>
    <m/>
    <x v="2"/>
    <m/>
    <x v="0"/>
    <x v="0"/>
    <s v=""/>
    <s v=""/>
    <s v=""/>
    <s v=""/>
  </r>
  <r>
    <x v="12"/>
    <d v="2026-06-15T18:01:46"/>
    <x v="0"/>
    <n v="64482172"/>
    <n v="365055920000"/>
    <s v="8-888-2173"/>
    <s v="Fijo"/>
    <x v="2"/>
    <x v="2"/>
    <m/>
    <m/>
    <m/>
    <s v="no"/>
    <m/>
    <m/>
    <x v="1"/>
    <m/>
    <x v="0"/>
    <x v="0"/>
    <s v=""/>
    <s v=""/>
    <s v=""/>
    <s v=""/>
  </r>
  <r>
    <x v="12"/>
    <d v="2026-06-15T18:08:04"/>
    <x v="0"/>
    <n v="66819667"/>
    <n v="366021350000"/>
    <s v="4-763-1330"/>
    <s v="Fijo"/>
    <x v="4"/>
    <x v="1"/>
    <m/>
    <d v="2026-06-17T00:00:00"/>
    <n v="25.88"/>
    <s v="no"/>
    <m/>
    <m/>
    <x v="2"/>
    <m/>
    <x v="0"/>
    <x v="1"/>
    <s v=""/>
    <s v="17/jun"/>
    <n v="1"/>
    <s v=""/>
  </r>
  <r>
    <x v="13"/>
    <d v="2026-06-16T09:07:57"/>
    <x v="0"/>
    <n v="68660849"/>
    <n v="363059520000"/>
    <s v="8-759-82"/>
    <s v="Fijo"/>
    <x v="0"/>
    <x v="6"/>
    <m/>
    <m/>
    <m/>
    <s v="no"/>
    <m/>
    <m/>
    <x v="1"/>
    <m/>
    <x v="0"/>
    <x v="0"/>
    <s v=""/>
    <s v=""/>
    <s v=""/>
    <s v=""/>
  </r>
  <r>
    <x v="13"/>
    <d v="2026-06-16T09:15:06"/>
    <x v="0"/>
    <n v="66695911"/>
    <n v="369058480000"/>
    <s v="3-748-366"/>
    <s v="Fijo"/>
    <x v="0"/>
    <x v="0"/>
    <m/>
    <m/>
    <m/>
    <s v="no"/>
    <m/>
    <m/>
    <x v="2"/>
    <m/>
    <x v="0"/>
    <x v="0"/>
    <s v=""/>
    <s v=""/>
    <s v=""/>
    <s v=""/>
  </r>
  <r>
    <x v="13"/>
    <d v="2026-06-16T09:25:46"/>
    <x v="0"/>
    <n v="64148704"/>
    <n v="271062170000"/>
    <s v="8-820-1737"/>
    <s v="Fijo"/>
    <x v="0"/>
    <x v="2"/>
    <m/>
    <m/>
    <m/>
    <s v="no"/>
    <m/>
    <m/>
    <x v="1"/>
    <m/>
    <x v="0"/>
    <x v="0"/>
    <s v=""/>
    <s v=""/>
    <s v=""/>
    <s v=""/>
  </r>
  <r>
    <x v="13"/>
    <d v="2026-06-16T09:33:26"/>
    <x v="0"/>
    <n v="66503217"/>
    <n v="361057910000"/>
    <s v="8-466-958"/>
    <s v="Fijo"/>
    <x v="0"/>
    <x v="0"/>
    <m/>
    <m/>
    <m/>
    <s v="no"/>
    <m/>
    <m/>
    <x v="2"/>
    <m/>
    <x v="0"/>
    <x v="0"/>
    <s v=""/>
    <s v=""/>
    <s v=""/>
    <s v=""/>
  </r>
  <r>
    <x v="13"/>
    <d v="2026-06-16T09:43:09"/>
    <x v="0"/>
    <n v="63201030"/>
    <n v="367052920000"/>
    <s v="8-872-45"/>
    <s v="Fijo"/>
    <x v="0"/>
    <x v="0"/>
    <m/>
    <m/>
    <m/>
    <s v="no"/>
    <m/>
    <m/>
    <x v="2"/>
    <m/>
    <x v="0"/>
    <x v="0"/>
    <s v=""/>
    <s v=""/>
    <s v=""/>
    <s v=""/>
  </r>
  <r>
    <x v="13"/>
    <d v="2026-06-16T09:48:57"/>
    <x v="0"/>
    <n v="67575651"/>
    <n v="363058960000"/>
    <s v="6-704-860"/>
    <s v="Fijo"/>
    <x v="0"/>
    <x v="5"/>
    <m/>
    <m/>
    <m/>
    <s v="si"/>
    <d v="2026-06-15T00:00:00"/>
    <n v="34.340000000000003"/>
    <x v="2"/>
    <m/>
    <x v="2"/>
    <x v="0"/>
    <s v="15/jun"/>
    <s v=""/>
    <s v=""/>
    <n v="1"/>
  </r>
  <r>
    <x v="13"/>
    <d v="2026-06-16T09:52:37"/>
    <x v="0"/>
    <n v="62695900"/>
    <n v="349074130000"/>
    <s v="4-146-1017"/>
    <s v="Fijo"/>
    <x v="0"/>
    <x v="6"/>
    <m/>
    <m/>
    <m/>
    <s v="no"/>
    <m/>
    <m/>
    <x v="2"/>
    <m/>
    <x v="0"/>
    <x v="0"/>
    <s v=""/>
    <s v=""/>
    <s v=""/>
    <s v=""/>
  </r>
  <r>
    <x v="13"/>
    <d v="2026-06-16T09:57:38"/>
    <x v="0"/>
    <n v="62082706"/>
    <n v="366060650000"/>
    <s v="4-810-106"/>
    <s v="Fijo"/>
    <x v="0"/>
    <x v="5"/>
    <m/>
    <m/>
    <m/>
    <s v="si"/>
    <d v="2026-06-12T00:00:00"/>
    <n v="20"/>
    <x v="2"/>
    <m/>
    <x v="2"/>
    <x v="0"/>
    <s v="12/jun"/>
    <s v=""/>
    <s v=""/>
    <n v="1"/>
  </r>
  <r>
    <x v="13"/>
    <d v="2026-06-16T10:04:39"/>
    <x v="0"/>
    <n v="65204658"/>
    <n v="369056670000"/>
    <s v="8-728-2204"/>
    <s v="Fijo"/>
    <x v="0"/>
    <x v="2"/>
    <m/>
    <m/>
    <m/>
    <s v="no"/>
    <m/>
    <m/>
    <x v="2"/>
    <m/>
    <x v="0"/>
    <x v="0"/>
    <s v=""/>
    <s v=""/>
    <s v=""/>
    <s v=""/>
  </r>
  <r>
    <x v="13"/>
    <d v="2026-06-16T10:09:17"/>
    <x v="0"/>
    <n v="63374076"/>
    <n v="365060180000"/>
    <s v="10-713-809"/>
    <s v="Fijo"/>
    <x v="0"/>
    <x v="3"/>
    <m/>
    <m/>
    <m/>
    <s v="no"/>
    <m/>
    <m/>
    <x v="1"/>
    <m/>
    <x v="0"/>
    <x v="0"/>
    <s v=""/>
    <s v=""/>
    <s v=""/>
    <s v=""/>
  </r>
  <r>
    <x v="13"/>
    <d v="2026-06-16T10:13:45"/>
    <x v="0"/>
    <n v="67722744"/>
    <n v="352030690000"/>
    <s v="8-878-2102"/>
    <s v="Fijo"/>
    <x v="0"/>
    <x v="0"/>
    <m/>
    <m/>
    <m/>
    <s v="no"/>
    <m/>
    <m/>
    <x v="1"/>
    <m/>
    <x v="0"/>
    <x v="0"/>
    <s v=""/>
    <s v=""/>
    <s v=""/>
    <s v=""/>
  </r>
  <r>
    <x v="13"/>
    <d v="2026-06-16T10:17:55"/>
    <x v="0"/>
    <n v="65953641"/>
    <n v="363057440000"/>
    <s v="8-981-2335"/>
    <s v="Fijo"/>
    <x v="0"/>
    <x v="2"/>
    <m/>
    <m/>
    <m/>
    <s v="no"/>
    <m/>
    <m/>
    <x v="0"/>
    <m/>
    <x v="0"/>
    <x v="0"/>
    <s v=""/>
    <s v=""/>
    <s v=""/>
    <s v=""/>
  </r>
  <r>
    <x v="13"/>
    <d v="2026-06-16T10:23:14"/>
    <x v="0"/>
    <n v="68341903"/>
    <n v="361059090000"/>
    <s v="8-104-1668"/>
    <s v="Fijo"/>
    <x v="0"/>
    <x v="2"/>
    <m/>
    <m/>
    <m/>
    <s v="no"/>
    <m/>
    <m/>
    <x v="1"/>
    <m/>
    <x v="0"/>
    <x v="0"/>
    <s v=""/>
    <s v=""/>
    <s v=""/>
    <s v=""/>
  </r>
  <r>
    <x v="13"/>
    <d v="2026-06-16T10:26:44"/>
    <x v="0"/>
    <n v="66766082"/>
    <n v="365060660000"/>
    <s v="AY613216"/>
    <s v="Fijo"/>
    <x v="0"/>
    <x v="2"/>
    <m/>
    <m/>
    <m/>
    <s v="no"/>
    <m/>
    <m/>
    <x v="1"/>
    <m/>
    <x v="0"/>
    <x v="0"/>
    <s v=""/>
    <s v=""/>
    <s v=""/>
    <s v=""/>
  </r>
  <r>
    <x v="13"/>
    <d v="2026-06-16T10:32:00"/>
    <x v="0"/>
    <n v="68053124"/>
    <n v="328682240000"/>
    <s v="8-869-298"/>
    <s v="Fijo"/>
    <x v="0"/>
    <x v="2"/>
    <m/>
    <m/>
    <m/>
    <s v="no"/>
    <m/>
    <m/>
    <x v="1"/>
    <m/>
    <x v="0"/>
    <x v="0"/>
    <s v=""/>
    <s v=""/>
    <s v=""/>
    <s v=""/>
  </r>
  <r>
    <x v="13"/>
    <d v="2026-06-16T10:34:13"/>
    <x v="0"/>
    <n v="65424420"/>
    <n v="339083100000"/>
    <s v="8-715-674"/>
    <s v="Fijo"/>
    <x v="0"/>
    <x v="2"/>
    <m/>
    <m/>
    <m/>
    <s v="no"/>
    <m/>
    <m/>
    <x v="2"/>
    <m/>
    <x v="0"/>
    <x v="0"/>
    <s v=""/>
    <s v=""/>
    <s v=""/>
    <s v=""/>
  </r>
  <r>
    <x v="13"/>
    <d v="2026-06-16T10:56:09"/>
    <x v="0"/>
    <n v="67204484"/>
    <n v="366057790000"/>
    <s v="8-1040-1765"/>
    <s v="Fijo"/>
    <x v="0"/>
    <x v="2"/>
    <m/>
    <m/>
    <m/>
    <s v="no"/>
    <m/>
    <m/>
    <x v="0"/>
    <m/>
    <x v="0"/>
    <x v="0"/>
    <s v=""/>
    <s v=""/>
    <s v=""/>
    <s v=""/>
  </r>
  <r>
    <x v="13"/>
    <d v="2026-06-16T11:02:13"/>
    <x v="0"/>
    <n v="65268484"/>
    <n v="365059580000"/>
    <s v="3-735-1736"/>
    <s v="Fijo"/>
    <x v="0"/>
    <x v="6"/>
    <m/>
    <m/>
    <m/>
    <s v="no"/>
    <m/>
    <m/>
    <x v="0"/>
    <m/>
    <x v="0"/>
    <x v="0"/>
    <s v=""/>
    <s v=""/>
    <s v=""/>
    <s v=""/>
  </r>
  <r>
    <x v="13"/>
    <d v="2026-06-16T11:09:05"/>
    <x v="0"/>
    <n v="61118295"/>
    <n v="364060390000"/>
    <s v="C02295949"/>
    <s v="Fijo"/>
    <x v="6"/>
    <x v="2"/>
    <m/>
    <m/>
    <m/>
    <s v="no"/>
    <m/>
    <m/>
    <x v="2"/>
    <m/>
    <x v="0"/>
    <x v="0"/>
    <s v=""/>
    <s v=""/>
    <s v=""/>
    <s v=""/>
  </r>
  <r>
    <x v="13"/>
    <d v="2026-06-16T11:14:56"/>
    <x v="0"/>
    <n v="62411580"/>
    <n v="368001920000"/>
    <s v="8-1005-1160"/>
    <s v="Fijo"/>
    <x v="0"/>
    <x v="2"/>
    <m/>
    <m/>
    <m/>
    <s v="no"/>
    <m/>
    <m/>
    <x v="1"/>
    <m/>
    <x v="0"/>
    <x v="0"/>
    <s v=""/>
    <s v=""/>
    <s v=""/>
    <s v=""/>
  </r>
  <r>
    <x v="13"/>
    <d v="2026-06-16T11:21:05"/>
    <x v="0"/>
    <n v="68865082"/>
    <n v="367057200000"/>
    <s v="1-760-1293"/>
    <s v="Fijo"/>
    <x v="0"/>
    <x v="2"/>
    <m/>
    <m/>
    <m/>
    <s v="no"/>
    <m/>
    <m/>
    <x v="0"/>
    <m/>
    <x v="0"/>
    <x v="0"/>
    <s v=""/>
    <s v=""/>
    <s v=""/>
    <s v=""/>
  </r>
  <r>
    <x v="13"/>
    <d v="2026-06-16T11:29:00"/>
    <x v="0"/>
    <n v="66788235"/>
    <n v="363059890000"/>
    <s v="4-165-896"/>
    <s v="Fijo"/>
    <x v="0"/>
    <x v="6"/>
    <m/>
    <m/>
    <m/>
    <s v="no"/>
    <m/>
    <m/>
    <x v="1"/>
    <m/>
    <x v="0"/>
    <x v="0"/>
    <s v=""/>
    <s v=""/>
    <s v=""/>
    <s v=""/>
  </r>
  <r>
    <x v="13"/>
    <d v="2026-06-16T11:31:25"/>
    <x v="0"/>
    <n v="62151322"/>
    <n v="369060410000"/>
    <s v="4-97-2280"/>
    <s v="Fijo"/>
    <x v="0"/>
    <x v="0"/>
    <m/>
    <m/>
    <m/>
    <s v="no"/>
    <m/>
    <m/>
    <x v="1"/>
    <m/>
    <x v="0"/>
    <x v="0"/>
    <s v=""/>
    <s v=""/>
    <s v=""/>
    <s v=""/>
  </r>
  <r>
    <x v="13"/>
    <d v="2026-06-16T11:45:08"/>
    <x v="0"/>
    <n v="63528067"/>
    <n v="367054930000"/>
    <s v="8-913-1779"/>
    <s v="Fijo"/>
    <x v="0"/>
    <x v="1"/>
    <m/>
    <m/>
    <m/>
    <s v="no"/>
    <m/>
    <m/>
    <x v="0"/>
    <s v="Motivos personales."/>
    <x v="0"/>
    <x v="0"/>
    <s v=""/>
    <s v=""/>
    <s v=""/>
    <s v=""/>
  </r>
  <r>
    <x v="13"/>
    <d v="2026-06-16T11:49:11"/>
    <x v="0"/>
    <n v="67140700"/>
    <n v="366060400000"/>
    <s v="2-79-2659"/>
    <s v="Fijo"/>
    <x v="0"/>
    <x v="3"/>
    <m/>
    <m/>
    <m/>
    <s v="no"/>
    <m/>
    <m/>
    <x v="1"/>
    <m/>
    <x v="0"/>
    <x v="0"/>
    <s v=""/>
    <s v=""/>
    <s v=""/>
    <s v=""/>
  </r>
  <r>
    <x v="13"/>
    <d v="2026-06-16T11:52:47"/>
    <x v="0"/>
    <n v="69053546"/>
    <n v="363061230000"/>
    <s v="8-949-592"/>
    <s v="Fijo"/>
    <x v="0"/>
    <x v="3"/>
    <m/>
    <m/>
    <m/>
    <s v="no"/>
    <m/>
    <m/>
    <x v="0"/>
    <m/>
    <x v="0"/>
    <x v="0"/>
    <s v=""/>
    <s v=""/>
    <s v=""/>
    <s v=""/>
  </r>
  <r>
    <x v="13"/>
    <d v="2026-06-16T11:55:20"/>
    <x v="0"/>
    <n v="64299442"/>
    <n v="368059200000"/>
    <s v="3-751-1671"/>
    <s v="Fijo"/>
    <x v="0"/>
    <x v="5"/>
    <m/>
    <m/>
    <m/>
    <s v="si"/>
    <d v="2026-05-30T00:00:00"/>
    <n v="45.66"/>
    <x v="1"/>
    <m/>
    <x v="1"/>
    <x v="0"/>
    <s v="30/may"/>
    <s v=""/>
    <s v=""/>
    <n v="1"/>
  </r>
  <r>
    <x v="13"/>
    <d v="2026-06-16T12:05:47"/>
    <x v="0"/>
    <n v="65736673"/>
    <n v="367062140000"/>
    <s v="7-75-690"/>
    <s v="Fijo"/>
    <x v="0"/>
    <x v="7"/>
    <m/>
    <m/>
    <m/>
    <s v="no"/>
    <m/>
    <m/>
    <x v="1"/>
    <m/>
    <x v="0"/>
    <x v="0"/>
    <s v=""/>
    <s v=""/>
    <s v=""/>
    <s v=""/>
  </r>
  <r>
    <x v="13"/>
    <d v="2026-06-16T12:13:23"/>
    <x v="0"/>
    <n v="62746033"/>
    <n v="369057120000"/>
    <s v="8-113-601"/>
    <s v="Fijo"/>
    <x v="0"/>
    <x v="1"/>
    <m/>
    <d v="2026-06-20T00:00:00"/>
    <n v="34.1"/>
    <s v="no"/>
    <m/>
    <m/>
    <x v="1"/>
    <m/>
    <x v="0"/>
    <x v="1"/>
    <s v=""/>
    <s v="20/jun"/>
    <n v="1"/>
    <s v=""/>
  </r>
  <r>
    <x v="13"/>
    <d v="2026-06-16T12:21:51"/>
    <x v="0"/>
    <n v="64022002"/>
    <n v="365059620000"/>
    <s v="8-821-1756"/>
    <s v="Fijo"/>
    <x v="0"/>
    <x v="2"/>
    <m/>
    <m/>
    <m/>
    <s v="no"/>
    <m/>
    <m/>
    <x v="1"/>
    <m/>
    <x v="0"/>
    <x v="0"/>
    <s v=""/>
    <s v=""/>
    <s v=""/>
    <s v=""/>
  </r>
  <r>
    <x v="13"/>
    <d v="2026-06-16T12:28:32"/>
    <x v="0"/>
    <n v="64884119"/>
    <n v="366060520000"/>
    <s v="8-939-2365"/>
    <s v="Fijo"/>
    <x v="0"/>
    <x v="5"/>
    <m/>
    <m/>
    <m/>
    <s v="no"/>
    <m/>
    <m/>
    <x v="1"/>
    <m/>
    <x v="0"/>
    <x v="0"/>
    <s v=""/>
    <s v=""/>
    <s v=""/>
    <s v=""/>
  </r>
  <r>
    <x v="13"/>
    <d v="2026-06-16T12:35:46"/>
    <x v="0"/>
    <n v="63392944"/>
    <n v="362062100000"/>
    <s v="8-901-2240"/>
    <s v="Fijo"/>
    <x v="1"/>
    <x v="2"/>
    <m/>
    <m/>
    <m/>
    <s v="no"/>
    <m/>
    <m/>
    <x v="0"/>
    <m/>
    <x v="0"/>
    <x v="0"/>
    <s v=""/>
    <s v=""/>
    <s v=""/>
    <s v=""/>
  </r>
  <r>
    <x v="13"/>
    <d v="2026-06-16T12:41:18"/>
    <x v="0"/>
    <n v="61567613"/>
    <n v="365043970000"/>
    <n v="144663051"/>
    <s v="Fijo"/>
    <x v="2"/>
    <x v="2"/>
    <m/>
    <m/>
    <m/>
    <s v="no"/>
    <m/>
    <m/>
    <x v="1"/>
    <m/>
    <x v="0"/>
    <x v="0"/>
    <s v=""/>
    <s v=""/>
    <s v=""/>
    <s v=""/>
  </r>
  <r>
    <x v="13"/>
    <d v="2026-06-16T12:49:06"/>
    <x v="0"/>
    <n v="69125409"/>
    <n v="804071480000"/>
    <s v="8-156-793"/>
    <s v="Fijo"/>
    <x v="0"/>
    <x v="6"/>
    <m/>
    <m/>
    <m/>
    <s v="no"/>
    <m/>
    <m/>
    <x v="0"/>
    <m/>
    <x v="0"/>
    <x v="0"/>
    <s v=""/>
    <s v=""/>
    <s v=""/>
    <s v=""/>
  </r>
  <r>
    <x v="13"/>
    <d v="2026-06-16T12:54:27"/>
    <x v="0"/>
    <n v="66537380"/>
    <n v="368062420000"/>
    <s v="8-269-697"/>
    <s v="Fijo"/>
    <x v="4"/>
    <x v="0"/>
    <m/>
    <m/>
    <m/>
    <s v="no"/>
    <m/>
    <m/>
    <x v="1"/>
    <m/>
    <x v="0"/>
    <x v="0"/>
    <s v=""/>
    <s v=""/>
    <s v=""/>
    <s v=""/>
  </r>
  <r>
    <x v="13"/>
    <d v="2026-06-16T12:59:08"/>
    <x v="0"/>
    <n v="69707818"/>
    <n v="368062460000"/>
    <s v="4-763-1677"/>
    <s v="Fijo"/>
    <x v="4"/>
    <x v="2"/>
    <m/>
    <m/>
    <m/>
    <s v="no"/>
    <m/>
    <m/>
    <x v="1"/>
    <m/>
    <x v="0"/>
    <x v="0"/>
    <s v=""/>
    <s v=""/>
    <s v=""/>
    <s v=""/>
  </r>
  <r>
    <x v="13"/>
    <d v="2026-06-16T13:01:20"/>
    <x v="0"/>
    <n v="68905432"/>
    <n v="362062860000"/>
    <s v="8-216-665"/>
    <s v="Fijo"/>
    <x v="0"/>
    <x v="6"/>
    <m/>
    <m/>
    <m/>
    <s v="no"/>
    <m/>
    <m/>
    <x v="0"/>
    <m/>
    <x v="0"/>
    <x v="0"/>
    <s v=""/>
    <s v=""/>
    <s v=""/>
    <s v=""/>
  </r>
  <r>
    <x v="13"/>
    <d v="2026-06-16T13:07:07"/>
    <x v="0"/>
    <n v="68097825"/>
    <n v="363059740000"/>
    <s v="8-935-1329"/>
    <s v="Fijo"/>
    <x v="0"/>
    <x v="2"/>
    <m/>
    <m/>
    <m/>
    <s v="no"/>
    <m/>
    <m/>
    <x v="1"/>
    <m/>
    <x v="0"/>
    <x v="0"/>
    <s v=""/>
    <s v=""/>
    <s v=""/>
    <s v=""/>
  </r>
  <r>
    <x v="13"/>
    <d v="2026-06-16T13:10:42"/>
    <x v="0"/>
    <n v="68370299"/>
    <n v="361055190000"/>
    <s v="8-1064-579"/>
    <s v="Fijo"/>
    <x v="0"/>
    <x v="3"/>
    <m/>
    <m/>
    <m/>
    <s v="no"/>
    <m/>
    <m/>
    <x v="1"/>
    <m/>
    <x v="0"/>
    <x v="0"/>
    <s v=""/>
    <s v=""/>
    <s v=""/>
    <s v=""/>
  </r>
  <r>
    <x v="13"/>
    <d v="2026-06-16T13:13:10"/>
    <x v="0"/>
    <n v="61945798"/>
    <n v="362054710000"/>
    <s v="10-701-543"/>
    <s v="Fijo"/>
    <x v="0"/>
    <x v="3"/>
    <m/>
    <m/>
    <m/>
    <s v="no"/>
    <m/>
    <m/>
    <x v="1"/>
    <m/>
    <x v="0"/>
    <x v="0"/>
    <s v=""/>
    <s v=""/>
    <s v=""/>
    <s v=""/>
  </r>
  <r>
    <x v="13"/>
    <d v="2026-06-16T13:14:50"/>
    <x v="0"/>
    <n v="65322618"/>
    <n v="367062690000"/>
    <s v="4-129-169"/>
    <s v="Fijo"/>
    <x v="0"/>
    <x v="6"/>
    <m/>
    <m/>
    <m/>
    <s v="no"/>
    <m/>
    <m/>
    <x v="0"/>
    <m/>
    <x v="0"/>
    <x v="0"/>
    <s v=""/>
    <s v=""/>
    <s v=""/>
    <s v=""/>
  </r>
  <r>
    <x v="13"/>
    <d v="2026-06-16T14:18:22"/>
    <x v="0"/>
    <n v="60017923"/>
    <n v="363059540000"/>
    <s v="8-174-752"/>
    <s v="Fijo"/>
    <x v="0"/>
    <x v="2"/>
    <m/>
    <m/>
    <m/>
    <s v="no"/>
    <m/>
    <m/>
    <x v="1"/>
    <m/>
    <x v="0"/>
    <x v="0"/>
    <s v=""/>
    <s v=""/>
    <s v=""/>
    <s v=""/>
  </r>
  <r>
    <x v="13"/>
    <d v="2026-06-16T14:30:48"/>
    <x v="0"/>
    <n v="69033245"/>
    <n v="367061040000"/>
    <s v="8-251-858"/>
    <s v="Fijo"/>
    <x v="0"/>
    <x v="2"/>
    <m/>
    <m/>
    <m/>
    <s v="no"/>
    <m/>
    <m/>
    <x v="1"/>
    <m/>
    <x v="0"/>
    <x v="0"/>
    <s v=""/>
    <s v=""/>
    <s v=""/>
    <s v=""/>
  </r>
  <r>
    <x v="13"/>
    <d v="2026-06-16T14:35:04"/>
    <x v="0"/>
    <n v="67257968"/>
    <n v="363055310000"/>
    <s v="8-1020-235"/>
    <s v="Fijo"/>
    <x v="0"/>
    <x v="5"/>
    <m/>
    <m/>
    <m/>
    <s v="no"/>
    <m/>
    <m/>
    <x v="1"/>
    <m/>
    <x v="0"/>
    <x v="0"/>
    <s v=""/>
    <s v=""/>
    <s v=""/>
    <s v=""/>
  </r>
  <r>
    <x v="13"/>
    <d v="2026-06-16T14:40:47"/>
    <x v="0"/>
    <n v="63544722"/>
    <n v="341342000000"/>
    <s v="8-911-1450"/>
    <s v="Fijo"/>
    <x v="0"/>
    <x v="6"/>
    <m/>
    <m/>
    <m/>
    <s v="no"/>
    <m/>
    <m/>
    <x v="1"/>
    <m/>
    <x v="0"/>
    <x v="0"/>
    <s v=""/>
    <s v=""/>
    <s v=""/>
    <s v=""/>
  </r>
  <r>
    <x v="13"/>
    <d v="2026-06-16T14:43:51"/>
    <x v="0"/>
    <n v="62626429"/>
    <n v="366064100000"/>
    <s v="7-715-947"/>
    <s v="Fijo"/>
    <x v="0"/>
    <x v="7"/>
    <m/>
    <m/>
    <m/>
    <s v="no"/>
    <m/>
    <m/>
    <x v="1"/>
    <m/>
    <x v="0"/>
    <x v="0"/>
    <s v=""/>
    <s v=""/>
    <s v=""/>
    <s v=""/>
  </r>
  <r>
    <x v="13"/>
    <d v="2026-06-16T14:48:24"/>
    <x v="0"/>
    <n v="66379273"/>
    <n v="367063500000"/>
    <s v="4-228-250"/>
    <s v="Fijo"/>
    <x v="0"/>
    <x v="2"/>
    <m/>
    <m/>
    <m/>
    <s v="no"/>
    <m/>
    <m/>
    <x v="1"/>
    <m/>
    <x v="0"/>
    <x v="0"/>
    <s v=""/>
    <s v=""/>
    <s v=""/>
    <s v=""/>
  </r>
  <r>
    <x v="13"/>
    <d v="2026-06-16T14:54:02"/>
    <x v="0"/>
    <n v="66379273"/>
    <n v="367063500000"/>
    <s v="4-228-250"/>
    <s v="Fijo"/>
    <x v="0"/>
    <x v="3"/>
    <m/>
    <m/>
    <m/>
    <s v="no"/>
    <m/>
    <m/>
    <x v="1"/>
    <m/>
    <x v="0"/>
    <x v="0"/>
    <s v=""/>
    <s v=""/>
    <s v=""/>
    <s v=""/>
  </r>
  <r>
    <x v="13"/>
    <d v="2026-06-16T15:08:35"/>
    <x v="0"/>
    <n v="63433782"/>
    <n v="361062960000"/>
    <s v="4-719-947"/>
    <s v="Fijo"/>
    <x v="0"/>
    <x v="1"/>
    <m/>
    <d v="2026-06-18T00:00:00"/>
    <n v="29.32"/>
    <s v="no"/>
    <m/>
    <m/>
    <x v="1"/>
    <m/>
    <x v="0"/>
    <x v="1"/>
    <s v=""/>
    <s v="18/jun"/>
    <n v="1"/>
    <s v=""/>
  </r>
  <r>
    <x v="13"/>
    <d v="2026-06-16T15:12:12"/>
    <x v="0"/>
    <n v="69380729"/>
    <n v="363060850000"/>
    <s v="8-961-1886"/>
    <s v="Fijo"/>
    <x v="0"/>
    <x v="6"/>
    <m/>
    <m/>
    <m/>
    <s v="no"/>
    <m/>
    <m/>
    <x v="1"/>
    <m/>
    <x v="0"/>
    <x v="0"/>
    <s v=""/>
    <s v=""/>
    <s v=""/>
    <s v=""/>
  </r>
  <r>
    <x v="13"/>
    <d v="2026-06-16T15:25:48"/>
    <x v="0"/>
    <n v="64752324"/>
    <n v="363063070000"/>
    <s v="8-1047-507"/>
    <s v="Fijo"/>
    <x v="0"/>
    <x v="1"/>
    <m/>
    <d v="2026-06-22T00:00:00"/>
    <n v="77.47"/>
    <s v="no"/>
    <m/>
    <m/>
    <x v="1"/>
    <m/>
    <x v="0"/>
    <x v="1"/>
    <s v=""/>
    <s v="22/jun"/>
    <n v="1"/>
    <s v=""/>
  </r>
  <r>
    <x v="13"/>
    <d v="2026-06-16T15:31:01"/>
    <x v="0"/>
    <n v="66937402"/>
    <n v="361063810000"/>
    <s v="8-205-1017"/>
    <s v="Fijo"/>
    <x v="0"/>
    <x v="0"/>
    <m/>
    <m/>
    <m/>
    <s v="no"/>
    <m/>
    <m/>
    <x v="1"/>
    <m/>
    <x v="0"/>
    <x v="0"/>
    <s v=""/>
    <s v=""/>
    <s v=""/>
    <s v=""/>
  </r>
  <r>
    <x v="13"/>
    <d v="2026-06-16T15:36:49"/>
    <x v="0"/>
    <n v="66004721"/>
    <n v="366059550000"/>
    <s v="8-1001-1803"/>
    <s v="Fijo"/>
    <x v="0"/>
    <x v="6"/>
    <m/>
    <m/>
    <m/>
    <s v="no"/>
    <m/>
    <m/>
    <x v="1"/>
    <m/>
    <x v="0"/>
    <x v="0"/>
    <s v=""/>
    <s v=""/>
    <s v=""/>
    <s v=""/>
  </r>
  <r>
    <x v="13"/>
    <d v="2026-06-16T15:42:50"/>
    <x v="0"/>
    <n v="65951112"/>
    <n v="367059530000"/>
    <s v="8-1043-2193"/>
    <s v="Fijo"/>
    <x v="4"/>
    <x v="2"/>
    <m/>
    <m/>
    <m/>
    <s v="no"/>
    <m/>
    <m/>
    <x v="1"/>
    <m/>
    <x v="0"/>
    <x v="0"/>
    <s v=""/>
    <s v=""/>
    <s v=""/>
    <s v=""/>
  </r>
  <r>
    <x v="13"/>
    <d v="2026-06-16T15:46:02"/>
    <x v="0"/>
    <n v="64587079"/>
    <n v="367062770000"/>
    <s v="4-151-698"/>
    <s v="Fijo"/>
    <x v="0"/>
    <x v="6"/>
    <m/>
    <m/>
    <m/>
    <s v="no"/>
    <m/>
    <m/>
    <x v="1"/>
    <m/>
    <x v="0"/>
    <x v="0"/>
    <s v=""/>
    <s v=""/>
    <s v=""/>
    <s v=""/>
  </r>
  <r>
    <x v="13"/>
    <d v="2026-06-16T15:53:07"/>
    <x v="0"/>
    <n v="62742787"/>
    <n v="206011120000"/>
    <s v="4-725-1245"/>
    <s v="Fijo"/>
    <x v="0"/>
    <x v="7"/>
    <m/>
    <m/>
    <m/>
    <s v="no"/>
    <m/>
    <m/>
    <x v="1"/>
    <m/>
    <x v="0"/>
    <x v="0"/>
    <s v=""/>
    <s v=""/>
    <s v=""/>
    <s v=""/>
  </r>
  <r>
    <x v="13"/>
    <d v="2026-06-16T15:58:29"/>
    <x v="0"/>
    <n v="64460950"/>
    <n v="365063110000"/>
    <s v="4-729-2381"/>
    <s v="Fijo"/>
    <x v="0"/>
    <x v="1"/>
    <m/>
    <d v="2026-06-18T00:00:00"/>
    <n v="31.03"/>
    <s v="no"/>
    <m/>
    <m/>
    <x v="1"/>
    <m/>
    <x v="0"/>
    <x v="1"/>
    <s v=""/>
    <s v="18/jun"/>
    <n v="1"/>
    <s v=""/>
  </r>
  <r>
    <x v="13"/>
    <d v="2026-06-16T16:02:25"/>
    <x v="0"/>
    <n v="65909924"/>
    <n v="362052750000"/>
    <s v="9-725-1484"/>
    <s v="Fijo"/>
    <x v="0"/>
    <x v="6"/>
    <m/>
    <m/>
    <m/>
    <s v="no"/>
    <m/>
    <m/>
    <x v="1"/>
    <m/>
    <x v="0"/>
    <x v="0"/>
    <s v=""/>
    <s v=""/>
    <s v=""/>
    <s v=""/>
  </r>
  <r>
    <x v="13"/>
    <d v="2026-06-16T16:09:06"/>
    <x v="0"/>
    <n v="68211304"/>
    <n v="363063430000"/>
    <s v="3-732-660"/>
    <s v="Fijo"/>
    <x v="0"/>
    <x v="1"/>
    <m/>
    <d v="2026-06-18T00:00:00"/>
    <n v="45.9"/>
    <s v="no"/>
    <m/>
    <m/>
    <x v="1"/>
    <m/>
    <x v="0"/>
    <x v="1"/>
    <s v=""/>
    <s v="18/jun"/>
    <n v="1"/>
    <s v=""/>
  </r>
  <r>
    <x v="13"/>
    <d v="2026-06-16T16:14:04"/>
    <x v="0"/>
    <n v="64068694"/>
    <n v="366064400000"/>
    <s v="10-707-565"/>
    <s v="Fijo"/>
    <x v="0"/>
    <x v="2"/>
    <m/>
    <m/>
    <m/>
    <s v="no"/>
    <m/>
    <m/>
    <x v="1"/>
    <m/>
    <x v="0"/>
    <x v="0"/>
    <s v=""/>
    <s v=""/>
    <s v=""/>
    <s v=""/>
  </r>
  <r>
    <x v="13"/>
    <d v="2026-06-16T16:20:23"/>
    <x v="0"/>
    <n v="69289102"/>
    <n v="354216960000"/>
    <s v="AT677003"/>
    <s v="Fijo"/>
    <x v="0"/>
    <x v="2"/>
    <m/>
    <m/>
    <m/>
    <s v="no"/>
    <m/>
    <m/>
    <x v="1"/>
    <m/>
    <x v="0"/>
    <x v="0"/>
    <s v=""/>
    <s v=""/>
    <s v=""/>
    <s v=""/>
  </r>
  <r>
    <x v="13"/>
    <d v="2026-06-16T16:23:36"/>
    <x v="0"/>
    <n v="62362257"/>
    <n v="368065490000"/>
    <s v="8-940-1244"/>
    <s v="Fijo"/>
    <x v="0"/>
    <x v="6"/>
    <m/>
    <m/>
    <m/>
    <s v="no"/>
    <m/>
    <m/>
    <x v="0"/>
    <m/>
    <x v="0"/>
    <x v="0"/>
    <s v=""/>
    <s v=""/>
    <s v=""/>
    <s v=""/>
  </r>
  <r>
    <x v="13"/>
    <d v="2026-06-16T16:27:45"/>
    <x v="0"/>
    <n v="68557982"/>
    <n v="368065580000"/>
    <s v="10-700-612"/>
    <s v="Fijo"/>
    <x v="0"/>
    <x v="3"/>
    <m/>
    <m/>
    <m/>
    <s v="no"/>
    <m/>
    <m/>
    <x v="1"/>
    <m/>
    <x v="0"/>
    <x v="0"/>
    <s v=""/>
    <s v=""/>
    <s v=""/>
    <s v=""/>
  </r>
  <r>
    <x v="13"/>
    <d v="2026-06-16T16:40:04"/>
    <x v="0"/>
    <n v="68205684"/>
    <n v="362040100000"/>
    <s v="8-860-2440"/>
    <s v="Fijo"/>
    <x v="0"/>
    <x v="3"/>
    <m/>
    <d v="2026-06-20T00:00:00"/>
    <n v="30.44"/>
    <s v="no"/>
    <m/>
    <m/>
    <x v="1"/>
    <m/>
    <x v="0"/>
    <x v="1"/>
    <s v=""/>
    <s v="20/jun"/>
    <n v="1"/>
    <s v=""/>
  </r>
  <r>
    <x v="13"/>
    <d v="2026-06-16T16:46:11"/>
    <x v="0"/>
    <n v="61071807"/>
    <n v="357186870000"/>
    <s v="8-813-1496"/>
    <s v="Fijo"/>
    <x v="0"/>
    <x v="0"/>
    <m/>
    <m/>
    <m/>
    <s v="no"/>
    <m/>
    <m/>
    <x v="1"/>
    <m/>
    <x v="0"/>
    <x v="0"/>
    <s v=""/>
    <s v=""/>
    <s v=""/>
    <s v=""/>
  </r>
  <r>
    <x v="13"/>
    <d v="2026-06-16T16:52:58"/>
    <x v="0"/>
    <n v="63339292"/>
    <n v="369051950000"/>
    <s v="C03470752 "/>
    <s v="Fijo"/>
    <x v="2"/>
    <x v="5"/>
    <m/>
    <m/>
    <m/>
    <s v="si"/>
    <d v="2026-06-15T00:00:00"/>
    <n v="25.25"/>
    <x v="1"/>
    <m/>
    <x v="2"/>
    <x v="0"/>
    <s v="15/jun"/>
    <s v=""/>
    <s v=""/>
    <n v="1"/>
  </r>
  <r>
    <x v="13"/>
    <d v="2026-06-16T17:00:39"/>
    <x v="0"/>
    <n v="62235574"/>
    <n v="367054370000"/>
    <s v="8-1017-2478"/>
    <s v="Fijo"/>
    <x v="0"/>
    <x v="1"/>
    <m/>
    <d v="2026-06-17T00:00:00"/>
    <n v="35.86"/>
    <s v="no"/>
    <m/>
    <m/>
    <x v="2"/>
    <m/>
    <x v="0"/>
    <x v="1"/>
    <s v=""/>
    <s v="17/jun"/>
    <n v="1"/>
    <s v=""/>
  </r>
  <r>
    <x v="13"/>
    <d v="2026-06-16T17:09:05"/>
    <x v="0"/>
    <n v="69775401"/>
    <n v="355381620000"/>
    <s v="2-740-1460"/>
    <s v="Fijo"/>
    <x v="3"/>
    <x v="5"/>
    <m/>
    <m/>
    <m/>
    <s v="si"/>
    <d v="2026-06-14T00:00:00"/>
    <n v="16"/>
    <x v="0"/>
    <m/>
    <x v="2"/>
    <x v="0"/>
    <s v="14/jun"/>
    <s v=""/>
    <s v=""/>
    <n v="1"/>
  </r>
  <r>
    <x v="13"/>
    <d v="2026-06-16T17:18:27"/>
    <x v="0"/>
    <n v="66388190"/>
    <n v="346074620000"/>
    <s v="4-286-149"/>
    <s v="Fijo"/>
    <x v="0"/>
    <x v="5"/>
    <m/>
    <m/>
    <m/>
    <s v="si"/>
    <d v="2026-06-15T00:00:00"/>
    <n v="30.44"/>
    <x v="1"/>
    <s v="Cumple promesa."/>
    <x v="2"/>
    <x v="0"/>
    <s v="15/jun"/>
    <s v=""/>
    <s v=""/>
    <n v="1"/>
  </r>
  <r>
    <x v="13"/>
    <d v="2026-06-16T17:27:28"/>
    <x v="0"/>
    <n v="67918466"/>
    <n v="367053930000"/>
    <s v="8-999-1391"/>
    <s v="Fijo"/>
    <x v="0"/>
    <x v="5"/>
    <m/>
    <m/>
    <m/>
    <s v="si"/>
    <d v="2026-06-15T00:00:00"/>
    <n v="30.44"/>
    <x v="2"/>
    <s v="Cumple promesa."/>
    <x v="2"/>
    <x v="0"/>
    <s v="15/jun"/>
    <s v=""/>
    <s v=""/>
    <n v="1"/>
  </r>
  <r>
    <x v="13"/>
    <d v="2026-06-16T17:33:26"/>
    <x v="0"/>
    <n v="66148382"/>
    <n v="362021500000"/>
    <s v="3-107-311"/>
    <s v="Fijo"/>
    <x v="2"/>
    <x v="5"/>
    <m/>
    <m/>
    <m/>
    <s v="si"/>
    <d v="2026-06-16T00:00:00"/>
    <n v="44.03"/>
    <x v="1"/>
    <s v="Cumple promesa."/>
    <x v="2"/>
    <x v="0"/>
    <s v="16/jun"/>
    <s v=""/>
    <s v=""/>
    <n v="1"/>
  </r>
  <r>
    <x v="13"/>
    <d v="2026-06-16T17:38:08"/>
    <x v="0"/>
    <n v="60374445"/>
    <n v="363038840000"/>
    <s v="8-834-713"/>
    <s v="Fijo"/>
    <x v="0"/>
    <x v="1"/>
    <m/>
    <m/>
    <m/>
    <s v="si"/>
    <d v="2026-06-15T00:00:00"/>
    <n v="34.31"/>
    <x v="2"/>
    <s v="Cumple."/>
    <x v="2"/>
    <x v="0"/>
    <s v="15/jun"/>
    <s v=""/>
    <s v=""/>
    <n v="1"/>
  </r>
  <r>
    <x v="13"/>
    <d v="2026-06-16T17:44:30"/>
    <x v="0"/>
    <n v="63339008"/>
    <n v="363054030000"/>
    <s v="8-812-2062"/>
    <s v="Fijo"/>
    <x v="2"/>
    <x v="5"/>
    <m/>
    <m/>
    <m/>
    <s v="si"/>
    <d v="2026-06-16T00:00:00"/>
    <n v="32.42"/>
    <x v="2"/>
    <s v="Cumple."/>
    <x v="2"/>
    <x v="0"/>
    <s v="16/jun"/>
    <s v=""/>
    <s v=""/>
    <n v="1"/>
  </r>
  <r>
    <x v="13"/>
    <d v="2026-06-16T17:49:45"/>
    <x v="0"/>
    <n v="62880884"/>
    <n v="363057280000"/>
    <s v="8-797-1351"/>
    <s v="Fijo"/>
    <x v="2"/>
    <x v="5"/>
    <m/>
    <m/>
    <m/>
    <s v="si"/>
    <d v="2026-06-15T00:00:00"/>
    <n v="37.42"/>
    <x v="2"/>
    <s v="Cumple."/>
    <x v="2"/>
    <x v="0"/>
    <s v="15/jun"/>
    <s v=""/>
    <s v=""/>
    <n v="1"/>
  </r>
  <r>
    <x v="13"/>
    <d v="2026-06-16T17:55:13"/>
    <x v="0"/>
    <n v="60754602"/>
    <n v="368058120000"/>
    <s v="BD323503"/>
    <s v="Fijo"/>
    <x v="2"/>
    <x v="5"/>
    <m/>
    <m/>
    <m/>
    <s v="si"/>
    <d v="2026-06-15T00:00:00"/>
    <n v="50.78"/>
    <x v="2"/>
    <s v="Cumple."/>
    <x v="2"/>
    <x v="0"/>
    <s v="15/jun"/>
    <s v=""/>
    <s v=""/>
    <n v="1"/>
  </r>
  <r>
    <x v="13"/>
    <d v="2026-06-16T17:59:32"/>
    <x v="0"/>
    <n v="66320677"/>
    <n v="362057950000"/>
    <s v="E-8-227001"/>
    <s v="Fijo"/>
    <x v="2"/>
    <x v="5"/>
    <m/>
    <m/>
    <m/>
    <s v="si"/>
    <d v="2026-06-15T00:00:00"/>
    <n v="47.45"/>
    <x v="2"/>
    <s v="Cumple."/>
    <x v="2"/>
    <x v="0"/>
    <s v="15/jun"/>
    <s v=""/>
    <s v=""/>
    <n v="1"/>
  </r>
  <r>
    <x v="13"/>
    <d v="2026-06-16T18:02:52"/>
    <x v="0"/>
    <n v="68193998"/>
    <n v="355224300000"/>
    <s v="8-795-65"/>
    <s v="Fijo"/>
    <x v="0"/>
    <x v="5"/>
    <m/>
    <m/>
    <m/>
    <s v="si"/>
    <d v="2026-06-15T00:00:00"/>
    <n v="27.88"/>
    <x v="2"/>
    <s v="Cumple."/>
    <x v="2"/>
    <x v="0"/>
    <s v="15/jun"/>
    <s v=""/>
    <s v=""/>
    <n v="1"/>
  </r>
  <r>
    <x v="13"/>
    <d v="2026-06-16T18:06:39"/>
    <x v="0"/>
    <n v="69141444"/>
    <n v="369065430000"/>
    <s v="10-706-516"/>
    <s v="Fijo"/>
    <x v="0"/>
    <x v="1"/>
    <m/>
    <m/>
    <m/>
    <s v="no"/>
    <m/>
    <m/>
    <x v="1"/>
    <s v="Indica esta con otro operador."/>
    <x v="0"/>
    <x v="0"/>
    <s v=""/>
    <s v=""/>
    <s v=""/>
    <s v=""/>
  </r>
  <r>
    <x v="14"/>
    <d v="2026-06-17T08:29:05"/>
    <x v="0"/>
    <n v="64901823"/>
    <n v="367065380000"/>
    <s v="4-112-860"/>
    <s v="Fijo"/>
    <x v="0"/>
    <x v="6"/>
    <m/>
    <m/>
    <m/>
    <s v="no"/>
    <m/>
    <m/>
    <x v="1"/>
    <m/>
    <x v="0"/>
    <x v="0"/>
    <s v=""/>
    <s v=""/>
    <s v=""/>
    <s v=""/>
  </r>
  <r>
    <x v="14"/>
    <d v="2026-06-17T08:38:26"/>
    <x v="0"/>
    <n v="61381946"/>
    <n v="348068040000"/>
    <s v="8-426-619"/>
    <s v="Fijo"/>
    <x v="0"/>
    <x v="5"/>
    <m/>
    <m/>
    <m/>
    <s v="si"/>
    <d v="2026-06-13T00:00:00"/>
    <n v="12.55"/>
    <x v="2"/>
    <m/>
    <x v="2"/>
    <x v="0"/>
    <s v="13/jun"/>
    <s v=""/>
    <s v=""/>
    <n v="1"/>
  </r>
  <r>
    <x v="14"/>
    <d v="2026-06-17T08:42:15"/>
    <x v="0"/>
    <n v="63440822"/>
    <n v="362062650000"/>
    <s v="8-764-1283"/>
    <s v="Fijo"/>
    <x v="0"/>
    <x v="6"/>
    <m/>
    <m/>
    <m/>
    <s v="no"/>
    <m/>
    <m/>
    <x v="0"/>
    <m/>
    <x v="0"/>
    <x v="0"/>
    <s v=""/>
    <s v=""/>
    <s v=""/>
    <s v=""/>
  </r>
  <r>
    <x v="14"/>
    <d v="2026-06-17T08:52:25"/>
    <x v="0"/>
    <n v="64620677"/>
    <n v="367064440000"/>
    <s v="7-713-325"/>
    <s v="Fijo"/>
    <x v="1"/>
    <x v="7"/>
    <m/>
    <m/>
    <m/>
    <s v="no"/>
    <m/>
    <m/>
    <x v="2"/>
    <m/>
    <x v="0"/>
    <x v="0"/>
    <s v=""/>
    <s v=""/>
    <s v=""/>
    <s v=""/>
  </r>
  <r>
    <x v="14"/>
    <d v="2026-06-17T08:57:28"/>
    <x v="0"/>
    <n v="69166635"/>
    <n v="362055700000"/>
    <s v="8-371-132"/>
    <s v="Fijo"/>
    <x v="0"/>
    <x v="3"/>
    <m/>
    <m/>
    <m/>
    <s v="no"/>
    <m/>
    <m/>
    <x v="1"/>
    <m/>
    <x v="0"/>
    <x v="0"/>
    <s v=""/>
    <s v=""/>
    <s v=""/>
    <s v=""/>
  </r>
  <r>
    <x v="14"/>
    <d v="2026-06-17T09:07:39"/>
    <x v="0"/>
    <n v="67021592"/>
    <n v="104002110000"/>
    <s v="8-199-1528"/>
    <s v="Fijo"/>
    <x v="0"/>
    <x v="5"/>
    <m/>
    <m/>
    <m/>
    <s v="si"/>
    <d v="2026-06-04T00:00:00"/>
    <n v="35.380000000000003"/>
    <x v="1"/>
    <m/>
    <x v="2"/>
    <x v="0"/>
    <s v="04/jun"/>
    <s v=""/>
    <s v=""/>
    <n v="1"/>
  </r>
  <r>
    <x v="14"/>
    <d v="2026-06-17T09:12:24"/>
    <x v="0"/>
    <n v="68349734"/>
    <n v="366051680000"/>
    <s v="8-521-1799"/>
    <s v="Fijo"/>
    <x v="2"/>
    <x v="2"/>
    <m/>
    <m/>
    <m/>
    <s v="no"/>
    <m/>
    <m/>
    <x v="1"/>
    <m/>
    <x v="0"/>
    <x v="0"/>
    <s v=""/>
    <s v=""/>
    <s v=""/>
    <s v=""/>
  </r>
  <r>
    <x v="14"/>
    <d v="2026-06-17T09:17:23"/>
    <x v="0"/>
    <n v="63077492"/>
    <n v="363063180000"/>
    <s v="AV579508"/>
    <s v="Fijo"/>
    <x v="2"/>
    <x v="5"/>
    <m/>
    <m/>
    <m/>
    <s v="si"/>
    <d v="2026-06-10T00:00:00"/>
    <n v="98.24"/>
    <x v="0"/>
    <m/>
    <x v="2"/>
    <x v="0"/>
    <s v="10/jun"/>
    <s v=""/>
    <s v=""/>
    <n v="1"/>
  </r>
  <r>
    <x v="14"/>
    <d v="2026-06-17T09:20:24"/>
    <x v="0"/>
    <n v="60177725"/>
    <n v="363065110000"/>
    <s v="8-257-111"/>
    <s v="Fijo"/>
    <x v="0"/>
    <x v="6"/>
    <m/>
    <m/>
    <m/>
    <s v="no"/>
    <m/>
    <m/>
    <x v="0"/>
    <m/>
    <x v="0"/>
    <x v="0"/>
    <s v=""/>
    <s v=""/>
    <s v=""/>
    <s v=""/>
  </r>
  <r>
    <x v="14"/>
    <d v="2026-06-17T09:26:29"/>
    <x v="0"/>
    <n v="69858568"/>
    <n v="368064800000"/>
    <s v="8-751-2464"/>
    <s v="Fijo"/>
    <x v="3"/>
    <x v="1"/>
    <m/>
    <m/>
    <m/>
    <s v="no"/>
    <m/>
    <m/>
    <x v="2"/>
    <s v="No brinda fecha de pago."/>
    <x v="0"/>
    <x v="0"/>
    <s v=""/>
    <s v=""/>
    <s v=""/>
    <s v=""/>
  </r>
  <r>
    <x v="14"/>
    <d v="2026-06-17T09:32:23"/>
    <x v="0"/>
    <n v="68377367"/>
    <n v="366063810000"/>
    <s v="CO2499043"/>
    <s v="Fijo"/>
    <x v="4"/>
    <x v="2"/>
    <m/>
    <m/>
    <m/>
    <s v="no"/>
    <m/>
    <m/>
    <x v="1"/>
    <m/>
    <x v="0"/>
    <x v="0"/>
    <s v=""/>
    <s v=""/>
    <s v=""/>
    <s v=""/>
  </r>
  <r>
    <x v="14"/>
    <d v="2026-06-17T09:38:23"/>
    <x v="0"/>
    <n v="64886742"/>
    <n v="366065500000"/>
    <s v="8-865-2274"/>
    <s v="Fijo"/>
    <x v="0"/>
    <x v="3"/>
    <m/>
    <d v="2026-06-17T00:00:00"/>
    <n v="30.44"/>
    <s v="no"/>
    <m/>
    <m/>
    <x v="2"/>
    <m/>
    <x v="0"/>
    <x v="1"/>
    <s v=""/>
    <s v="17/jun"/>
    <n v="1"/>
    <s v=""/>
  </r>
  <r>
    <x v="14"/>
    <d v="2026-06-17T09:53:50"/>
    <x v="0"/>
    <n v="68905432"/>
    <n v="367061840000"/>
    <s v="2-708-2297"/>
    <s v="Fijo"/>
    <x v="0"/>
    <x v="0"/>
    <m/>
    <m/>
    <m/>
    <s v="no"/>
    <m/>
    <m/>
    <x v="1"/>
    <m/>
    <x v="0"/>
    <x v="0"/>
    <s v=""/>
    <s v=""/>
    <s v=""/>
    <s v=""/>
  </r>
  <r>
    <x v="14"/>
    <d v="2026-06-17T10:02:05"/>
    <x v="0"/>
    <n v="68930275"/>
    <n v="367010560000"/>
    <s v="4-769-2415"/>
    <s v="Fijo"/>
    <x v="0"/>
    <x v="2"/>
    <m/>
    <m/>
    <m/>
    <s v="no"/>
    <m/>
    <m/>
    <x v="1"/>
    <m/>
    <x v="0"/>
    <x v="0"/>
    <s v=""/>
    <s v=""/>
    <s v=""/>
    <s v=""/>
  </r>
  <r>
    <x v="14"/>
    <d v="2026-06-17T10:05:38"/>
    <x v="0"/>
    <n v="69379825"/>
    <n v="344114290000"/>
    <s v="4-740-517"/>
    <s v="Fijo"/>
    <x v="0"/>
    <x v="5"/>
    <m/>
    <m/>
    <m/>
    <s v="si"/>
    <d v="2026-06-15T00:00:00"/>
    <n v="31.32"/>
    <x v="1"/>
    <m/>
    <x v="2"/>
    <x v="0"/>
    <s v="15/jun"/>
    <s v=""/>
    <s v=""/>
    <n v="1"/>
  </r>
  <r>
    <x v="14"/>
    <d v="2026-06-17T10:13:51"/>
    <x v="0"/>
    <n v="68684088"/>
    <n v="362063460000"/>
    <s v="4-770-366"/>
    <s v="Fijo"/>
    <x v="0"/>
    <x v="2"/>
    <m/>
    <m/>
    <m/>
    <s v="no"/>
    <m/>
    <m/>
    <x v="2"/>
    <m/>
    <x v="0"/>
    <x v="0"/>
    <s v=""/>
    <s v=""/>
    <s v=""/>
    <s v=""/>
  </r>
  <r>
    <x v="14"/>
    <d v="2026-06-17T10:26:36"/>
    <x v="0"/>
    <n v="67331749"/>
    <n v="366063600000"/>
    <s v="7-93-1955"/>
    <s v="Fijo"/>
    <x v="0"/>
    <x v="1"/>
    <m/>
    <m/>
    <m/>
    <s v="no"/>
    <m/>
    <m/>
    <x v="1"/>
    <s v="67746265 Deren (hijo) no brindan fecha."/>
    <x v="0"/>
    <x v="0"/>
    <s v=""/>
    <s v=""/>
    <s v=""/>
    <s v=""/>
  </r>
  <r>
    <x v="14"/>
    <d v="2026-06-17T10:32:03"/>
    <x v="0"/>
    <n v="68702493"/>
    <n v="364064270000"/>
    <s v="7-703-1837"/>
    <s v="Fijo"/>
    <x v="0"/>
    <x v="6"/>
    <m/>
    <m/>
    <m/>
    <s v="no"/>
    <m/>
    <m/>
    <x v="0"/>
    <m/>
    <x v="0"/>
    <x v="0"/>
    <s v=""/>
    <s v=""/>
    <s v=""/>
    <s v=""/>
  </r>
  <r>
    <x v="14"/>
    <d v="2026-06-17T10:37:17"/>
    <x v="0"/>
    <n v="66950178"/>
    <n v="362064320000"/>
    <s v="8-133-445"/>
    <s v="Fijo"/>
    <x v="0"/>
    <x v="2"/>
    <m/>
    <m/>
    <m/>
    <s v="no"/>
    <m/>
    <m/>
    <x v="1"/>
    <m/>
    <x v="0"/>
    <x v="0"/>
    <s v=""/>
    <s v=""/>
    <s v=""/>
    <s v=""/>
  </r>
  <r>
    <x v="14"/>
    <d v="2026-06-17T10:41:59"/>
    <x v="0"/>
    <n v="66390604"/>
    <n v="361066510000"/>
    <s v="9-165-691"/>
    <s v="Fijo"/>
    <x v="0"/>
    <x v="6"/>
    <m/>
    <m/>
    <m/>
    <s v="no"/>
    <m/>
    <m/>
    <x v="0"/>
    <m/>
    <x v="0"/>
    <x v="0"/>
    <s v=""/>
    <s v=""/>
    <s v=""/>
    <s v=""/>
  </r>
  <r>
    <x v="14"/>
    <d v="2026-06-17T10:52:01"/>
    <x v="0"/>
    <n v="69877528"/>
    <n v="256037780000"/>
    <s v="8-706-1477"/>
    <s v="Fijo"/>
    <x v="0"/>
    <x v="1"/>
    <m/>
    <d v="2026-06-30T00:00:00"/>
    <n v="36.99"/>
    <s v="no"/>
    <m/>
    <m/>
    <x v="1"/>
    <m/>
    <x v="0"/>
    <x v="1"/>
    <s v=""/>
    <s v="30/jun"/>
    <n v="1"/>
    <s v=""/>
  </r>
  <r>
    <x v="14"/>
    <d v="2026-06-17T11:01:29"/>
    <x v="0"/>
    <n v="65424487"/>
    <n v="341460570000"/>
    <s v="8-976-1391"/>
    <s v="Fijo"/>
    <x v="0"/>
    <x v="6"/>
    <m/>
    <m/>
    <m/>
    <s v="no"/>
    <m/>
    <m/>
    <x v="1"/>
    <m/>
    <x v="0"/>
    <x v="0"/>
    <s v=""/>
    <s v=""/>
    <s v=""/>
    <s v=""/>
  </r>
  <r>
    <x v="14"/>
    <d v="2026-06-17T11:52:14"/>
    <x v="0"/>
    <n v="63948586"/>
    <n v="173006910000"/>
    <s v="8-503-909"/>
    <s v="Fijo"/>
    <x v="0"/>
    <x v="6"/>
    <m/>
    <m/>
    <m/>
    <s v="no"/>
    <m/>
    <m/>
    <x v="1"/>
    <m/>
    <x v="0"/>
    <x v="0"/>
    <s v=""/>
    <s v=""/>
    <s v=""/>
    <s v=""/>
  </r>
  <r>
    <x v="14"/>
    <d v="2026-06-17T11:59:57"/>
    <x v="0"/>
    <n v="62050211"/>
    <n v="368051950000"/>
    <s v="8-238-990"/>
    <s v="Fijo"/>
    <x v="1"/>
    <x v="5"/>
    <m/>
    <m/>
    <m/>
    <s v="si"/>
    <d v="2026-06-12T00:00:00"/>
    <n v="43.51"/>
    <x v="2"/>
    <m/>
    <x v="2"/>
    <x v="0"/>
    <s v="12/jun"/>
    <s v=""/>
    <s v=""/>
    <n v="1"/>
  </r>
  <r>
    <x v="14"/>
    <d v="2026-06-17T12:11:01"/>
    <x v="0"/>
    <n v="69710973"/>
    <n v="369056820000"/>
    <n v="179147236"/>
    <s v="Fijo"/>
    <x v="1"/>
    <x v="1"/>
    <m/>
    <d v="2026-06-25T00:00:00"/>
    <n v="23.53"/>
    <s v="no"/>
    <m/>
    <m/>
    <x v="1"/>
    <m/>
    <x v="0"/>
    <x v="1"/>
    <s v=""/>
    <s v="25/jun"/>
    <n v="1"/>
    <s v=""/>
  </r>
  <r>
    <x v="14"/>
    <d v="2026-06-17T12:19:23"/>
    <x v="0"/>
    <n v="67181048"/>
    <n v="368064920000"/>
    <s v="2-767-151"/>
    <s v="Fijo"/>
    <x v="2"/>
    <x v="1"/>
    <m/>
    <d v="2026-06-27T00:00:00"/>
    <n v="39.42"/>
    <s v="no"/>
    <m/>
    <m/>
    <x v="1"/>
    <m/>
    <x v="0"/>
    <x v="1"/>
    <s v=""/>
    <s v="27/jun"/>
    <n v="1"/>
    <s v=""/>
  </r>
  <r>
    <x v="14"/>
    <d v="2026-06-17T12:23:17"/>
    <x v="0"/>
    <n v="60226163"/>
    <n v="366064140000"/>
    <n v="177502374"/>
    <s v="Fijo"/>
    <x v="4"/>
    <x v="2"/>
    <m/>
    <m/>
    <m/>
    <s v="no"/>
    <m/>
    <m/>
    <x v="1"/>
    <m/>
    <x v="0"/>
    <x v="0"/>
    <s v=""/>
    <s v=""/>
    <s v=""/>
    <s v=""/>
  </r>
  <r>
    <x v="14"/>
    <d v="2026-06-17T12:44:35"/>
    <x v="0"/>
    <n v="67380701"/>
    <n v="366063300000"/>
    <s v="8-517-1665"/>
    <s v="Fijo"/>
    <x v="3"/>
    <x v="5"/>
    <m/>
    <m/>
    <m/>
    <s v="si"/>
    <d v="2026-06-06T00:00:00"/>
    <n v="34.85"/>
    <x v="1"/>
    <m/>
    <x v="2"/>
    <x v="0"/>
    <s v="06/jun"/>
    <s v=""/>
    <s v=""/>
    <n v="1"/>
  </r>
  <r>
    <x v="14"/>
    <d v="2026-06-17T12:49:31"/>
    <x v="0"/>
    <n v="68905432"/>
    <n v="364065660000"/>
    <s v="AU870392"/>
    <s v="Fijo"/>
    <x v="0"/>
    <x v="6"/>
    <m/>
    <m/>
    <m/>
    <s v="no"/>
    <m/>
    <m/>
    <x v="0"/>
    <m/>
    <x v="0"/>
    <x v="0"/>
    <s v=""/>
    <s v=""/>
    <s v=""/>
    <s v=""/>
  </r>
  <r>
    <x v="14"/>
    <d v="2026-06-17T12:59:53"/>
    <x v="0"/>
    <n v="67923053"/>
    <n v="355275980000"/>
    <s v="3-748-403"/>
    <s v="Fijo"/>
    <x v="0"/>
    <x v="1"/>
    <m/>
    <m/>
    <m/>
    <s v="no"/>
    <m/>
    <m/>
    <x v="2"/>
    <s v="No brinda fecha."/>
    <x v="0"/>
    <x v="0"/>
    <s v=""/>
    <s v=""/>
    <s v=""/>
    <s v=""/>
  </r>
  <r>
    <x v="14"/>
    <d v="2026-06-17T13:10:34"/>
    <x v="0"/>
    <n v="63393120"/>
    <n v="353244970000"/>
    <s v="2-106-1509"/>
    <s v="Fijo"/>
    <x v="0"/>
    <x v="2"/>
    <m/>
    <m/>
    <m/>
    <s v="no"/>
    <m/>
    <m/>
    <x v="1"/>
    <m/>
    <x v="0"/>
    <x v="0"/>
    <s v=""/>
    <s v=""/>
    <s v=""/>
    <s v=""/>
  </r>
  <r>
    <x v="14"/>
    <d v="2026-06-17T14:14:13"/>
    <x v="0"/>
    <n v="63593036"/>
    <n v="369021040000"/>
    <s v="8-890-1841"/>
    <s v="Fijo"/>
    <x v="0"/>
    <x v="2"/>
    <m/>
    <m/>
    <m/>
    <s v="no"/>
    <m/>
    <m/>
    <x v="3"/>
    <m/>
    <x v="0"/>
    <x v="0"/>
    <s v=""/>
    <s v=""/>
    <s v=""/>
    <s v=""/>
  </r>
  <r>
    <x v="14"/>
    <d v="2026-06-17T14:20:03"/>
    <x v="0"/>
    <n v="69601798"/>
    <n v="361023570000"/>
    <s v="8-716-184"/>
    <s v="Fijo"/>
    <x v="0"/>
    <x v="0"/>
    <m/>
    <m/>
    <m/>
    <s v="no"/>
    <m/>
    <m/>
    <x v="3"/>
    <m/>
    <x v="0"/>
    <x v="0"/>
    <s v=""/>
    <s v=""/>
    <s v=""/>
    <s v=""/>
  </r>
  <r>
    <x v="14"/>
    <d v="2026-06-17T14:26:16"/>
    <x v="0"/>
    <n v="64637455"/>
    <n v="366025960000"/>
    <s v="8-1067-258"/>
    <s v="Fijo"/>
    <x v="0"/>
    <x v="2"/>
    <m/>
    <m/>
    <m/>
    <s v="no"/>
    <m/>
    <m/>
    <x v="1"/>
    <m/>
    <x v="0"/>
    <x v="0"/>
    <s v=""/>
    <s v=""/>
    <s v=""/>
    <s v=""/>
  </r>
  <r>
    <x v="14"/>
    <d v="2026-06-17T14:34:14"/>
    <x v="0"/>
    <n v="66033534"/>
    <n v="368027760000"/>
    <s v="8-1038-862"/>
    <s v="Fijo"/>
    <x v="2"/>
    <x v="9"/>
    <m/>
    <m/>
    <m/>
    <s v="no"/>
    <m/>
    <m/>
    <x v="0"/>
    <m/>
    <x v="0"/>
    <x v="0"/>
    <s v=""/>
    <s v=""/>
    <s v=""/>
    <s v=""/>
  </r>
  <r>
    <x v="14"/>
    <d v="2026-06-17T14:40:15"/>
    <x v="0"/>
    <n v="66513486"/>
    <n v="327083610000"/>
    <s v="6-723-943"/>
    <s v="Fijo"/>
    <x v="0"/>
    <x v="0"/>
    <m/>
    <m/>
    <m/>
    <s v="no"/>
    <m/>
    <m/>
    <x v="2"/>
    <m/>
    <x v="0"/>
    <x v="0"/>
    <s v=""/>
    <s v=""/>
    <s v=""/>
    <s v=""/>
  </r>
  <r>
    <x v="14"/>
    <d v="2026-06-17T14:47:05"/>
    <x v="0"/>
    <n v="63528381"/>
    <n v="363045910000"/>
    <s v="4-766-1064"/>
    <s v="Fijo"/>
    <x v="0"/>
    <x v="2"/>
    <m/>
    <m/>
    <m/>
    <s v="no"/>
    <m/>
    <m/>
    <x v="1"/>
    <m/>
    <x v="0"/>
    <x v="0"/>
    <s v=""/>
    <s v=""/>
    <s v=""/>
    <s v=""/>
  </r>
  <r>
    <x v="14"/>
    <d v="2026-06-17T14:52:36"/>
    <x v="0"/>
    <n v="65089511"/>
    <n v="368043310000"/>
    <s v="8-948-61 DV 86"/>
    <s v="Fijo"/>
    <x v="2"/>
    <x v="0"/>
    <m/>
    <m/>
    <m/>
    <s v="no"/>
    <m/>
    <m/>
    <x v="1"/>
    <m/>
    <x v="0"/>
    <x v="0"/>
    <s v=""/>
    <s v=""/>
    <s v=""/>
    <s v=""/>
  </r>
  <r>
    <x v="14"/>
    <d v="2026-06-17T15:00:34"/>
    <x v="0"/>
    <n v="65214449"/>
    <n v="365048780000"/>
    <s v="2-701-1992"/>
    <s v="Fijo"/>
    <x v="0"/>
    <x v="2"/>
    <m/>
    <m/>
    <m/>
    <s v="no"/>
    <m/>
    <m/>
    <x v="2"/>
    <m/>
    <x v="0"/>
    <x v="0"/>
    <s v=""/>
    <s v=""/>
    <s v=""/>
    <s v=""/>
  </r>
  <r>
    <x v="14"/>
    <d v="2026-06-17T15:04:50"/>
    <x v="0"/>
    <n v="62533043"/>
    <n v="365053150000"/>
    <s v="8-888-1786"/>
    <s v="Fijo"/>
    <x v="0"/>
    <x v="0"/>
    <m/>
    <m/>
    <m/>
    <s v="no"/>
    <m/>
    <m/>
    <x v="1"/>
    <m/>
    <x v="0"/>
    <x v="0"/>
    <s v=""/>
    <s v=""/>
    <s v=""/>
    <s v=""/>
  </r>
  <r>
    <x v="14"/>
    <d v="2026-06-17T15:11:12"/>
    <x v="0"/>
    <n v="67730910"/>
    <n v="364025810000"/>
    <s v="8-956-1842"/>
    <s v="Fijo"/>
    <x v="0"/>
    <x v="2"/>
    <m/>
    <m/>
    <m/>
    <s v="no"/>
    <m/>
    <m/>
    <x v="3"/>
    <m/>
    <x v="0"/>
    <x v="0"/>
    <s v=""/>
    <s v=""/>
    <s v=""/>
    <s v=""/>
  </r>
  <r>
    <x v="14"/>
    <d v="2026-06-17T15:18:54"/>
    <x v="0"/>
    <n v="65556178"/>
    <n v="365023490000"/>
    <s v="PE-9-1322"/>
    <s v="Fijo"/>
    <x v="0"/>
    <x v="2"/>
    <m/>
    <m/>
    <m/>
    <s v="no"/>
    <m/>
    <m/>
    <x v="2"/>
    <m/>
    <x v="0"/>
    <x v="0"/>
    <s v=""/>
    <s v=""/>
    <s v=""/>
    <s v=""/>
  </r>
  <r>
    <x v="15"/>
    <d v="2026-06-18T09:30:24"/>
    <x v="0"/>
    <n v="64926215"/>
    <n v="365063580000"/>
    <s v="2-99-2518"/>
    <s v="Fijo"/>
    <x v="0"/>
    <x v="2"/>
    <m/>
    <m/>
    <m/>
    <s v="no"/>
    <m/>
    <m/>
    <x v="1"/>
    <m/>
    <x v="0"/>
    <x v="0"/>
    <s v=""/>
    <s v=""/>
    <s v=""/>
    <s v=""/>
  </r>
  <r>
    <x v="15"/>
    <d v="2026-06-18T09:36:39"/>
    <x v="0"/>
    <n v="68942657"/>
    <n v="363037780000"/>
    <s v="8-757-2246"/>
    <s v="Fijo"/>
    <x v="0"/>
    <x v="2"/>
    <m/>
    <m/>
    <m/>
    <s v="no"/>
    <m/>
    <m/>
    <x v="1"/>
    <m/>
    <x v="0"/>
    <x v="0"/>
    <s v=""/>
    <s v=""/>
    <s v=""/>
    <s v=""/>
  </r>
  <r>
    <x v="15"/>
    <d v="2026-06-18T09:42:09"/>
    <x v="0"/>
    <n v="66848000"/>
    <n v="352384670000"/>
    <s v="1-710-1374"/>
    <s v="Fijo"/>
    <x v="0"/>
    <x v="6"/>
    <m/>
    <m/>
    <m/>
    <s v="no"/>
    <m/>
    <m/>
    <x v="0"/>
    <m/>
    <x v="0"/>
    <x v="0"/>
    <s v=""/>
    <s v=""/>
    <s v=""/>
    <s v=""/>
  </r>
  <r>
    <x v="15"/>
    <d v="2026-06-18T09:48:49"/>
    <x v="0"/>
    <n v="61905419"/>
    <n v="362066750000"/>
    <s v="2-97-2119"/>
    <s v="Fijo"/>
    <x v="0"/>
    <x v="0"/>
    <m/>
    <m/>
    <m/>
    <s v="no"/>
    <m/>
    <m/>
    <x v="0"/>
    <m/>
    <x v="0"/>
    <x v="0"/>
    <s v=""/>
    <s v=""/>
    <s v=""/>
    <s v=""/>
  </r>
  <r>
    <x v="15"/>
    <d v="2026-06-18T10:14:55"/>
    <x v="0"/>
    <n v="63443900"/>
    <n v="362057190000"/>
    <s v="RD6425357"/>
    <s v="Fijo"/>
    <x v="0"/>
    <x v="2"/>
    <m/>
    <m/>
    <m/>
    <s v="no"/>
    <m/>
    <m/>
    <x v="1"/>
    <m/>
    <x v="0"/>
    <x v="0"/>
    <s v=""/>
    <s v=""/>
    <s v=""/>
    <s v=""/>
  </r>
  <r>
    <x v="15"/>
    <d v="2026-06-18T10:20:32"/>
    <x v="0"/>
    <n v="64520014"/>
    <n v="365019940000"/>
    <s v="8-996-409"/>
    <s v="Fijo"/>
    <x v="0"/>
    <x v="2"/>
    <m/>
    <m/>
    <m/>
    <s v="no"/>
    <m/>
    <m/>
    <x v="1"/>
    <m/>
    <x v="0"/>
    <x v="0"/>
    <s v=""/>
    <s v=""/>
    <s v=""/>
    <s v=""/>
  </r>
  <r>
    <x v="15"/>
    <d v="2026-06-18T10:29:20"/>
    <x v="0"/>
    <n v="62982835"/>
    <n v="365065240000"/>
    <s v="8-322-598"/>
    <s v="Fijo"/>
    <x v="0"/>
    <x v="2"/>
    <m/>
    <m/>
    <m/>
    <s v="no"/>
    <m/>
    <m/>
    <x v="1"/>
    <s v="66460046 esposa titular."/>
    <x v="0"/>
    <x v="0"/>
    <s v=""/>
    <s v=""/>
    <s v=""/>
    <s v=""/>
  </r>
  <r>
    <x v="15"/>
    <d v="2026-06-18T10:33:46"/>
    <x v="0"/>
    <n v="68955068"/>
    <n v="368062750000"/>
    <s v="4-821-860"/>
    <s v="Fijo"/>
    <x v="0"/>
    <x v="6"/>
    <m/>
    <m/>
    <m/>
    <s v="no"/>
    <m/>
    <m/>
    <x v="0"/>
    <m/>
    <x v="0"/>
    <x v="0"/>
    <s v=""/>
    <s v=""/>
    <s v=""/>
    <s v=""/>
  </r>
  <r>
    <x v="15"/>
    <d v="2026-06-18T10:37:22"/>
    <x v="0"/>
    <n v="64008804"/>
    <n v="366051290000"/>
    <s v="4-753-207"/>
    <s v="Fijo"/>
    <x v="0"/>
    <x v="2"/>
    <m/>
    <m/>
    <m/>
    <s v="no"/>
    <m/>
    <m/>
    <x v="1"/>
    <m/>
    <x v="0"/>
    <x v="0"/>
    <s v=""/>
    <s v=""/>
    <s v=""/>
    <s v=""/>
  </r>
  <r>
    <x v="15"/>
    <d v="2026-06-18T10:43:25"/>
    <x v="0"/>
    <n v="67095666"/>
    <n v="364063540000"/>
    <s v="3-53-252"/>
    <s v="Fijo"/>
    <x v="0"/>
    <x v="6"/>
    <m/>
    <m/>
    <m/>
    <s v="no"/>
    <m/>
    <m/>
    <x v="0"/>
    <m/>
    <x v="0"/>
    <x v="0"/>
    <s v=""/>
    <s v=""/>
    <s v=""/>
    <s v=""/>
  </r>
  <r>
    <x v="15"/>
    <d v="2026-06-18T10:56:13"/>
    <x v="0"/>
    <n v="62248878"/>
    <n v="368065270000"/>
    <s v="8-1001-1180"/>
    <s v="Fijo"/>
    <x v="0"/>
    <x v="0"/>
    <m/>
    <m/>
    <m/>
    <s v="no"/>
    <m/>
    <m/>
    <x v="1"/>
    <m/>
    <x v="0"/>
    <x v="0"/>
    <s v=""/>
    <s v=""/>
    <s v=""/>
    <s v=""/>
  </r>
  <r>
    <x v="15"/>
    <d v="2026-06-18T11:00:11"/>
    <x v="0"/>
    <n v="64953189"/>
    <n v="368066630000"/>
    <s v="4-818-2067"/>
    <s v="Fijo"/>
    <x v="0"/>
    <x v="6"/>
    <m/>
    <m/>
    <m/>
    <s v="no"/>
    <m/>
    <m/>
    <x v="0"/>
    <m/>
    <x v="0"/>
    <x v="0"/>
    <s v=""/>
    <s v=""/>
    <s v=""/>
    <s v=""/>
  </r>
  <r>
    <x v="15"/>
    <d v="2026-06-18T11:19:44"/>
    <x v="0"/>
    <n v="63598437"/>
    <n v="367066360000"/>
    <s v="4-793-153"/>
    <s v="Fijo"/>
    <x v="0"/>
    <x v="3"/>
    <m/>
    <m/>
    <m/>
    <s v="no"/>
    <m/>
    <m/>
    <x v="1"/>
    <m/>
    <x v="0"/>
    <x v="0"/>
    <s v=""/>
    <s v=""/>
    <s v=""/>
    <s v=""/>
  </r>
  <r>
    <x v="15"/>
    <d v="2026-06-18T11:31:24"/>
    <x v="0"/>
    <n v="66590146"/>
    <n v="366066750000"/>
    <s v="C03308420"/>
    <s v="Fijo"/>
    <x v="0"/>
    <x v="1"/>
    <m/>
    <m/>
    <m/>
    <s v="no"/>
    <m/>
    <m/>
    <x v="1"/>
    <m/>
    <x v="0"/>
    <x v="0"/>
    <s v=""/>
    <s v=""/>
    <s v=""/>
    <s v=""/>
  </r>
  <r>
    <x v="15"/>
    <d v="2026-06-18T11:41:11"/>
    <x v="0"/>
    <n v="63229104"/>
    <n v="361066560000"/>
    <s v="6-724-1142"/>
    <s v="Fijo"/>
    <x v="0"/>
    <x v="7"/>
    <m/>
    <m/>
    <m/>
    <s v="no"/>
    <m/>
    <m/>
    <x v="1"/>
    <m/>
    <x v="0"/>
    <x v="0"/>
    <s v=""/>
    <s v=""/>
    <s v=""/>
    <s v=""/>
  </r>
  <r>
    <x v="15"/>
    <d v="2026-06-18T11:50:26"/>
    <x v="0"/>
    <n v="62291095"/>
    <n v="352375880000"/>
    <s v="6-53-2612"/>
    <s v="Fijo"/>
    <x v="0"/>
    <x v="1"/>
    <m/>
    <m/>
    <m/>
    <s v="no"/>
    <m/>
    <m/>
    <x v="1"/>
    <s v="No brinda fecha se molesta por la llamada."/>
    <x v="0"/>
    <x v="0"/>
    <s v=""/>
    <s v=""/>
    <s v=""/>
    <s v=""/>
  </r>
  <r>
    <x v="15"/>
    <d v="2026-06-18T11:57:18"/>
    <x v="0"/>
    <n v="67726718"/>
    <n v="341460570000"/>
    <s v="8-976-1391"/>
    <s v="Fijo"/>
    <x v="0"/>
    <x v="6"/>
    <m/>
    <m/>
    <m/>
    <s v="no"/>
    <m/>
    <m/>
    <x v="1"/>
    <m/>
    <x v="0"/>
    <x v="0"/>
    <s v=""/>
    <s v=""/>
    <s v=""/>
    <s v=""/>
  </r>
  <r>
    <x v="15"/>
    <d v="2026-06-18T12:03:10"/>
    <x v="0"/>
    <n v="63401790"/>
    <n v="368064300000"/>
    <s v="8-856-781"/>
    <s v="Fijo"/>
    <x v="0"/>
    <x v="2"/>
    <m/>
    <m/>
    <m/>
    <s v="no"/>
    <m/>
    <m/>
    <x v="1"/>
    <m/>
    <x v="0"/>
    <x v="0"/>
    <s v=""/>
    <s v=""/>
    <s v=""/>
    <s v=""/>
  </r>
  <r>
    <x v="15"/>
    <d v="2026-06-18T12:13:02"/>
    <x v="0"/>
    <n v="69713828"/>
    <n v="348078040000"/>
    <s v="8-933-2242"/>
    <s v="Fijo"/>
    <x v="0"/>
    <x v="1"/>
    <m/>
    <d v="2026-06-28T00:00:00"/>
    <n v="30.99"/>
    <s v="no"/>
    <m/>
    <m/>
    <x v="1"/>
    <m/>
    <x v="0"/>
    <x v="1"/>
    <s v=""/>
    <s v="28/jun"/>
    <n v="1"/>
    <s v=""/>
  </r>
  <r>
    <x v="15"/>
    <d v="2026-06-18T12:20:41"/>
    <x v="0"/>
    <n v="63029791"/>
    <n v="365067300000"/>
    <s v="8-742-2469"/>
    <s v="Fijo"/>
    <x v="0"/>
    <x v="2"/>
    <m/>
    <m/>
    <m/>
    <s v="no"/>
    <m/>
    <m/>
    <x v="2"/>
    <m/>
    <x v="0"/>
    <x v="0"/>
    <s v=""/>
    <s v=""/>
    <s v=""/>
    <s v=""/>
  </r>
  <r>
    <x v="15"/>
    <d v="2026-06-18T12:28:43"/>
    <x v="0"/>
    <n v="61212367"/>
    <n v="201028130000"/>
    <s v="7-705-232"/>
    <s v="Fijo"/>
    <x v="0"/>
    <x v="1"/>
    <m/>
    <m/>
    <m/>
    <s v="no"/>
    <m/>
    <m/>
    <x v="1"/>
    <s v="No brinda fecha."/>
    <x v="0"/>
    <x v="0"/>
    <s v=""/>
    <s v=""/>
    <s v=""/>
    <s v=""/>
  </r>
  <r>
    <x v="15"/>
    <d v="2026-06-18T12:33:30"/>
    <x v="0"/>
    <n v="67468353"/>
    <n v="362064150000"/>
    <s v="8-228-836"/>
    <s v="Fijo"/>
    <x v="0"/>
    <x v="0"/>
    <m/>
    <m/>
    <m/>
    <s v="no"/>
    <m/>
    <m/>
    <x v="1"/>
    <m/>
    <x v="0"/>
    <x v="0"/>
    <s v=""/>
    <s v=""/>
    <s v=""/>
    <s v=""/>
  </r>
  <r>
    <x v="15"/>
    <d v="2026-06-18T12:41:25"/>
    <x v="0"/>
    <n v="65987562"/>
    <n v="361067500000"/>
    <s v="8-1030-2305"/>
    <s v="Fijo"/>
    <x v="1"/>
    <x v="2"/>
    <m/>
    <m/>
    <m/>
    <s v="no"/>
    <m/>
    <m/>
    <x v="0"/>
    <m/>
    <x v="0"/>
    <x v="0"/>
    <s v=""/>
    <s v=""/>
    <s v=""/>
    <s v=""/>
  </r>
  <r>
    <x v="15"/>
    <d v="2026-06-18T12:45:38"/>
    <x v="0"/>
    <n v="67209412"/>
    <n v="351328870000"/>
    <s v="8-989-1991"/>
    <s v="Fijo"/>
    <x v="0"/>
    <x v="2"/>
    <m/>
    <m/>
    <m/>
    <s v="no"/>
    <m/>
    <m/>
    <x v="0"/>
    <m/>
    <x v="0"/>
    <x v="0"/>
    <s v=""/>
    <s v=""/>
    <s v=""/>
    <s v=""/>
  </r>
  <r>
    <x v="15"/>
    <d v="2026-06-18T12:53:04"/>
    <x v="0"/>
    <n v="67171391"/>
    <n v="366066350000"/>
    <s v="8-870-1017"/>
    <s v="Fijo"/>
    <x v="0"/>
    <x v="2"/>
    <m/>
    <m/>
    <m/>
    <s v="no"/>
    <m/>
    <m/>
    <x v="1"/>
    <m/>
    <x v="0"/>
    <x v="0"/>
    <s v=""/>
    <s v=""/>
    <s v=""/>
    <s v=""/>
  </r>
  <r>
    <x v="15"/>
    <d v="2026-06-18T12:58:38"/>
    <x v="0"/>
    <n v="63979215"/>
    <n v="368063180000"/>
    <s v="8-732-790"/>
    <s v="Fijo"/>
    <x v="6"/>
    <x v="2"/>
    <m/>
    <m/>
    <m/>
    <s v="no"/>
    <m/>
    <m/>
    <x v="1"/>
    <m/>
    <x v="0"/>
    <x v="0"/>
    <s v=""/>
    <s v=""/>
    <s v=""/>
    <s v=""/>
  </r>
  <r>
    <x v="15"/>
    <d v="2026-06-18T13:02:27"/>
    <x v="0"/>
    <n v="67595582"/>
    <n v="367060150000"/>
    <s v="8-930-157"/>
    <s v="Fijo"/>
    <x v="2"/>
    <x v="6"/>
    <m/>
    <m/>
    <m/>
    <s v="no"/>
    <m/>
    <m/>
    <x v="1"/>
    <m/>
    <x v="0"/>
    <x v="0"/>
    <s v=""/>
    <s v=""/>
    <s v=""/>
    <s v=""/>
  </r>
  <r>
    <x v="15"/>
    <d v="2026-06-18T13:13:41"/>
    <x v="0"/>
    <n v="60991112"/>
    <n v="361066190000"/>
    <s v="5-716-1077"/>
    <s v="Fijo"/>
    <x v="3"/>
    <x v="1"/>
    <m/>
    <d v="2026-06-27T00:00:00"/>
    <n v="25.25"/>
    <s v="no"/>
    <m/>
    <m/>
    <x v="2"/>
    <m/>
    <x v="0"/>
    <x v="1"/>
    <s v=""/>
    <s v="27/jun"/>
    <n v="1"/>
    <s v=""/>
  </r>
  <r>
    <x v="15"/>
    <d v="2026-06-18T14:26:16"/>
    <x v="0"/>
    <n v="66446106"/>
    <n v="363064310000"/>
    <s v="8-830-33"/>
    <s v="Fijo"/>
    <x v="4"/>
    <x v="2"/>
    <m/>
    <m/>
    <m/>
    <s v="no"/>
    <m/>
    <m/>
    <x v="1"/>
    <m/>
    <x v="0"/>
    <x v="0"/>
    <s v=""/>
    <s v=""/>
    <s v=""/>
    <s v=""/>
  </r>
  <r>
    <x v="15"/>
    <d v="2026-06-18T14:30:37"/>
    <x v="0"/>
    <n v="68941600"/>
    <n v="369067060000"/>
    <s v="3-753-131"/>
    <s v="Fijo"/>
    <x v="4"/>
    <x v="2"/>
    <m/>
    <m/>
    <m/>
    <s v="no"/>
    <m/>
    <m/>
    <x v="1"/>
    <m/>
    <x v="0"/>
    <x v="0"/>
    <s v=""/>
    <s v=""/>
    <s v=""/>
    <s v=""/>
  </r>
  <r>
    <x v="15"/>
    <d v="2026-06-18T14:38:45"/>
    <x v="0"/>
    <n v="60408992"/>
    <n v="367055440000"/>
    <s v="8-863-612"/>
    <s v="Fijo"/>
    <x v="3"/>
    <x v="2"/>
    <m/>
    <m/>
    <m/>
    <s v="no"/>
    <m/>
    <m/>
    <x v="1"/>
    <m/>
    <x v="0"/>
    <x v="0"/>
    <s v=""/>
    <s v=""/>
    <s v=""/>
    <s v=""/>
  </r>
  <r>
    <x v="15"/>
    <d v="2026-06-18T14:44:40"/>
    <x v="0"/>
    <n v="67890453"/>
    <n v="362066790000"/>
    <s v="2-98-659"/>
    <s v="Fijo"/>
    <x v="0"/>
    <x v="2"/>
    <m/>
    <m/>
    <m/>
    <s v="no"/>
    <m/>
    <m/>
    <x v="1"/>
    <m/>
    <x v="0"/>
    <x v="0"/>
    <s v=""/>
    <s v=""/>
    <s v=""/>
    <s v=""/>
  </r>
  <r>
    <x v="15"/>
    <d v="2026-06-18T14:50:32"/>
    <x v="0"/>
    <n v="68905432"/>
    <n v="367063870000"/>
    <s v="8-1047-1296"/>
    <s v="Fijo"/>
    <x v="0"/>
    <x v="2"/>
    <m/>
    <m/>
    <m/>
    <s v="no"/>
    <m/>
    <m/>
    <x v="1"/>
    <m/>
    <x v="0"/>
    <x v="0"/>
    <s v=""/>
    <s v=""/>
    <s v=""/>
    <s v=""/>
  </r>
  <r>
    <x v="15"/>
    <d v="2026-06-18T14:56:32"/>
    <x v="0"/>
    <n v="66184399"/>
    <n v="369066730000"/>
    <s v="8-82-565"/>
    <s v="Fijo"/>
    <x v="0"/>
    <x v="0"/>
    <m/>
    <m/>
    <m/>
    <s v="no"/>
    <m/>
    <m/>
    <x v="1"/>
    <m/>
    <x v="0"/>
    <x v="0"/>
    <s v=""/>
    <s v=""/>
    <s v=""/>
    <s v=""/>
  </r>
  <r>
    <x v="15"/>
    <d v="2026-06-18T15:06:46"/>
    <x v="0"/>
    <n v="63204227"/>
    <n v="365066500000"/>
    <s v="8-900-1419"/>
    <s v="Fijo"/>
    <x v="0"/>
    <x v="1"/>
    <m/>
    <d v="2026-06-27T00:00:00"/>
    <n v="35.74"/>
    <s v="no"/>
    <m/>
    <m/>
    <x v="2"/>
    <m/>
    <x v="0"/>
    <x v="1"/>
    <s v=""/>
    <s v="27/jun"/>
    <n v="1"/>
    <s v=""/>
  </r>
  <r>
    <x v="15"/>
    <d v="2026-06-18T15:11:05"/>
    <x v="0"/>
    <n v="67290812"/>
    <n v="369067270000"/>
    <s v="9-147-153"/>
    <s v="Fijo"/>
    <x v="0"/>
    <x v="7"/>
    <m/>
    <m/>
    <m/>
    <s v="no"/>
    <m/>
    <m/>
    <x v="1"/>
    <m/>
    <x v="0"/>
    <x v="0"/>
    <s v=""/>
    <s v=""/>
    <s v=""/>
    <s v=""/>
  </r>
  <r>
    <x v="15"/>
    <d v="2026-06-18T15:15:51"/>
    <x v="0"/>
    <n v="67068037"/>
    <s v="5-711-804"/>
    <s v="5-711-804"/>
    <s v="Fijo"/>
    <x v="0"/>
    <x v="2"/>
    <m/>
    <m/>
    <m/>
    <s v="no"/>
    <m/>
    <m/>
    <x v="1"/>
    <m/>
    <x v="0"/>
    <x v="0"/>
    <s v=""/>
    <s v=""/>
    <s v=""/>
    <s v=""/>
  </r>
  <r>
    <x v="15"/>
    <d v="2026-06-18T15:19:52"/>
    <x v="0"/>
    <n v="61081810"/>
    <n v="252007260000"/>
    <s v="4-771-1013"/>
    <s v="Fijo"/>
    <x v="0"/>
    <x v="7"/>
    <m/>
    <m/>
    <m/>
    <s v="no"/>
    <m/>
    <m/>
    <x v="1"/>
    <m/>
    <x v="0"/>
    <x v="0"/>
    <s v=""/>
    <s v=""/>
    <s v=""/>
    <s v=""/>
  </r>
  <r>
    <x v="15"/>
    <d v="2026-06-18T15:34:26"/>
    <x v="0"/>
    <n v="67396335"/>
    <n v="368067450000"/>
    <s v="4-773-2021"/>
    <s v="Fijo"/>
    <x v="0"/>
    <x v="2"/>
    <m/>
    <m/>
    <m/>
    <s v="no"/>
    <m/>
    <m/>
    <x v="1"/>
    <m/>
    <x v="0"/>
    <x v="0"/>
    <s v=""/>
    <s v=""/>
    <s v=""/>
    <s v=""/>
  </r>
  <r>
    <x v="15"/>
    <d v="2026-06-18T15:38:10"/>
    <x v="0"/>
    <n v="67596883"/>
    <n v="362066510000"/>
    <s v="4-810-363"/>
    <s v="Fijo"/>
    <x v="0"/>
    <x v="2"/>
    <m/>
    <m/>
    <m/>
    <s v="no"/>
    <m/>
    <m/>
    <x v="1"/>
    <m/>
    <x v="0"/>
    <x v="0"/>
    <s v=""/>
    <s v=""/>
    <s v=""/>
    <s v=""/>
  </r>
  <r>
    <x v="15"/>
    <d v="2026-06-18T15:42:39"/>
    <x v="0"/>
    <n v="69848852"/>
    <n v="363065880000"/>
    <s v="7-711-2478"/>
    <s v="Fijo"/>
    <x v="0"/>
    <x v="1"/>
    <m/>
    <m/>
    <m/>
    <s v="no"/>
    <m/>
    <m/>
    <x v="1"/>
    <m/>
    <x v="0"/>
    <x v="0"/>
    <s v=""/>
    <s v=""/>
    <s v=""/>
    <s v=""/>
  </r>
  <r>
    <x v="15"/>
    <d v="2026-06-18T15:50:56"/>
    <x v="0"/>
    <n v="68744750"/>
    <n v="362066080000"/>
    <s v="2-730-1958"/>
    <s v="Fijo"/>
    <x v="0"/>
    <x v="3"/>
    <m/>
    <m/>
    <m/>
    <s v="no"/>
    <m/>
    <m/>
    <x v="1"/>
    <m/>
    <x v="0"/>
    <x v="0"/>
    <s v=""/>
    <s v=""/>
    <s v=""/>
    <s v=""/>
  </r>
  <r>
    <x v="15"/>
    <d v="2026-06-18T15:59:02"/>
    <x v="0"/>
    <n v="69480601"/>
    <n v="369060830000"/>
    <s v="9-726-195"/>
    <s v="Fijo"/>
    <x v="0"/>
    <x v="3"/>
    <m/>
    <m/>
    <m/>
    <s v="no"/>
    <m/>
    <m/>
    <x v="1"/>
    <m/>
    <x v="0"/>
    <x v="0"/>
    <s v=""/>
    <s v=""/>
    <s v=""/>
    <s v=""/>
  </r>
  <r>
    <x v="15"/>
    <d v="2026-06-18T16:16:44"/>
    <x v="0"/>
    <n v="63062775"/>
    <n v="366065270000"/>
    <s v="8-843-2347"/>
    <s v="Fijo"/>
    <x v="0"/>
    <x v="0"/>
    <m/>
    <m/>
    <m/>
    <s v="no"/>
    <m/>
    <m/>
    <x v="1"/>
    <m/>
    <x v="0"/>
    <x v="0"/>
    <s v=""/>
    <s v=""/>
    <s v=""/>
    <s v=""/>
  </r>
  <r>
    <x v="15"/>
    <d v="2026-06-18T16:22:12"/>
    <x v="0"/>
    <n v="69891497"/>
    <n v="369067320000"/>
    <s v="4-730-265"/>
    <s v="Fijo"/>
    <x v="0"/>
    <x v="0"/>
    <m/>
    <m/>
    <m/>
    <s v="no"/>
    <m/>
    <m/>
    <x v="1"/>
    <m/>
    <x v="0"/>
    <x v="0"/>
    <s v=""/>
    <s v=""/>
    <s v=""/>
    <s v=""/>
  </r>
  <r>
    <x v="15"/>
    <d v="2026-06-18T16:30:50"/>
    <x v="0"/>
    <n v="69571449"/>
    <n v="364068650000"/>
    <s v="8-526-153"/>
    <s v="Fijo"/>
    <x v="0"/>
    <x v="1"/>
    <m/>
    <d v="2026-06-30T00:00:00"/>
    <n v="30.44"/>
    <s v="no"/>
    <m/>
    <m/>
    <x v="1"/>
    <m/>
    <x v="0"/>
    <x v="1"/>
    <s v=""/>
    <s v="30/jun"/>
    <n v="1"/>
    <s v=""/>
  </r>
  <r>
    <x v="15"/>
    <d v="2026-06-18T16:37:19"/>
    <x v="0"/>
    <n v="66318264"/>
    <n v="362068810000"/>
    <s v="6-729-299"/>
    <s v="Fijo"/>
    <x v="0"/>
    <x v="2"/>
    <m/>
    <m/>
    <m/>
    <s v="no"/>
    <m/>
    <m/>
    <x v="1"/>
    <m/>
    <x v="0"/>
    <x v="0"/>
    <s v=""/>
    <s v=""/>
    <s v=""/>
    <s v=""/>
  </r>
  <r>
    <x v="15"/>
    <d v="2026-06-18T16:44:13"/>
    <x v="0"/>
    <n v="65924574"/>
    <n v="362067450000"/>
    <s v="8-722-1936"/>
    <s v="Fijo"/>
    <x v="0"/>
    <x v="2"/>
    <m/>
    <m/>
    <m/>
    <s v="no"/>
    <m/>
    <m/>
    <x v="0"/>
    <m/>
    <x v="0"/>
    <x v="0"/>
    <s v=""/>
    <s v=""/>
    <s v=""/>
    <s v=""/>
  </r>
  <r>
    <x v="15"/>
    <d v="2026-06-18T16:53:10"/>
    <x v="0"/>
    <n v="68959069"/>
    <n v="367067290000"/>
    <s v="4-771-883"/>
    <s v="Fijo"/>
    <x v="0"/>
    <x v="1"/>
    <m/>
    <d v="2026-06-30T00:00:00"/>
    <n v="30.44"/>
    <s v="no"/>
    <m/>
    <m/>
    <x v="1"/>
    <m/>
    <x v="0"/>
    <x v="1"/>
    <s v=""/>
    <s v="30/jun"/>
    <n v="1"/>
    <s v=""/>
  </r>
  <r>
    <x v="15"/>
    <d v="2026-06-18T16:57:43"/>
    <x v="0"/>
    <n v="67647765"/>
    <n v="367065650000"/>
    <s v="8-875-639"/>
    <s v="Fijo"/>
    <x v="4"/>
    <x v="6"/>
    <m/>
    <m/>
    <m/>
    <s v="no"/>
    <m/>
    <m/>
    <x v="1"/>
    <m/>
    <x v="0"/>
    <x v="0"/>
    <s v=""/>
    <s v=""/>
    <s v=""/>
    <s v=""/>
  </r>
  <r>
    <x v="15"/>
    <d v="2026-06-18T17:04:08"/>
    <x v="0"/>
    <n v="68069534"/>
    <n v="367068930000"/>
    <s v="5-702-1277"/>
    <s v="Fijo"/>
    <x v="0"/>
    <x v="1"/>
    <m/>
    <d v="2026-06-27T00:00:00"/>
    <n v="30.44"/>
    <s v="si"/>
    <m/>
    <m/>
    <x v="1"/>
    <m/>
    <x v="0"/>
    <x v="1"/>
    <s v=""/>
    <s v="27/jun"/>
    <n v="1"/>
    <s v=""/>
  </r>
  <r>
    <x v="15"/>
    <d v="2026-06-18T17:13:37"/>
    <x v="0"/>
    <n v="63004038"/>
    <n v="368072120000"/>
    <s v="BG343998"/>
    <s v="Fijo"/>
    <x v="3"/>
    <x v="1"/>
    <m/>
    <d v="2026-06-20T00:00:00"/>
    <n v="37.520000000000003"/>
    <s v="no"/>
    <m/>
    <m/>
    <x v="1"/>
    <m/>
    <x v="0"/>
    <x v="1"/>
    <s v=""/>
    <s v="20/jun"/>
    <n v="1"/>
    <s v=""/>
  </r>
  <r>
    <x v="15"/>
    <d v="2026-06-18T17:19:15"/>
    <x v="0"/>
    <n v="67938725"/>
    <n v="369050710000"/>
    <s v="1-742-2275"/>
    <s v="Fijo"/>
    <x v="0"/>
    <x v="1"/>
    <m/>
    <m/>
    <m/>
    <s v="no"/>
    <m/>
    <m/>
    <x v="2"/>
    <s v="No brinda fecha de pago."/>
    <x v="0"/>
    <x v="0"/>
    <s v=""/>
    <s v=""/>
    <s v=""/>
    <s v=""/>
  </r>
  <r>
    <x v="15"/>
    <d v="2026-06-18T17:24:59"/>
    <x v="0"/>
    <n v="63684257"/>
    <n v="368052640000"/>
    <s v="4-843-1631"/>
    <s v="Fijo"/>
    <x v="0"/>
    <x v="5"/>
    <m/>
    <m/>
    <m/>
    <s v="si"/>
    <d v="2026-06-18T00:00:00"/>
    <n v="20.5"/>
    <x v="1"/>
    <m/>
    <x v="2"/>
    <x v="0"/>
    <s v="18/jun"/>
    <s v=""/>
    <s v=""/>
    <n v="1"/>
  </r>
  <r>
    <x v="15"/>
    <d v="2026-06-18T17:31:03"/>
    <x v="0"/>
    <n v="66547016"/>
    <n v="361052130000"/>
    <s v="8-796-2368"/>
    <s v="Fijo"/>
    <x v="0"/>
    <x v="5"/>
    <m/>
    <m/>
    <m/>
    <s v="si"/>
    <d v="2026-06-17T00:00:00"/>
    <n v="34.700000000000003"/>
    <x v="1"/>
    <m/>
    <x v="2"/>
    <x v="0"/>
    <s v="17/jun"/>
    <s v=""/>
    <s v=""/>
    <n v="1"/>
  </r>
  <r>
    <x v="15"/>
    <d v="2026-06-18T17:36:50"/>
    <x v="0"/>
    <n v="67034290"/>
    <n v="367054210000"/>
    <s v="10-702-2411"/>
    <s v="Fijo"/>
    <x v="4"/>
    <x v="3"/>
    <m/>
    <m/>
    <m/>
    <s v="no"/>
    <m/>
    <m/>
    <x v="1"/>
    <m/>
    <x v="0"/>
    <x v="0"/>
    <s v=""/>
    <s v=""/>
    <s v=""/>
    <s v=""/>
  </r>
  <r>
    <x v="15"/>
    <d v="2026-06-18T17:44:34"/>
    <x v="0"/>
    <n v="67511407"/>
    <n v="369052910000"/>
    <s v="8-915-726"/>
    <s v="Fijo"/>
    <x v="0"/>
    <x v="2"/>
    <m/>
    <m/>
    <m/>
    <s v="no"/>
    <m/>
    <m/>
    <x v="2"/>
    <m/>
    <x v="0"/>
    <x v="0"/>
    <s v=""/>
    <s v=""/>
    <s v=""/>
    <s v=""/>
  </r>
  <r>
    <x v="15"/>
    <d v="2026-06-18T17:48:57"/>
    <x v="0"/>
    <n v="66819667"/>
    <n v="366021350000"/>
    <s v="4-763-1330"/>
    <s v="Fijo"/>
    <x v="4"/>
    <x v="5"/>
    <m/>
    <m/>
    <m/>
    <s v="si"/>
    <d v="2026-06-17T00:00:00"/>
    <n v="25.88"/>
    <x v="2"/>
    <m/>
    <x v="2"/>
    <x v="0"/>
    <s v="17/jun"/>
    <s v=""/>
    <s v=""/>
    <n v="1"/>
  </r>
  <r>
    <x v="15"/>
    <d v="2026-06-18T17:53:20"/>
    <x v="0"/>
    <n v="62235574"/>
    <n v="367054370000"/>
    <s v="8-1017-2478"/>
    <s v="Fijo"/>
    <x v="0"/>
    <x v="5"/>
    <m/>
    <m/>
    <m/>
    <s v="si"/>
    <d v="2026-06-17T00:00:00"/>
    <n v="35.86"/>
    <x v="2"/>
    <m/>
    <x v="2"/>
    <x v="0"/>
    <s v="17/jun"/>
    <s v=""/>
    <s v=""/>
    <n v="1"/>
  </r>
  <r>
    <x v="15"/>
    <d v="2026-06-18T17:59:01"/>
    <x v="0"/>
    <n v="65723109"/>
    <n v="366065930000"/>
    <s v="9-706-1572"/>
    <s v="Fijo"/>
    <x v="0"/>
    <x v="2"/>
    <m/>
    <m/>
    <m/>
    <s v="no"/>
    <m/>
    <m/>
    <x v="0"/>
    <m/>
    <x v="0"/>
    <x v="0"/>
    <s v=""/>
    <s v=""/>
    <s v=""/>
    <s v=""/>
  </r>
  <r>
    <x v="15"/>
    <d v="2026-06-18T18:06:47"/>
    <x v="0"/>
    <n v="65402712"/>
    <n v="363063950000"/>
    <s v="8-1056-558"/>
    <s v="Fijo"/>
    <x v="0"/>
    <x v="3"/>
    <m/>
    <d v="2026-06-19T00:00:00"/>
    <n v="17.98"/>
    <s v="no"/>
    <m/>
    <m/>
    <x v="1"/>
    <m/>
    <x v="0"/>
    <x v="1"/>
    <s v=""/>
    <s v="19/jun"/>
    <n v="1"/>
    <s v=""/>
  </r>
  <r>
    <x v="15"/>
    <d v="2026-06-18T18:10:29"/>
    <x v="0"/>
    <n v="68657174"/>
    <n v="363068970000"/>
    <s v="C03684493"/>
    <s v="Fijo"/>
    <x v="0"/>
    <x v="0"/>
    <m/>
    <m/>
    <m/>
    <s v="no"/>
    <m/>
    <m/>
    <x v="1"/>
    <m/>
    <x v="0"/>
    <x v="0"/>
    <s v=""/>
    <s v=""/>
    <s v=""/>
    <s v=""/>
  </r>
  <r>
    <x v="15"/>
    <d v="2026-06-18T18:12:37"/>
    <x v="0"/>
    <n v="62453254"/>
    <n v="363066190000"/>
    <s v="8-878-3254"/>
    <s v="Fijo"/>
    <x v="0"/>
    <x v="2"/>
    <m/>
    <m/>
    <m/>
    <s v="no"/>
    <m/>
    <m/>
    <x v="1"/>
    <m/>
    <x v="0"/>
    <x v="0"/>
    <s v=""/>
    <s v=""/>
    <s v=""/>
    <s v=""/>
  </r>
  <r>
    <x v="15"/>
    <d v="2026-06-18T18:14:51"/>
    <x v="0"/>
    <n v="65693719"/>
    <n v="369064280000"/>
    <s v="9-756-1691"/>
    <s v="Fijo"/>
    <x v="0"/>
    <x v="1"/>
    <m/>
    <d v="2026-06-25T00:00:00"/>
    <n v="30.44"/>
    <s v="no"/>
    <m/>
    <m/>
    <x v="1"/>
    <m/>
    <x v="0"/>
    <x v="1"/>
    <s v=""/>
    <s v="25/jun"/>
    <n v="1"/>
    <s v=""/>
  </r>
  <r>
    <x v="16"/>
    <d v="2026-06-19T09:25:26"/>
    <x v="0"/>
    <n v="69717225"/>
    <n v="362069500000"/>
    <s v="10-700-7"/>
    <s v="Fijo"/>
    <x v="0"/>
    <x v="3"/>
    <m/>
    <m/>
    <m/>
    <s v="no"/>
    <m/>
    <m/>
    <x v="1"/>
    <m/>
    <x v="0"/>
    <x v="0"/>
    <s v=""/>
    <s v=""/>
    <s v=""/>
    <s v=""/>
  </r>
  <r>
    <x v="16"/>
    <d v="2026-06-19T09:33:22"/>
    <x v="0"/>
    <n v="66307348"/>
    <n v="363027740000"/>
    <s v="8-475-827"/>
    <s v="Fijo"/>
    <x v="0"/>
    <x v="2"/>
    <m/>
    <m/>
    <m/>
    <s v="no"/>
    <m/>
    <m/>
    <x v="0"/>
    <m/>
    <x v="0"/>
    <x v="0"/>
    <s v=""/>
    <s v=""/>
    <s v=""/>
    <s v=""/>
  </r>
  <r>
    <x v="16"/>
    <d v="2026-06-19T09:37:59"/>
    <x v="0"/>
    <n v="62348900"/>
    <n v="365070150000"/>
    <s v="8-745-649"/>
    <s v="Fijo"/>
    <x v="0"/>
    <x v="2"/>
    <m/>
    <m/>
    <m/>
    <s v="no"/>
    <m/>
    <m/>
    <x v="1"/>
    <m/>
    <x v="0"/>
    <x v="0"/>
    <s v=""/>
    <s v=""/>
    <s v=""/>
    <s v=""/>
  </r>
  <r>
    <x v="16"/>
    <d v="2026-06-19T09:51:55"/>
    <x v="0"/>
    <n v="66578945"/>
    <n v="363069600000"/>
    <s v="8-762-2180"/>
    <s v="Fijo"/>
    <x v="0"/>
    <x v="2"/>
    <m/>
    <m/>
    <m/>
    <s v="no"/>
    <m/>
    <m/>
    <x v="0"/>
    <m/>
    <x v="0"/>
    <x v="0"/>
    <s v=""/>
    <s v=""/>
    <s v=""/>
    <s v=""/>
  </r>
  <r>
    <x v="16"/>
    <d v="2026-06-19T09:56:11"/>
    <x v="0"/>
    <n v="64745635"/>
    <n v="363068220000"/>
    <s v="8-874-92"/>
    <s v="Fijo"/>
    <x v="0"/>
    <x v="3"/>
    <m/>
    <m/>
    <m/>
    <s v="no"/>
    <m/>
    <m/>
    <x v="0"/>
    <m/>
    <x v="0"/>
    <x v="0"/>
    <s v=""/>
    <s v=""/>
    <s v=""/>
    <s v=""/>
  </r>
  <r>
    <x v="16"/>
    <d v="2026-06-19T10:05:30"/>
    <x v="0"/>
    <n v="64499358"/>
    <n v="365064160000"/>
    <s v="8-715-1013"/>
    <s v="Fijo"/>
    <x v="0"/>
    <x v="1"/>
    <m/>
    <m/>
    <m/>
    <s v="no"/>
    <m/>
    <m/>
    <x v="1"/>
    <s v="No brinda fecha."/>
    <x v="0"/>
    <x v="0"/>
    <s v=""/>
    <s v=""/>
    <s v=""/>
    <s v=""/>
  </r>
  <r>
    <x v="16"/>
    <d v="2026-06-19T10:12:20"/>
    <x v="0"/>
    <n v="65025308"/>
    <n v="343348000000"/>
    <s v="8-934-836"/>
    <s v="Fijo"/>
    <x v="0"/>
    <x v="0"/>
    <m/>
    <m/>
    <m/>
    <s v="no"/>
    <m/>
    <m/>
    <x v="1"/>
    <m/>
    <x v="0"/>
    <x v="0"/>
    <s v=""/>
    <s v=""/>
    <s v=""/>
    <s v=""/>
  </r>
  <r>
    <x v="16"/>
    <d v="2026-06-19T10:18:48"/>
    <x v="0"/>
    <n v="66152591"/>
    <n v="363067410000"/>
    <s v="8-852-1687"/>
    <s v="Fijo"/>
    <x v="0"/>
    <x v="6"/>
    <m/>
    <m/>
    <m/>
    <s v="no"/>
    <m/>
    <m/>
    <x v="0"/>
    <m/>
    <x v="0"/>
    <x v="0"/>
    <s v=""/>
    <s v=""/>
    <s v=""/>
    <s v=""/>
  </r>
  <r>
    <x v="16"/>
    <d v="2026-06-19T10:24:11"/>
    <x v="0"/>
    <n v="69387161"/>
    <n v="362068840000"/>
    <s v="9-123-172"/>
    <s v="Fijo"/>
    <x v="0"/>
    <x v="2"/>
    <m/>
    <m/>
    <m/>
    <s v="no"/>
    <m/>
    <m/>
    <x v="1"/>
    <m/>
    <x v="0"/>
    <x v="0"/>
    <s v=""/>
    <s v=""/>
    <s v=""/>
    <s v=""/>
  </r>
  <r>
    <x v="16"/>
    <d v="2026-06-19T10:30:40"/>
    <x v="0"/>
    <n v="65135172"/>
    <n v="368067300000"/>
    <s v="8-467-761"/>
    <s v="Fijo"/>
    <x v="0"/>
    <x v="3"/>
    <m/>
    <d v="2026-06-20T00:00:00"/>
    <n v="68.55"/>
    <s v="no"/>
    <m/>
    <m/>
    <x v="1"/>
    <m/>
    <x v="0"/>
    <x v="1"/>
    <s v=""/>
    <s v="20/jun"/>
    <n v="1"/>
    <s v=""/>
  </r>
  <r>
    <x v="16"/>
    <d v="2026-06-19T10:36:45"/>
    <x v="0"/>
    <n v="66806903"/>
    <n v="368068710000"/>
    <s v="8-915-477"/>
    <s v="Fijo"/>
    <x v="0"/>
    <x v="3"/>
    <m/>
    <m/>
    <m/>
    <s v="no"/>
    <m/>
    <m/>
    <x v="1"/>
    <m/>
    <x v="0"/>
    <x v="0"/>
    <s v=""/>
    <s v=""/>
    <s v=""/>
    <s v=""/>
  </r>
  <r>
    <x v="16"/>
    <d v="2026-06-19T10:44:33"/>
    <x v="0"/>
    <n v="69201936"/>
    <n v="363068570000"/>
    <s v="2-126-95"/>
    <s v="Fijo"/>
    <x v="6"/>
    <x v="1"/>
    <m/>
    <d v="2026-06-28T00:00:00"/>
    <n v="30.53"/>
    <s v="no"/>
    <m/>
    <m/>
    <x v="1"/>
    <m/>
    <x v="0"/>
    <x v="1"/>
    <s v=""/>
    <s v="28/jun"/>
    <n v="1"/>
    <s v=""/>
  </r>
  <r>
    <x v="16"/>
    <d v="2026-06-19T10:54:36"/>
    <x v="0"/>
    <n v="67920294"/>
    <n v="369067420000"/>
    <s v="AS267738"/>
    <s v="Fijo"/>
    <x v="2"/>
    <x v="7"/>
    <m/>
    <m/>
    <m/>
    <s v="no"/>
    <m/>
    <m/>
    <x v="1"/>
    <m/>
    <x v="0"/>
    <x v="0"/>
    <s v=""/>
    <s v=""/>
    <s v=""/>
    <s v=""/>
  </r>
  <r>
    <x v="16"/>
    <d v="2026-06-19T11:00:58"/>
    <x v="0"/>
    <n v="64863955"/>
    <n v="364048630000"/>
    <s v="8-941-849"/>
    <s v="Fijo"/>
    <x v="3"/>
    <x v="2"/>
    <m/>
    <m/>
    <m/>
    <s v="no"/>
    <m/>
    <m/>
    <x v="1"/>
    <m/>
    <x v="0"/>
    <x v="0"/>
    <s v=""/>
    <s v=""/>
    <s v=""/>
    <s v=""/>
  </r>
  <r>
    <x v="16"/>
    <d v="2026-06-19T11:08:05"/>
    <x v="0"/>
    <n v="65691347"/>
    <n v="803751990000"/>
    <s v="8-421-496"/>
    <s v="Fijo"/>
    <x v="3"/>
    <x v="9"/>
    <m/>
    <m/>
    <m/>
    <s v="no"/>
    <m/>
    <m/>
    <x v="1"/>
    <m/>
    <x v="0"/>
    <x v="0"/>
    <s v=""/>
    <s v=""/>
    <s v=""/>
    <s v=""/>
  </r>
  <r>
    <x v="16"/>
    <d v="2026-06-19T11:13:38"/>
    <x v="0"/>
    <n v="66989955"/>
    <n v="365066770000"/>
    <s v="9-217-508"/>
    <s v="Fijo"/>
    <x v="3"/>
    <x v="3"/>
    <m/>
    <m/>
    <m/>
    <s v="no"/>
    <m/>
    <m/>
    <x v="1"/>
    <m/>
    <x v="0"/>
    <x v="0"/>
    <s v=""/>
    <s v=""/>
    <s v=""/>
    <s v=""/>
  </r>
  <r>
    <x v="16"/>
    <d v="2026-06-19T11:20:07"/>
    <x v="0"/>
    <n v="69912701"/>
    <n v="276050450000"/>
    <s v="8-831-1068"/>
    <s v="Fijo"/>
    <x v="3"/>
    <x v="0"/>
    <m/>
    <m/>
    <m/>
    <s v="no"/>
    <m/>
    <m/>
    <x v="1"/>
    <m/>
    <x v="0"/>
    <x v="0"/>
    <s v=""/>
    <s v=""/>
    <s v=""/>
    <s v=""/>
  </r>
  <r>
    <x v="16"/>
    <d v="2026-06-19T11:26:15"/>
    <x v="0"/>
    <n v="65209719"/>
    <n v="354114390000"/>
    <s v="8-902-2041"/>
    <s v="Fijo"/>
    <x v="4"/>
    <x v="2"/>
    <m/>
    <m/>
    <m/>
    <s v="no"/>
    <m/>
    <m/>
    <x v="0"/>
    <m/>
    <x v="0"/>
    <x v="0"/>
    <s v=""/>
    <s v=""/>
    <s v=""/>
    <s v=""/>
  </r>
  <r>
    <x v="16"/>
    <d v="2026-06-19T11:29:40"/>
    <x v="0"/>
    <n v="61520827"/>
    <n v="803956250000"/>
    <s v="7-119-232"/>
    <s v="Fijo"/>
    <x v="4"/>
    <x v="6"/>
    <m/>
    <m/>
    <m/>
    <s v="no"/>
    <m/>
    <m/>
    <x v="0"/>
    <m/>
    <x v="0"/>
    <x v="0"/>
    <s v=""/>
    <s v=""/>
    <s v=""/>
    <s v=""/>
  </r>
  <r>
    <x v="16"/>
    <d v="2026-06-19T11:33:41"/>
    <x v="0"/>
    <n v="68166791"/>
    <n v="802879460000"/>
    <s v="8-244-379"/>
    <s v="Fijo"/>
    <x v="3"/>
    <x v="0"/>
    <m/>
    <m/>
    <m/>
    <s v="no"/>
    <m/>
    <m/>
    <x v="1"/>
    <m/>
    <x v="0"/>
    <x v="0"/>
    <s v=""/>
    <s v=""/>
    <s v=""/>
    <s v=""/>
  </r>
  <r>
    <x v="16"/>
    <d v="2026-06-19T11:37:41"/>
    <x v="0"/>
    <n v="68907654"/>
    <n v="367067900000"/>
    <s v="8-927-878"/>
    <s v="Fijo"/>
    <x v="0"/>
    <x v="2"/>
    <m/>
    <m/>
    <m/>
    <s v="no"/>
    <m/>
    <m/>
    <x v="1"/>
    <m/>
    <x v="0"/>
    <x v="0"/>
    <s v=""/>
    <s v=""/>
    <s v=""/>
    <s v=""/>
  </r>
  <r>
    <x v="16"/>
    <d v="2026-06-19T11:42:15"/>
    <x v="0"/>
    <n v="68905432"/>
    <n v="369066830000"/>
    <s v="8-850-2345"/>
    <s v="Fijo"/>
    <x v="0"/>
    <x v="2"/>
    <m/>
    <m/>
    <m/>
    <s v="no"/>
    <m/>
    <m/>
    <x v="1"/>
    <m/>
    <x v="0"/>
    <x v="0"/>
    <s v=""/>
    <s v=""/>
    <s v=""/>
    <s v=""/>
  </r>
  <r>
    <x v="16"/>
    <d v="2026-06-19T11:49:13"/>
    <x v="0"/>
    <n v="68373609"/>
    <n v="346067830000"/>
    <s v="1-718-829"/>
    <s v="Fijo"/>
    <x v="0"/>
    <x v="2"/>
    <m/>
    <m/>
    <m/>
    <s v="no"/>
    <m/>
    <m/>
    <x v="1"/>
    <m/>
    <x v="0"/>
    <x v="0"/>
    <s v=""/>
    <s v=""/>
    <s v=""/>
    <s v=""/>
  </r>
  <r>
    <x v="16"/>
    <d v="2026-06-19T11:53:11"/>
    <x v="0"/>
    <n v="68905432"/>
    <n v="365069040000"/>
    <s v="8-383-313"/>
    <s v="Fijo"/>
    <x v="0"/>
    <x v="5"/>
    <m/>
    <m/>
    <m/>
    <s v="si"/>
    <d v="2026-06-18T00:00:00"/>
    <n v="35.92"/>
    <x v="1"/>
    <m/>
    <x v="2"/>
    <x v="0"/>
    <s v="18/jun"/>
    <s v=""/>
    <s v=""/>
    <n v="1"/>
  </r>
  <r>
    <x v="16"/>
    <d v="2026-06-19T11:57:31"/>
    <x v="0"/>
    <n v="68905432"/>
    <n v="366069230000"/>
    <s v="8-1031-411"/>
    <s v="Fijo"/>
    <x v="0"/>
    <x v="2"/>
    <m/>
    <m/>
    <m/>
    <s v="no"/>
    <m/>
    <m/>
    <x v="1"/>
    <m/>
    <x v="0"/>
    <x v="0"/>
    <s v=""/>
    <s v=""/>
    <s v=""/>
    <s v=""/>
  </r>
  <r>
    <x v="16"/>
    <d v="2026-06-19T12:01:25"/>
    <x v="0"/>
    <n v="69108163"/>
    <n v="367068520000"/>
    <s v="8-708-262"/>
    <s v="Fijo"/>
    <x v="0"/>
    <x v="2"/>
    <m/>
    <m/>
    <m/>
    <s v="no"/>
    <m/>
    <m/>
    <x v="1"/>
    <m/>
    <x v="0"/>
    <x v="0"/>
    <s v=""/>
    <s v=""/>
    <s v=""/>
    <s v=""/>
  </r>
  <r>
    <x v="16"/>
    <d v="2026-06-19T12:06:31"/>
    <x v="0"/>
    <n v="67506115"/>
    <n v="361042790000"/>
    <s v="4-790-1519"/>
    <s v="Fijo"/>
    <x v="0"/>
    <x v="0"/>
    <m/>
    <m/>
    <m/>
    <s v="no"/>
    <m/>
    <m/>
    <x v="1"/>
    <m/>
    <x v="0"/>
    <x v="0"/>
    <s v=""/>
    <s v=""/>
    <s v=""/>
    <s v=""/>
  </r>
  <r>
    <x v="16"/>
    <d v="2026-06-19T12:13:59"/>
    <x v="0"/>
    <n v="61817534"/>
    <n v="369065640000"/>
    <s v="8-852-1070"/>
    <s v="Fijo"/>
    <x v="0"/>
    <x v="1"/>
    <m/>
    <d v="2026-06-28T00:00:00"/>
    <n v="33.46"/>
    <s v="no"/>
    <m/>
    <m/>
    <x v="1"/>
    <m/>
    <x v="0"/>
    <x v="1"/>
    <s v=""/>
    <s v="28/jun"/>
    <n v="1"/>
    <s v=""/>
  </r>
  <r>
    <x v="16"/>
    <d v="2026-06-19T12:19:48"/>
    <x v="0"/>
    <n v="65378996"/>
    <n v="368067720000"/>
    <s v="12-719-59"/>
    <s v="Fijo"/>
    <x v="0"/>
    <x v="1"/>
    <s v="Situación económica"/>
    <m/>
    <m/>
    <s v="no"/>
    <m/>
    <m/>
    <x v="0"/>
    <m/>
    <x v="0"/>
    <x v="0"/>
    <s v=""/>
    <s v=""/>
    <s v=""/>
    <s v=""/>
  </r>
  <r>
    <x v="16"/>
    <d v="2026-06-19T12:26:47"/>
    <x v="0"/>
    <n v="63256860"/>
    <n v="363062240000"/>
    <s v="9-728-1985"/>
    <s v="Fijo"/>
    <x v="0"/>
    <x v="2"/>
    <m/>
    <m/>
    <m/>
    <s v="no"/>
    <m/>
    <m/>
    <x v="1"/>
    <m/>
    <x v="0"/>
    <x v="0"/>
    <s v=""/>
    <s v=""/>
    <s v=""/>
    <s v=""/>
  </r>
  <r>
    <x v="16"/>
    <d v="2026-06-19T12:30:38"/>
    <x v="0"/>
    <n v="63509532"/>
    <n v="361068090000"/>
    <s v="8-846-74"/>
    <s v="Fijo"/>
    <x v="0"/>
    <x v="2"/>
    <m/>
    <m/>
    <m/>
    <s v="no"/>
    <m/>
    <m/>
    <x v="1"/>
    <m/>
    <x v="0"/>
    <x v="0"/>
    <s v=""/>
    <s v=""/>
    <s v=""/>
    <s v=""/>
  </r>
  <r>
    <x v="16"/>
    <d v="2026-06-19T12:42:51"/>
    <x v="0"/>
    <n v="66771239"/>
    <n v="368063020000"/>
    <s v="8-864-1032"/>
    <s v="Fijo"/>
    <x v="0"/>
    <x v="3"/>
    <m/>
    <d v="2026-06-23T00:00:00"/>
    <n v="40.22"/>
    <s v="no"/>
    <m/>
    <m/>
    <x v="2"/>
    <m/>
    <x v="0"/>
    <x v="1"/>
    <s v=""/>
    <s v="23/jun"/>
    <n v="1"/>
    <s v=""/>
  </r>
  <r>
    <x v="16"/>
    <d v="2026-06-19T12:50:25"/>
    <x v="0"/>
    <n v="66112293"/>
    <n v="366068880000"/>
    <s v="8-460-178"/>
    <s v="Fijo"/>
    <x v="0"/>
    <x v="1"/>
    <m/>
    <d v="2026-06-21T00:00:00"/>
    <n v="51.84"/>
    <s v="no"/>
    <m/>
    <m/>
    <x v="1"/>
    <m/>
    <x v="0"/>
    <x v="1"/>
    <s v=""/>
    <s v="21/jun"/>
    <n v="1"/>
    <s v=""/>
  </r>
  <r>
    <x v="16"/>
    <d v="2026-06-19T12:56:01"/>
    <x v="0"/>
    <n v="68595612"/>
    <n v="364067300000"/>
    <s v="8-1047-571"/>
    <s v="Fijo"/>
    <x v="0"/>
    <x v="3"/>
    <m/>
    <m/>
    <m/>
    <s v="no"/>
    <m/>
    <m/>
    <x v="1"/>
    <m/>
    <x v="0"/>
    <x v="0"/>
    <s v=""/>
    <s v=""/>
    <s v=""/>
    <s v=""/>
  </r>
  <r>
    <x v="16"/>
    <d v="2026-06-19T13:00:17"/>
    <x v="0"/>
    <n v="60995428"/>
    <n v="366069420000"/>
    <s v="4-206-768"/>
    <s v="Fijo"/>
    <x v="0"/>
    <x v="6"/>
    <m/>
    <m/>
    <m/>
    <s v="no"/>
    <m/>
    <m/>
    <x v="1"/>
    <m/>
    <x v="0"/>
    <x v="0"/>
    <s v=""/>
    <s v=""/>
    <s v=""/>
    <s v=""/>
  </r>
  <r>
    <x v="16"/>
    <d v="2026-06-19T13:05:16"/>
    <x v="0"/>
    <n v="66307348"/>
    <n v="369070400000"/>
    <s v="9-747-198"/>
    <s v="Fijo"/>
    <x v="0"/>
    <x v="2"/>
    <m/>
    <m/>
    <m/>
    <s v="no"/>
    <m/>
    <m/>
    <x v="0"/>
    <m/>
    <x v="0"/>
    <x v="0"/>
    <s v=""/>
    <s v=""/>
    <s v=""/>
    <s v=""/>
  </r>
  <r>
    <x v="16"/>
    <d v="2026-06-19T13:08:35"/>
    <x v="0"/>
    <n v="64578798"/>
    <n v="361070430000"/>
    <s v="10-710-1421"/>
    <s v="Fijo"/>
    <x v="0"/>
    <x v="2"/>
    <m/>
    <m/>
    <m/>
    <s v="no"/>
    <m/>
    <m/>
    <x v="1"/>
    <m/>
    <x v="0"/>
    <x v="0"/>
    <s v=""/>
    <s v=""/>
    <s v=""/>
    <s v=""/>
  </r>
  <r>
    <x v="16"/>
    <d v="2026-06-19T13:12:15"/>
    <x v="0"/>
    <n v="67631318"/>
    <n v="366070150000"/>
    <s v="4-739-1703"/>
    <s v="Fijo"/>
    <x v="0"/>
    <x v="2"/>
    <m/>
    <m/>
    <m/>
    <s v="no"/>
    <m/>
    <m/>
    <x v="0"/>
    <m/>
    <x v="0"/>
    <x v="0"/>
    <s v=""/>
    <s v=""/>
    <s v=""/>
    <s v=""/>
  </r>
  <r>
    <x v="16"/>
    <d v="2026-06-19T13:15:49"/>
    <x v="0"/>
    <n v="68522787"/>
    <n v="369068950000"/>
    <s v="8-437-817"/>
    <s v="Fijo"/>
    <x v="0"/>
    <x v="1"/>
    <m/>
    <d v="2026-06-28T00:00:00"/>
    <n v="62.52"/>
    <s v="no"/>
    <m/>
    <m/>
    <x v="1"/>
    <m/>
    <x v="0"/>
    <x v="1"/>
    <s v=""/>
    <s v="28/jun"/>
    <n v="1"/>
    <s v=""/>
  </r>
  <r>
    <x v="16"/>
    <d v="2026-06-19T14:28:57"/>
    <x v="0"/>
    <n v="68423193"/>
    <n v="363070610000"/>
    <s v="1-718-212"/>
    <s v="Fijo"/>
    <x v="0"/>
    <x v="2"/>
    <m/>
    <m/>
    <m/>
    <s v="no"/>
    <m/>
    <m/>
    <x v="1"/>
    <m/>
    <x v="0"/>
    <x v="0"/>
    <s v=""/>
    <s v=""/>
    <s v=""/>
    <s v=""/>
  </r>
  <r>
    <x v="16"/>
    <d v="2026-06-19T14:36:55"/>
    <x v="0"/>
    <n v="65443566"/>
    <n v="362058840000"/>
    <s v="4-828-1992"/>
    <s v="Fijo"/>
    <x v="0"/>
    <x v="2"/>
    <m/>
    <m/>
    <m/>
    <s v="no"/>
    <m/>
    <m/>
    <x v="1"/>
    <m/>
    <x v="0"/>
    <x v="0"/>
    <s v=""/>
    <s v=""/>
    <s v=""/>
    <s v=""/>
  </r>
  <r>
    <x v="16"/>
    <d v="2026-06-19T14:49:21"/>
    <x v="0"/>
    <n v="63035905"/>
    <n v="349434950000"/>
    <s v="8-1032-1049"/>
    <s v="Fijo"/>
    <x v="0"/>
    <x v="3"/>
    <m/>
    <m/>
    <m/>
    <s v="no"/>
    <m/>
    <m/>
    <x v="1"/>
    <m/>
    <x v="0"/>
    <x v="0"/>
    <s v=""/>
    <s v=""/>
    <s v=""/>
    <s v=""/>
  </r>
  <r>
    <x v="16"/>
    <d v="2026-06-19T14:55:29"/>
    <x v="0"/>
    <n v="64655617"/>
    <n v="363070170000"/>
    <s v="8-967-849"/>
    <s v="Fijo"/>
    <x v="0"/>
    <x v="1"/>
    <m/>
    <d v="2026-06-28T00:00:00"/>
    <n v="36.979999999999997"/>
    <s v="no"/>
    <m/>
    <m/>
    <x v="1"/>
    <m/>
    <x v="0"/>
    <x v="1"/>
    <s v=""/>
    <s v="28/jun"/>
    <n v="1"/>
    <s v=""/>
  </r>
  <r>
    <x v="16"/>
    <d v="2026-06-19T15:02:05"/>
    <x v="0"/>
    <n v="61988885"/>
    <n v="344263940000"/>
    <s v="2-710-2206"/>
    <s v="Fijo"/>
    <x v="0"/>
    <x v="6"/>
    <m/>
    <m/>
    <m/>
    <s v="no"/>
    <m/>
    <m/>
    <x v="0"/>
    <m/>
    <x v="0"/>
    <x v="0"/>
    <s v=""/>
    <s v=""/>
    <s v=""/>
    <s v=""/>
  </r>
  <r>
    <x v="16"/>
    <d v="2026-06-19T15:07:16"/>
    <x v="0"/>
    <n v="65900688"/>
    <n v="364067320000"/>
    <s v="8-1063-768"/>
    <s v="Fijo"/>
    <x v="0"/>
    <x v="2"/>
    <m/>
    <m/>
    <m/>
    <s v="no"/>
    <m/>
    <m/>
    <x v="1"/>
    <m/>
    <x v="0"/>
    <x v="0"/>
    <s v=""/>
    <s v=""/>
    <s v=""/>
    <s v=""/>
  </r>
  <r>
    <x v="16"/>
    <d v="2026-06-19T15:08:51"/>
    <x v="0"/>
    <n v="67357683"/>
    <n v="207010460000"/>
    <s v="8-825-1740"/>
    <s v="Fijo"/>
    <x v="0"/>
    <x v="6"/>
    <m/>
    <m/>
    <m/>
    <s v="no"/>
    <m/>
    <m/>
    <x v="1"/>
    <m/>
    <x v="0"/>
    <x v="0"/>
    <s v=""/>
    <s v=""/>
    <s v=""/>
    <s v=""/>
  </r>
  <r>
    <x v="16"/>
    <d v="2026-06-19T15:18:24"/>
    <x v="0"/>
    <n v="62190408"/>
    <n v="314016950000"/>
    <s v="8-784-2455"/>
    <s v="Fijo"/>
    <x v="0"/>
    <x v="1"/>
    <m/>
    <d v="2026-06-28T00:00:00"/>
    <n v="30.8"/>
    <s v="no"/>
    <m/>
    <m/>
    <x v="1"/>
    <m/>
    <x v="0"/>
    <x v="1"/>
    <s v=""/>
    <s v="28/jun"/>
    <n v="1"/>
    <s v=""/>
  </r>
  <r>
    <x v="16"/>
    <d v="2026-06-19T15:20:54"/>
    <x v="0"/>
    <n v="63468554"/>
    <n v="361069330000"/>
    <s v="8-260-905"/>
    <s v="Fijo"/>
    <x v="0"/>
    <x v="6"/>
    <m/>
    <m/>
    <m/>
    <s v="no"/>
    <m/>
    <m/>
    <x v="1"/>
    <m/>
    <x v="0"/>
    <x v="0"/>
    <s v=""/>
    <s v=""/>
    <s v=""/>
    <s v=""/>
  </r>
  <r>
    <x v="16"/>
    <d v="2026-06-19T15:25:46"/>
    <x v="0"/>
    <n v="60996125"/>
    <n v="365066290000"/>
    <s v="8-1058-1364"/>
    <s v="Fijo"/>
    <x v="0"/>
    <x v="2"/>
    <m/>
    <m/>
    <m/>
    <s v="no"/>
    <m/>
    <m/>
    <x v="1"/>
    <m/>
    <x v="0"/>
    <x v="0"/>
    <s v=""/>
    <s v=""/>
    <s v=""/>
    <s v=""/>
  </r>
  <r>
    <x v="16"/>
    <d v="2026-06-19T15:29:56"/>
    <x v="0"/>
    <n v="68132648"/>
    <n v="362330440000"/>
    <s v="8-1035-234"/>
    <s v="Fijo"/>
    <x v="0"/>
    <x v="2"/>
    <m/>
    <m/>
    <m/>
    <s v="no"/>
    <m/>
    <m/>
    <x v="0"/>
    <m/>
    <x v="0"/>
    <x v="0"/>
    <s v=""/>
    <s v=""/>
    <s v=""/>
    <s v=""/>
  </r>
  <r>
    <x v="16"/>
    <d v="2026-06-19T15:37:39"/>
    <x v="0"/>
    <n v="69762145"/>
    <n v="362067500000"/>
    <s v="N-21-2446"/>
    <s v="Fijo"/>
    <x v="2"/>
    <x v="1"/>
    <m/>
    <d v="2026-06-26T00:00:00"/>
    <n v="71.81"/>
    <s v="no"/>
    <m/>
    <m/>
    <x v="2"/>
    <m/>
    <x v="0"/>
    <x v="1"/>
    <s v=""/>
    <s v="26/jun"/>
    <n v="1"/>
    <s v=""/>
  </r>
  <r>
    <x v="16"/>
    <d v="2026-06-19T15:42:51"/>
    <x v="0"/>
    <n v="62795240"/>
    <n v="365068700000"/>
    <s v="9-759-231"/>
    <s v="Fijo"/>
    <x v="2"/>
    <x v="5"/>
    <m/>
    <m/>
    <m/>
    <s v="si"/>
    <d v="2026-06-02T00:00:00"/>
    <n v="54.04"/>
    <x v="1"/>
    <m/>
    <x v="2"/>
    <x v="0"/>
    <s v="02/jun"/>
    <s v=""/>
    <s v=""/>
    <n v="1"/>
  </r>
  <r>
    <x v="16"/>
    <d v="2026-06-19T15:47:27"/>
    <x v="0"/>
    <n v="64398458"/>
    <n v="368065690000"/>
    <s v="8-995-1562"/>
    <s v="Fijo"/>
    <x v="0"/>
    <x v="1"/>
    <m/>
    <m/>
    <m/>
    <s v="no"/>
    <m/>
    <m/>
    <x v="1"/>
    <s v="No brinda fecha de pago."/>
    <x v="0"/>
    <x v="0"/>
    <s v=""/>
    <s v=""/>
    <s v=""/>
    <s v=""/>
  </r>
  <r>
    <x v="16"/>
    <d v="2026-06-19T15:49:39"/>
    <x v="0"/>
    <n v="69860608"/>
    <n v="361065430000"/>
    <s v="8-1065-1108"/>
    <s v="Fijo"/>
    <x v="0"/>
    <x v="6"/>
    <m/>
    <m/>
    <m/>
    <s v="no"/>
    <m/>
    <m/>
    <x v="1"/>
    <m/>
    <x v="0"/>
    <x v="0"/>
    <s v=""/>
    <s v=""/>
    <s v=""/>
    <s v=""/>
  </r>
  <r>
    <x v="16"/>
    <d v="2026-06-19T15:57:08"/>
    <x v="0"/>
    <n v="67301706"/>
    <n v="365066510000"/>
    <s v="10-704-2369"/>
    <s v="Fijo"/>
    <x v="0"/>
    <x v="3"/>
    <m/>
    <m/>
    <m/>
    <s v="no"/>
    <m/>
    <m/>
    <x v="2"/>
    <m/>
    <x v="0"/>
    <x v="0"/>
    <s v=""/>
    <s v=""/>
    <s v=""/>
    <s v=""/>
  </r>
  <r>
    <x v="16"/>
    <d v="2026-06-19T16:04:16"/>
    <x v="0"/>
    <n v="67833808"/>
    <n v="363070070000"/>
    <s v="E-8-215012"/>
    <s v="Fijo"/>
    <x v="0"/>
    <x v="1"/>
    <m/>
    <m/>
    <m/>
    <s v="no"/>
    <d v="2026-06-30T00:00:00"/>
    <n v="15.44"/>
    <x v="1"/>
    <m/>
    <x v="2"/>
    <x v="0"/>
    <s v="30/jun"/>
    <s v=""/>
    <s v=""/>
    <n v="1"/>
  </r>
  <r>
    <x v="16"/>
    <d v="2026-06-19T16:08:53"/>
    <x v="0"/>
    <n v="67655838"/>
    <n v="368070520000"/>
    <s v="8-866-1684"/>
    <s v="Fijo"/>
    <x v="3"/>
    <x v="2"/>
    <m/>
    <m/>
    <m/>
    <s v="no"/>
    <m/>
    <m/>
    <x v="1"/>
    <m/>
    <x v="0"/>
    <x v="0"/>
    <s v=""/>
    <s v=""/>
    <s v=""/>
    <s v=""/>
  </r>
  <r>
    <x v="16"/>
    <d v="2026-06-19T16:18:05"/>
    <x v="0"/>
    <n v="61473926"/>
    <n v="363070380000"/>
    <s v="E-8-101141"/>
    <s v="Fijo"/>
    <x v="0"/>
    <x v="1"/>
    <m/>
    <d v="2026-06-28T00:00:00"/>
    <n v="30.44"/>
    <s v="no"/>
    <m/>
    <m/>
    <x v="1"/>
    <m/>
    <x v="0"/>
    <x v="1"/>
    <s v=""/>
    <s v="28/jun"/>
    <n v="1"/>
    <s v=""/>
  </r>
  <r>
    <x v="16"/>
    <d v="2026-06-19T16:22:00"/>
    <x v="0"/>
    <n v="66340616"/>
    <n v="365064250000"/>
    <s v="8-909-1881"/>
    <s v="Fijo"/>
    <x v="4"/>
    <x v="2"/>
    <m/>
    <m/>
    <m/>
    <s v="no"/>
    <m/>
    <m/>
    <x v="1"/>
    <m/>
    <x v="0"/>
    <x v="0"/>
    <s v=""/>
    <s v=""/>
    <s v=""/>
    <s v=""/>
  </r>
  <r>
    <x v="16"/>
    <d v="2026-06-19T16:28:44"/>
    <x v="0"/>
    <n v="67890453"/>
    <n v="366066810000"/>
    <s v="2-728-1172"/>
    <s v="Fijo"/>
    <x v="0"/>
    <x v="2"/>
    <m/>
    <m/>
    <m/>
    <s v="no"/>
    <m/>
    <m/>
    <x v="1"/>
    <m/>
    <x v="0"/>
    <x v="0"/>
    <s v=""/>
    <s v=""/>
    <s v=""/>
    <s v=""/>
  </r>
  <r>
    <x v="16"/>
    <d v="2026-06-19T16:31:44"/>
    <x v="0"/>
    <n v="67890453"/>
    <n v="364069510000"/>
    <s v="2-701-1941"/>
    <s v="Fijo"/>
    <x v="0"/>
    <x v="2"/>
    <m/>
    <m/>
    <m/>
    <s v="no"/>
    <m/>
    <m/>
    <x v="1"/>
    <m/>
    <x v="0"/>
    <x v="0"/>
    <s v=""/>
    <s v=""/>
    <s v=""/>
    <s v=""/>
  </r>
  <r>
    <x v="16"/>
    <d v="2026-06-19T16:36:34"/>
    <x v="0"/>
    <n v="68818973"/>
    <n v="368070350000"/>
    <s v="10-716-822"/>
    <s v="Fijo"/>
    <x v="0"/>
    <x v="0"/>
    <m/>
    <m/>
    <m/>
    <s v="no"/>
    <m/>
    <m/>
    <x v="1"/>
    <m/>
    <x v="0"/>
    <x v="0"/>
    <s v=""/>
    <s v=""/>
    <s v=""/>
    <s v=""/>
  </r>
  <r>
    <x v="16"/>
    <d v="2026-06-19T16:40:34"/>
    <x v="0"/>
    <n v="60174962"/>
    <n v="361070900000"/>
    <s v="8-907-1015"/>
    <s v="Fijo"/>
    <x v="0"/>
    <x v="2"/>
    <m/>
    <m/>
    <m/>
    <s v="no"/>
    <m/>
    <m/>
    <x v="1"/>
    <m/>
    <x v="0"/>
    <x v="0"/>
    <s v=""/>
    <s v=""/>
    <s v=""/>
    <s v=""/>
  </r>
  <r>
    <x v="16"/>
    <d v="2026-06-19T16:48:39"/>
    <x v="0"/>
    <n v="69790611"/>
    <n v="361067270000"/>
    <s v="8-1054-2378"/>
    <s v="Fijo"/>
    <x v="0"/>
    <x v="2"/>
    <m/>
    <m/>
    <m/>
    <s v="no"/>
    <m/>
    <m/>
    <x v="1"/>
    <m/>
    <x v="0"/>
    <x v="0"/>
    <s v=""/>
    <s v=""/>
    <s v=""/>
    <s v=""/>
  </r>
  <r>
    <x v="16"/>
    <d v="2026-06-19T16:53:50"/>
    <x v="0"/>
    <n v="62682251"/>
    <n v="369066800000"/>
    <s v="4-781-799"/>
    <s v="Fijo"/>
    <x v="0"/>
    <x v="2"/>
    <m/>
    <m/>
    <m/>
    <s v="no"/>
    <m/>
    <m/>
    <x v="1"/>
    <m/>
    <x v="0"/>
    <x v="0"/>
    <s v=""/>
    <s v=""/>
    <s v=""/>
    <s v=""/>
  </r>
  <r>
    <x v="16"/>
    <d v="2026-06-19T17:01:31"/>
    <x v="0"/>
    <n v="66784627"/>
    <n v="325043290000"/>
    <s v="7-77-761"/>
    <s v="Fijo"/>
    <x v="0"/>
    <x v="2"/>
    <m/>
    <m/>
    <m/>
    <s v="no"/>
    <m/>
    <m/>
    <x v="1"/>
    <m/>
    <x v="0"/>
    <x v="0"/>
    <s v=""/>
    <s v=""/>
    <s v=""/>
    <s v=""/>
  </r>
  <r>
    <x v="16"/>
    <d v="2026-06-19T17:05:53"/>
    <x v="0"/>
    <n v="67911386"/>
    <n v="366068770000"/>
    <s v="4-842-1423"/>
    <s v="Fijo"/>
    <x v="0"/>
    <x v="7"/>
    <m/>
    <m/>
    <m/>
    <s v="no"/>
    <m/>
    <m/>
    <x v="1"/>
    <m/>
    <x v="0"/>
    <x v="0"/>
    <s v=""/>
    <s v=""/>
    <s v=""/>
    <s v=""/>
  </r>
  <r>
    <x v="16"/>
    <d v="2026-06-19T17:13:18"/>
    <x v="0"/>
    <n v="67127141"/>
    <n v="266042980000"/>
    <s v="8-840-1324"/>
    <s v="Fijo"/>
    <x v="3"/>
    <x v="0"/>
    <m/>
    <m/>
    <m/>
    <s v="no"/>
    <m/>
    <m/>
    <x v="0"/>
    <m/>
    <x v="0"/>
    <x v="0"/>
    <s v=""/>
    <s v=""/>
    <s v=""/>
    <s v=""/>
  </r>
  <r>
    <x v="16"/>
    <d v="2026-06-19T17:22:00"/>
    <x v="0"/>
    <n v="67658735"/>
    <n v="368053910000"/>
    <s v="8-1010-2461"/>
    <s v="Fijo"/>
    <x v="0"/>
    <x v="5"/>
    <m/>
    <m/>
    <m/>
    <s v="si"/>
    <d v="2026-06-19T00:00:00"/>
    <n v="30.44"/>
    <x v="1"/>
    <s v="Cumple pago."/>
    <x v="2"/>
    <x v="0"/>
    <s v="19/jun"/>
    <s v=""/>
    <s v=""/>
    <n v="1"/>
  </r>
  <r>
    <x v="16"/>
    <d v="2026-06-19T17:28:36"/>
    <x v="0"/>
    <n v="64886742"/>
    <n v="366065500000"/>
    <s v="8-865-2274"/>
    <s v="Fijo"/>
    <x v="0"/>
    <x v="2"/>
    <m/>
    <m/>
    <m/>
    <s v="no"/>
    <m/>
    <m/>
    <x v="2"/>
    <m/>
    <x v="0"/>
    <x v="0"/>
    <s v=""/>
    <s v=""/>
    <s v=""/>
    <s v=""/>
  </r>
  <r>
    <x v="16"/>
    <d v="2026-06-19T17:36:31"/>
    <x v="0"/>
    <n v="66413275"/>
    <n v="361034560000"/>
    <s v="8-1031-2399"/>
    <s v="Fijo"/>
    <x v="4"/>
    <x v="2"/>
    <m/>
    <m/>
    <m/>
    <s v="no"/>
    <m/>
    <m/>
    <x v="1"/>
    <m/>
    <x v="0"/>
    <x v="0"/>
    <s v=""/>
    <s v=""/>
    <s v=""/>
    <s v=""/>
  </r>
  <r>
    <x v="16"/>
    <d v="2026-06-19T17:48:18"/>
    <x v="0"/>
    <n v="63433782"/>
    <n v="361062960000"/>
    <s v="4-719-947"/>
    <s v="Fijo"/>
    <x v="0"/>
    <x v="1"/>
    <m/>
    <d v="2026-06-20T00:00:00"/>
    <n v="30"/>
    <s v="no"/>
    <m/>
    <m/>
    <x v="1"/>
    <m/>
    <x v="0"/>
    <x v="1"/>
    <s v=""/>
    <s v="20/jun"/>
    <n v="1"/>
    <s v=""/>
  </r>
  <r>
    <x v="16"/>
    <d v="2026-06-19T17:56:16"/>
    <x v="0"/>
    <n v="65402712"/>
    <n v="363063950000"/>
    <s v="8-1056-558"/>
    <s v="Fijo"/>
    <x v="0"/>
    <x v="1"/>
    <m/>
    <m/>
    <m/>
    <s v="si"/>
    <d v="2026-06-19T00:00:00"/>
    <n v="17.98"/>
    <x v="1"/>
    <s v="Cumple."/>
    <x v="2"/>
    <x v="0"/>
    <s v="19/jun"/>
    <s v=""/>
    <s v=""/>
    <n v="1"/>
  </r>
  <r>
    <x v="16"/>
    <d v="2026-06-19T17:59:39"/>
    <x v="0"/>
    <n v="69283330"/>
    <n v="362068090000"/>
    <s v="4-743-2176"/>
    <s v="Fijo"/>
    <x v="0"/>
    <x v="2"/>
    <m/>
    <m/>
    <m/>
    <s v="no"/>
    <m/>
    <m/>
    <x v="1"/>
    <m/>
    <x v="0"/>
    <x v="0"/>
    <s v=""/>
    <s v=""/>
    <s v=""/>
    <s v=""/>
  </r>
  <r>
    <x v="16"/>
    <d v="2026-06-19T18:03:55"/>
    <x v="0"/>
    <n v="65465600"/>
    <n v="361067520000"/>
    <s v="8-828-2138"/>
    <s v="Fijo"/>
    <x v="0"/>
    <x v="2"/>
    <m/>
    <m/>
    <m/>
    <s v="no"/>
    <m/>
    <m/>
    <x v="1"/>
    <m/>
    <x v="0"/>
    <x v="0"/>
    <s v=""/>
    <s v=""/>
    <s v=""/>
    <s v=""/>
  </r>
  <r>
    <x v="17"/>
    <d v="2026-06-20T09:27:04"/>
    <x v="0"/>
    <n v="67866083"/>
    <n v="341241700000"/>
    <s v="4-806-1195"/>
    <s v="Fijo"/>
    <x v="0"/>
    <x v="6"/>
    <m/>
    <m/>
    <m/>
    <s v="no"/>
    <m/>
    <m/>
    <x v="1"/>
    <m/>
    <x v="0"/>
    <x v="0"/>
    <s v=""/>
    <s v=""/>
    <s v=""/>
    <s v=""/>
  </r>
  <r>
    <x v="17"/>
    <d v="2026-06-20T09:32:01"/>
    <x v="0"/>
    <n v="67291998"/>
    <n v="365069510000"/>
    <s v="4-114-826"/>
    <s v="Fijo"/>
    <x v="0"/>
    <x v="1"/>
    <m/>
    <m/>
    <m/>
    <s v="no"/>
    <m/>
    <m/>
    <x v="1"/>
    <s v="Molesto por la llamada."/>
    <x v="0"/>
    <x v="0"/>
    <s v=""/>
    <s v=""/>
    <s v=""/>
    <s v=""/>
  </r>
  <r>
    <x v="17"/>
    <d v="2026-06-20T09:36:55"/>
    <x v="0"/>
    <n v="65391567"/>
    <n v="367065970000"/>
    <s v="7-708-1050"/>
    <s v="Fijo"/>
    <x v="0"/>
    <x v="2"/>
    <m/>
    <m/>
    <m/>
    <s v="no"/>
    <m/>
    <m/>
    <x v="0"/>
    <m/>
    <x v="0"/>
    <x v="0"/>
    <s v=""/>
    <s v=""/>
    <s v=""/>
    <s v=""/>
  </r>
  <r>
    <x v="17"/>
    <d v="2026-06-20T09:41:27"/>
    <x v="0"/>
    <n v="63758860"/>
    <n v="365068410000"/>
    <s v="7-715-438"/>
    <s v="Fijo"/>
    <x v="0"/>
    <x v="2"/>
    <m/>
    <m/>
    <m/>
    <s v="no"/>
    <m/>
    <m/>
    <x v="0"/>
    <m/>
    <x v="0"/>
    <x v="0"/>
    <s v=""/>
    <s v=""/>
    <s v=""/>
    <s v=""/>
  </r>
  <r>
    <x v="17"/>
    <d v="2026-06-20T09:45:32"/>
    <x v="0"/>
    <n v="64130083"/>
    <n v="368068990000"/>
    <s v="8-363-984"/>
    <s v="Fijo"/>
    <x v="0"/>
    <x v="2"/>
    <m/>
    <m/>
    <m/>
    <s v="no"/>
    <m/>
    <m/>
    <x v="1"/>
    <m/>
    <x v="0"/>
    <x v="0"/>
    <s v=""/>
    <s v=""/>
    <s v=""/>
    <s v=""/>
  </r>
  <r>
    <x v="17"/>
    <d v="2026-06-20T10:08:05"/>
    <x v="0"/>
    <n v="64622704"/>
    <n v="324001850000"/>
    <n v="151612000"/>
    <s v="Fijo"/>
    <x v="0"/>
    <x v="5"/>
    <m/>
    <m/>
    <m/>
    <s v="si"/>
    <d v="2026-06-15T00:00:00"/>
    <n v="37.270000000000003"/>
    <x v="2"/>
    <m/>
    <x v="2"/>
    <x v="0"/>
    <s v="15/jun"/>
    <s v=""/>
    <s v=""/>
    <n v="1"/>
  </r>
  <r>
    <x v="17"/>
    <d v="2026-06-20T10:11:28"/>
    <x v="0"/>
    <n v="62597582"/>
    <n v="362068650000"/>
    <s v="8-967-460"/>
    <s v="Fijo"/>
    <x v="0"/>
    <x v="6"/>
    <m/>
    <m/>
    <m/>
    <s v="no"/>
    <m/>
    <m/>
    <x v="1"/>
    <m/>
    <x v="0"/>
    <x v="0"/>
    <s v=""/>
    <s v=""/>
    <s v=""/>
    <s v=""/>
  </r>
  <r>
    <x v="17"/>
    <d v="2026-06-20T10:18:45"/>
    <x v="0"/>
    <n v="68032699"/>
    <n v="363068010000"/>
    <s v="8-859-1851"/>
    <s v="Fijo"/>
    <x v="0"/>
    <x v="1"/>
    <s v="Situación económica"/>
    <m/>
    <m/>
    <s v="no"/>
    <m/>
    <m/>
    <x v="1"/>
    <m/>
    <x v="0"/>
    <x v="0"/>
    <s v=""/>
    <s v=""/>
    <s v=""/>
    <s v=""/>
  </r>
  <r>
    <x v="17"/>
    <d v="2026-06-20T10:24:39"/>
    <x v="0"/>
    <n v="62746604"/>
    <n v="361069840000"/>
    <s v="8-1001-2179"/>
    <s v="Fijo"/>
    <x v="0"/>
    <x v="1"/>
    <m/>
    <m/>
    <m/>
    <s v="no"/>
    <m/>
    <m/>
    <x v="1"/>
    <m/>
    <x v="0"/>
    <x v="0"/>
    <s v=""/>
    <s v=""/>
    <s v=""/>
    <s v=""/>
  </r>
  <r>
    <x v="17"/>
    <d v="2026-06-20T10:37:19"/>
    <x v="0"/>
    <n v="67670063"/>
    <n v="361069850000"/>
    <s v="8-723-2496"/>
    <s v="Fijo"/>
    <x v="0"/>
    <x v="2"/>
    <m/>
    <m/>
    <m/>
    <s v="no"/>
    <m/>
    <m/>
    <x v="1"/>
    <m/>
    <x v="0"/>
    <x v="0"/>
    <s v=""/>
    <s v=""/>
    <s v=""/>
    <s v=""/>
  </r>
  <r>
    <x v="17"/>
    <d v="2026-06-20T10:46:58"/>
    <x v="0"/>
    <n v="65386254"/>
    <n v="321084830000"/>
    <s v="8-712-653"/>
    <s v="Fijo"/>
    <x v="0"/>
    <x v="1"/>
    <m/>
    <d v="2026-06-28T00:00:00"/>
    <n v="30.44"/>
    <s v="no"/>
    <m/>
    <m/>
    <x v="1"/>
    <m/>
    <x v="0"/>
    <x v="1"/>
    <s v=""/>
    <s v="28/jun"/>
    <n v="1"/>
    <s v=""/>
  </r>
  <r>
    <x v="17"/>
    <d v="2026-06-20T10:58:47"/>
    <x v="0"/>
    <n v="66032783"/>
    <n v="364067690000"/>
    <s v="8-155-1383"/>
    <s v="Fijo"/>
    <x v="0"/>
    <x v="2"/>
    <m/>
    <m/>
    <m/>
    <s v="no"/>
    <m/>
    <m/>
    <x v="0"/>
    <m/>
    <x v="0"/>
    <x v="0"/>
    <s v=""/>
    <s v=""/>
    <s v=""/>
    <s v=""/>
  </r>
  <r>
    <x v="17"/>
    <d v="2026-06-20T11:03:55"/>
    <x v="0"/>
    <n v="64447206"/>
    <n v="367072330000"/>
    <s v="8-908-1213"/>
    <s v="Fijo"/>
    <x v="0"/>
    <x v="2"/>
    <m/>
    <m/>
    <m/>
    <s v="no"/>
    <m/>
    <m/>
    <x v="1"/>
    <m/>
    <x v="0"/>
    <x v="0"/>
    <s v=""/>
    <s v=""/>
    <s v=""/>
    <s v=""/>
  </r>
  <r>
    <x v="17"/>
    <d v="2026-06-20T11:08:33"/>
    <x v="0"/>
    <n v="66676124"/>
    <n v="362071640000"/>
    <s v="PE-12-2114"/>
    <s v="Fijo"/>
    <x v="0"/>
    <x v="0"/>
    <m/>
    <m/>
    <m/>
    <s v="no"/>
    <m/>
    <m/>
    <x v="1"/>
    <m/>
    <x v="0"/>
    <x v="0"/>
    <s v=""/>
    <s v=""/>
    <s v=""/>
    <s v=""/>
  </r>
  <r>
    <x v="17"/>
    <d v="2026-06-20T11:14:51"/>
    <x v="0"/>
    <n v="68262590"/>
    <n v="364070190000"/>
    <s v="4-706-805"/>
    <s v="Fijo"/>
    <x v="0"/>
    <x v="2"/>
    <m/>
    <m/>
    <m/>
    <s v="no"/>
    <m/>
    <m/>
    <x v="1"/>
    <m/>
    <x v="0"/>
    <x v="0"/>
    <s v=""/>
    <s v=""/>
    <s v=""/>
    <s v=""/>
  </r>
  <r>
    <x v="17"/>
    <d v="2026-06-20T11:16:37"/>
    <x v="0"/>
    <n v="67324678"/>
    <n v="293043820000"/>
    <s v="8-818-1688"/>
    <s v="Fijo"/>
    <x v="0"/>
    <x v="0"/>
    <m/>
    <m/>
    <m/>
    <s v="no"/>
    <m/>
    <m/>
    <x v="2"/>
    <m/>
    <x v="0"/>
    <x v="0"/>
    <s v=""/>
    <s v=""/>
    <s v=""/>
    <s v=""/>
  </r>
  <r>
    <x v="17"/>
    <d v="2026-06-20T11:20:34"/>
    <x v="0"/>
    <n v="68744784"/>
    <n v="364065020000"/>
    <s v="12-724-711"/>
    <s v="Fijo"/>
    <x v="0"/>
    <x v="2"/>
    <m/>
    <m/>
    <m/>
    <s v="no"/>
    <m/>
    <m/>
    <x v="0"/>
    <m/>
    <x v="0"/>
    <x v="0"/>
    <s v=""/>
    <s v=""/>
    <s v=""/>
    <s v=""/>
  </r>
  <r>
    <x v="17"/>
    <d v="2026-06-20T11:26:35"/>
    <x v="0"/>
    <n v="64151950"/>
    <n v="363072150000"/>
    <s v="5-14-1225"/>
    <s v="Fijo"/>
    <x v="0"/>
    <x v="5"/>
    <m/>
    <m/>
    <m/>
    <s v="si"/>
    <d v="2026-06-19T00:00:00"/>
    <n v="33.78"/>
    <x v="1"/>
    <m/>
    <x v="2"/>
    <x v="0"/>
    <s v="19/jun"/>
    <s v=""/>
    <s v=""/>
    <n v="1"/>
  </r>
  <r>
    <x v="17"/>
    <d v="2026-06-20T11:30:25"/>
    <x v="0"/>
    <n v="65913608"/>
    <n v="354360550000"/>
    <s v="8-1058-413"/>
    <s v="Fijo"/>
    <x v="0"/>
    <x v="2"/>
    <m/>
    <m/>
    <m/>
    <s v="no"/>
    <m/>
    <m/>
    <x v="1"/>
    <m/>
    <x v="0"/>
    <x v="0"/>
    <s v=""/>
    <s v=""/>
    <s v=""/>
    <s v=""/>
  </r>
  <r>
    <x v="17"/>
    <d v="2026-06-20T11:36:10"/>
    <x v="0"/>
    <n v="68948340"/>
    <n v="362070220000"/>
    <s v="8-996-1461"/>
    <s v="Fijo"/>
    <x v="0"/>
    <x v="6"/>
    <m/>
    <m/>
    <m/>
    <s v="no"/>
    <m/>
    <m/>
    <x v="1"/>
    <m/>
    <x v="0"/>
    <x v="0"/>
    <s v=""/>
    <s v=""/>
    <s v=""/>
    <s v=""/>
  </r>
  <r>
    <x v="17"/>
    <d v="2026-06-20T11:43:29"/>
    <x v="0"/>
    <n v="66406576"/>
    <n v="319041780000"/>
    <s v="2-726-2370"/>
    <s v="Fijo"/>
    <x v="0"/>
    <x v="7"/>
    <m/>
    <m/>
    <m/>
    <s v="no"/>
    <m/>
    <m/>
    <x v="1"/>
    <m/>
    <x v="0"/>
    <x v="0"/>
    <s v=""/>
    <s v=""/>
    <s v=""/>
    <s v=""/>
  </r>
  <r>
    <x v="17"/>
    <d v="2026-06-20T11:49:04"/>
    <x v="0"/>
    <n v="66882163"/>
    <n v="356339440000"/>
    <s v="3-727-353"/>
    <s v="Fijo"/>
    <x v="0"/>
    <x v="5"/>
    <m/>
    <m/>
    <m/>
    <s v="si"/>
    <d v="2026-06-08T00:00:00"/>
    <n v="30.44"/>
    <x v="1"/>
    <m/>
    <x v="2"/>
    <x v="0"/>
    <s v="08/jun"/>
    <s v=""/>
    <s v=""/>
    <n v="1"/>
  </r>
  <r>
    <x v="17"/>
    <d v="2026-06-20T12:01:39"/>
    <x v="0"/>
    <n v="65504672"/>
    <n v="367072620000"/>
    <s v="2-83-1493"/>
    <s v="Fijo"/>
    <x v="0"/>
    <x v="1"/>
    <m/>
    <d v="2026-06-28T00:00:00"/>
    <n v="30.44"/>
    <s v="no"/>
    <m/>
    <m/>
    <x v="1"/>
    <m/>
    <x v="0"/>
    <x v="1"/>
    <s v=""/>
    <s v="28/jun"/>
    <n v="1"/>
    <s v=""/>
  </r>
  <r>
    <x v="17"/>
    <d v="2026-06-20T12:18:23"/>
    <x v="0"/>
    <n v="68485408"/>
    <n v="358071830000"/>
    <s v="8-918-1847"/>
    <s v="Fijo"/>
    <x v="0"/>
    <x v="1"/>
    <m/>
    <d v="2026-06-30T00:00:00"/>
    <n v="28.09"/>
    <s v="no"/>
    <m/>
    <m/>
    <x v="1"/>
    <m/>
    <x v="0"/>
    <x v="1"/>
    <s v=""/>
    <s v="30/jun"/>
    <n v="1"/>
    <s v=""/>
  </r>
  <r>
    <x v="17"/>
    <d v="2026-06-20T12:29:08"/>
    <x v="0"/>
    <n v="67174056"/>
    <n v="361068780000"/>
    <s v="8-528-1807"/>
    <s v="Fijo"/>
    <x v="0"/>
    <x v="1"/>
    <m/>
    <d v="2026-06-29T00:00:00"/>
    <n v="33.79"/>
    <s v="no"/>
    <m/>
    <m/>
    <x v="1"/>
    <m/>
    <x v="0"/>
    <x v="1"/>
    <s v=""/>
    <s v="29/jun"/>
    <n v="1"/>
    <s v=""/>
  </r>
  <r>
    <x v="17"/>
    <d v="2026-06-20T12:34:03"/>
    <x v="0"/>
    <n v="68905432"/>
    <n v="368069040000"/>
    <s v="9-725-1963"/>
    <s v="Fijo"/>
    <x v="0"/>
    <x v="2"/>
    <m/>
    <m/>
    <m/>
    <s v="no"/>
    <m/>
    <m/>
    <x v="1"/>
    <m/>
    <x v="0"/>
    <x v="0"/>
    <s v=""/>
    <s v=""/>
    <s v=""/>
    <s v=""/>
  </r>
  <r>
    <x v="17"/>
    <d v="2026-06-20T12:37:52"/>
    <x v="0"/>
    <n v="67890453"/>
    <n v="364068430000"/>
    <s v="8-516-1449"/>
    <s v="Fijo"/>
    <x v="0"/>
    <x v="2"/>
    <m/>
    <m/>
    <m/>
    <s v="no"/>
    <m/>
    <m/>
    <x v="1"/>
    <m/>
    <x v="0"/>
    <x v="0"/>
    <s v=""/>
    <s v=""/>
    <s v=""/>
    <s v=""/>
  </r>
  <r>
    <x v="17"/>
    <d v="2026-06-20T12:49:35"/>
    <x v="0"/>
    <n v="63390957"/>
    <n v="353378590000"/>
    <s v="2-20-612"/>
    <s v="Fijo"/>
    <x v="0"/>
    <x v="2"/>
    <m/>
    <m/>
    <m/>
    <s v="no"/>
    <m/>
    <m/>
    <x v="1"/>
    <m/>
    <x v="0"/>
    <x v="0"/>
    <s v=""/>
    <s v=""/>
    <s v=""/>
    <s v=""/>
  </r>
  <r>
    <x v="17"/>
    <d v="2026-06-20T12:57:50"/>
    <x v="0"/>
    <n v="63177143"/>
    <n v="329045210000"/>
    <s v="8-208-496"/>
    <s v="Fijo"/>
    <x v="0"/>
    <x v="1"/>
    <m/>
    <d v="2026-06-27T00:00:00"/>
    <n v="46.93"/>
    <s v="no"/>
    <m/>
    <m/>
    <x v="1"/>
    <m/>
    <x v="0"/>
    <x v="1"/>
    <s v=""/>
    <s v="27/jun"/>
    <n v="1"/>
    <s v=""/>
  </r>
  <r>
    <x v="17"/>
    <d v="2026-06-20T14:05:24"/>
    <x v="0"/>
    <n v="69051034"/>
    <n v="361070870000"/>
    <s v="6-64-659"/>
    <s v="Fijo"/>
    <x v="0"/>
    <x v="1"/>
    <s v="Situación económica"/>
    <m/>
    <m/>
    <s v="no"/>
    <m/>
    <m/>
    <x v="1"/>
    <m/>
    <x v="0"/>
    <x v="0"/>
    <s v=""/>
    <s v=""/>
    <s v=""/>
    <s v=""/>
  </r>
  <r>
    <x v="17"/>
    <d v="2026-06-20T14:09:06"/>
    <x v="0"/>
    <n v="63909963"/>
    <n v="369046130000"/>
    <s v="10-702-1000"/>
    <s v="Fijo"/>
    <x v="0"/>
    <x v="3"/>
    <m/>
    <m/>
    <m/>
    <s v="no"/>
    <m/>
    <m/>
    <x v="1"/>
    <m/>
    <x v="0"/>
    <x v="0"/>
    <s v=""/>
    <s v=""/>
    <s v=""/>
    <s v=""/>
  </r>
  <r>
    <x v="17"/>
    <d v="2026-06-20T14:14:44"/>
    <x v="0"/>
    <n v="60154747"/>
    <n v="365070940000"/>
    <s v="8-493-614"/>
    <s v="Fijo"/>
    <x v="0"/>
    <x v="2"/>
    <m/>
    <m/>
    <m/>
    <s v="no"/>
    <m/>
    <m/>
    <x v="1"/>
    <m/>
    <x v="0"/>
    <x v="0"/>
    <s v=""/>
    <s v=""/>
    <s v=""/>
    <s v=""/>
  </r>
  <r>
    <x v="17"/>
    <d v="2026-06-20T14:20:04"/>
    <x v="0"/>
    <n v="64376896"/>
    <n v="369070890000"/>
    <s v="4-747-881"/>
    <s v="Fijo"/>
    <x v="0"/>
    <x v="2"/>
    <m/>
    <m/>
    <m/>
    <s v="no"/>
    <m/>
    <m/>
    <x v="1"/>
    <m/>
    <x v="0"/>
    <x v="0"/>
    <s v=""/>
    <s v=""/>
    <s v=""/>
    <s v=""/>
  </r>
  <r>
    <x v="17"/>
    <d v="2026-06-20T14:23:38"/>
    <x v="0"/>
    <n v="64959084"/>
    <n v="365069580000"/>
    <s v="4-235-741"/>
    <s v="Fijo"/>
    <x v="0"/>
    <x v="6"/>
    <m/>
    <m/>
    <m/>
    <s v="no"/>
    <m/>
    <m/>
    <x v="1"/>
    <m/>
    <x v="0"/>
    <x v="0"/>
    <s v=""/>
    <s v=""/>
    <s v=""/>
    <s v=""/>
  </r>
  <r>
    <x v="17"/>
    <d v="2026-06-20T14:36:20"/>
    <x v="0"/>
    <n v="67675703"/>
    <n v="368067500000"/>
    <s v="4-791-1708"/>
    <s v="Fijo"/>
    <x v="0"/>
    <x v="1"/>
    <m/>
    <m/>
    <m/>
    <s v="no"/>
    <m/>
    <m/>
    <x v="1"/>
    <s v="Va pagar primero su contrato movil."/>
    <x v="0"/>
    <x v="0"/>
    <s v=""/>
    <s v=""/>
    <s v=""/>
    <s v=""/>
  </r>
  <r>
    <x v="17"/>
    <d v="2026-06-20T14:39:53"/>
    <x v="0"/>
    <n v="60404152"/>
    <n v="368068750000"/>
    <s v="4-190-547"/>
    <s v="Fijo"/>
    <x v="0"/>
    <x v="6"/>
    <m/>
    <m/>
    <m/>
    <s v="no"/>
    <m/>
    <m/>
    <x v="1"/>
    <m/>
    <x v="0"/>
    <x v="0"/>
    <s v=""/>
    <s v=""/>
    <s v=""/>
    <s v=""/>
  </r>
  <r>
    <x v="17"/>
    <d v="2026-06-20T14:45:17"/>
    <x v="0"/>
    <n v="67331834"/>
    <n v="353109170000"/>
    <s v="6-701-1966"/>
    <s v="Fijo"/>
    <x v="0"/>
    <x v="5"/>
    <m/>
    <m/>
    <m/>
    <s v="si"/>
    <d v="2026-06-04T00:00:00"/>
    <n v="26.41"/>
    <x v="1"/>
    <m/>
    <x v="2"/>
    <x v="0"/>
    <s v="04/jun"/>
    <s v=""/>
    <s v=""/>
    <n v="1"/>
  </r>
  <r>
    <x v="17"/>
    <d v="2026-06-20T14:51:13"/>
    <x v="0"/>
    <n v="67378951"/>
    <n v="348400500000"/>
    <s v="7-709-2007"/>
    <s v="Fijo"/>
    <x v="0"/>
    <x v="2"/>
    <m/>
    <m/>
    <m/>
    <s v="no"/>
    <m/>
    <m/>
    <x v="1"/>
    <m/>
    <x v="0"/>
    <x v="0"/>
    <s v=""/>
    <s v=""/>
    <s v=""/>
    <s v=""/>
  </r>
  <r>
    <x v="17"/>
    <d v="2026-06-20T15:03:05"/>
    <x v="0"/>
    <n v="68792561"/>
    <n v="362067370000"/>
    <s v="8-855-2486"/>
    <s v="Fijo"/>
    <x v="0"/>
    <x v="2"/>
    <m/>
    <m/>
    <m/>
    <s v="no"/>
    <m/>
    <m/>
    <x v="1"/>
    <m/>
    <x v="0"/>
    <x v="0"/>
    <s v=""/>
    <s v=""/>
    <s v=""/>
    <s v=""/>
  </r>
  <r>
    <x v="17"/>
    <d v="2026-06-20T15:09:35"/>
    <x v="0"/>
    <n v="68934659"/>
    <n v="369071520000"/>
    <s v="3-756-407"/>
    <s v="Fijo"/>
    <x v="0"/>
    <x v="1"/>
    <m/>
    <m/>
    <m/>
    <s v="no"/>
    <m/>
    <m/>
    <x v="1"/>
    <s v="No brinda fecha de pago."/>
    <x v="0"/>
    <x v="0"/>
    <s v=""/>
    <s v=""/>
    <s v=""/>
    <s v=""/>
  </r>
  <r>
    <x v="17"/>
    <d v="2026-06-20T15:19:01"/>
    <x v="0"/>
    <n v="68427493"/>
    <n v="369070100000"/>
    <s v="8-760-1295"/>
    <s v="Fijo"/>
    <x v="0"/>
    <x v="2"/>
    <m/>
    <m/>
    <m/>
    <s v="no"/>
    <m/>
    <m/>
    <x v="0"/>
    <m/>
    <x v="0"/>
    <x v="0"/>
    <s v=""/>
    <s v=""/>
    <s v=""/>
    <s v=""/>
  </r>
  <r>
    <x v="17"/>
    <d v="2026-06-20T15:32:12"/>
    <x v="0"/>
    <n v="61363292"/>
    <n v="369068740000"/>
    <s v="8-464-64"/>
    <s v="Fijo"/>
    <x v="0"/>
    <x v="2"/>
    <m/>
    <m/>
    <m/>
    <s v="no"/>
    <m/>
    <m/>
    <x v="1"/>
    <m/>
    <x v="0"/>
    <x v="0"/>
    <s v=""/>
    <s v=""/>
    <s v=""/>
    <s v=""/>
  </r>
  <r>
    <x v="17"/>
    <d v="2026-06-20T15:35:23"/>
    <x v="0"/>
    <n v="68280950"/>
    <n v="365073480000"/>
    <s v="8-934-2357"/>
    <s v="Fijo"/>
    <x v="0"/>
    <x v="2"/>
    <m/>
    <m/>
    <m/>
    <s v="no"/>
    <m/>
    <m/>
    <x v="1"/>
    <m/>
    <x v="0"/>
    <x v="0"/>
    <s v=""/>
    <s v=""/>
    <s v=""/>
    <s v=""/>
  </r>
  <r>
    <x v="17"/>
    <d v="2026-06-20T15:39:55"/>
    <x v="0"/>
    <n v="64151950"/>
    <n v="309046970000"/>
    <s v="8-802-246"/>
    <s v="Fijo"/>
    <x v="0"/>
    <x v="2"/>
    <m/>
    <m/>
    <m/>
    <s v="no"/>
    <m/>
    <m/>
    <x v="1"/>
    <m/>
    <x v="0"/>
    <x v="0"/>
    <s v=""/>
    <s v=""/>
    <s v=""/>
    <s v=""/>
  </r>
  <r>
    <x v="17"/>
    <d v="2026-06-20T15:49:10"/>
    <x v="0"/>
    <n v="60343819"/>
    <n v="177042970000"/>
    <s v="8-728-1115"/>
    <s v="Fijo"/>
    <x v="0"/>
    <x v="1"/>
    <m/>
    <m/>
    <m/>
    <s v="no"/>
    <m/>
    <m/>
    <x v="1"/>
    <s v="No brinda fecha de pago."/>
    <x v="0"/>
    <x v="0"/>
    <s v=""/>
    <s v=""/>
    <s v=""/>
    <s v=""/>
  </r>
  <r>
    <x v="17"/>
    <d v="2026-06-20T15:53:12"/>
    <x v="0"/>
    <n v="63500639"/>
    <n v="192053140000"/>
    <s v="7-112-704"/>
    <s v="Fijo"/>
    <x v="0"/>
    <x v="2"/>
    <m/>
    <m/>
    <m/>
    <s v="no"/>
    <m/>
    <m/>
    <x v="1"/>
    <m/>
    <x v="0"/>
    <x v="0"/>
    <s v=""/>
    <s v=""/>
    <s v=""/>
    <s v=""/>
  </r>
  <r>
    <x v="17"/>
    <d v="2026-06-20T15:56:19"/>
    <x v="0"/>
    <n v="69364032"/>
    <n v="281064660000"/>
    <s v="8-382-231"/>
    <s v="Fijo"/>
    <x v="0"/>
    <x v="6"/>
    <m/>
    <m/>
    <m/>
    <s v="no"/>
    <m/>
    <m/>
    <x v="1"/>
    <m/>
    <x v="0"/>
    <x v="0"/>
    <s v=""/>
    <s v=""/>
    <s v=""/>
    <s v=""/>
  </r>
  <r>
    <x v="17"/>
    <d v="2026-06-20T16:05:29"/>
    <x v="0"/>
    <n v="65529125"/>
    <n v="368071870000"/>
    <s v="4-778-447"/>
    <s v="Fijo"/>
    <x v="0"/>
    <x v="1"/>
    <s v="Desempleada"/>
    <m/>
    <m/>
    <s v="no"/>
    <m/>
    <m/>
    <x v="0"/>
    <m/>
    <x v="0"/>
    <x v="0"/>
    <s v=""/>
    <s v=""/>
    <s v=""/>
    <s v=""/>
  </r>
  <r>
    <x v="17"/>
    <d v="2026-06-20T16:17:02"/>
    <x v="0"/>
    <n v="69620917"/>
    <n v="369066650000"/>
    <s v="6-722-1783"/>
    <s v="Fijo"/>
    <x v="0"/>
    <x v="7"/>
    <m/>
    <m/>
    <m/>
    <s v="no"/>
    <m/>
    <m/>
    <x v="1"/>
    <m/>
    <x v="0"/>
    <x v="0"/>
    <s v=""/>
    <s v=""/>
    <s v=""/>
    <s v=""/>
  </r>
  <r>
    <x v="17"/>
    <d v="2026-06-20T16:25:54"/>
    <x v="0"/>
    <n v="66039350"/>
    <n v="366074090000"/>
    <s v="10-25-872"/>
    <s v="Fijo"/>
    <x v="0"/>
    <x v="2"/>
    <m/>
    <m/>
    <m/>
    <s v="no"/>
    <m/>
    <m/>
    <x v="1"/>
    <m/>
    <x v="0"/>
    <x v="0"/>
    <s v=""/>
    <s v=""/>
    <s v=""/>
    <s v=""/>
  </r>
  <r>
    <x v="17"/>
    <d v="2026-06-20T16:30:07"/>
    <x v="0"/>
    <n v="61911560"/>
    <n v="363071610000"/>
    <s v="8-891-1247"/>
    <s v="Fijo"/>
    <x v="0"/>
    <x v="2"/>
    <m/>
    <m/>
    <m/>
    <s v="no"/>
    <m/>
    <m/>
    <x v="1"/>
    <m/>
    <x v="0"/>
    <x v="0"/>
    <s v=""/>
    <s v=""/>
    <s v=""/>
    <s v=""/>
  </r>
  <r>
    <x v="17"/>
    <d v="2026-06-20T16:33:37"/>
    <x v="0"/>
    <n v="63208484"/>
    <n v="364073250000"/>
    <s v="2-702-450"/>
    <s v="Fijo"/>
    <x v="2"/>
    <x v="2"/>
    <m/>
    <m/>
    <m/>
    <s v="no"/>
    <m/>
    <m/>
    <x v="1"/>
    <m/>
    <x v="0"/>
    <x v="0"/>
    <s v=""/>
    <s v=""/>
    <s v=""/>
    <s v=""/>
  </r>
  <r>
    <x v="17"/>
    <d v="2026-06-20T16:36:44"/>
    <x v="0"/>
    <n v="63077492"/>
    <n v="363063180000"/>
    <s v="AV579508"/>
    <s v="Fijo"/>
    <x v="2"/>
    <x v="5"/>
    <m/>
    <m/>
    <m/>
    <s v="si"/>
    <d v="2026-06-10T00:00:00"/>
    <n v="98.24"/>
    <x v="0"/>
    <m/>
    <x v="2"/>
    <x v="0"/>
    <s v="10/jun"/>
    <s v=""/>
    <s v=""/>
    <n v="1"/>
  </r>
  <r>
    <x v="17"/>
    <d v="2026-06-20T16:40:37"/>
    <x v="0"/>
    <n v="66111138"/>
    <n v="367072700000"/>
    <s v="6-721-79"/>
    <s v="Fijo"/>
    <x v="2"/>
    <x v="5"/>
    <m/>
    <m/>
    <m/>
    <s v="si"/>
    <d v="2026-06-19T00:00:00"/>
    <n v="27.02"/>
    <x v="1"/>
    <m/>
    <x v="2"/>
    <x v="0"/>
    <s v="19/jun"/>
    <s v=""/>
    <s v=""/>
    <n v="1"/>
  </r>
  <r>
    <x v="17"/>
    <d v="2026-06-20T16:52:17"/>
    <x v="0"/>
    <n v="65445471"/>
    <n v="367072030000"/>
    <s v="2-77-942"/>
    <s v="Fijo"/>
    <x v="0"/>
    <x v="3"/>
    <m/>
    <m/>
    <m/>
    <s v="no"/>
    <m/>
    <m/>
    <x v="1"/>
    <m/>
    <x v="0"/>
    <x v="0"/>
    <s v=""/>
    <s v=""/>
    <s v=""/>
    <s v=""/>
  </r>
  <r>
    <x v="18"/>
    <d v="2026-06-22T09:37:46"/>
    <x v="0"/>
    <n v="63433782"/>
    <n v="361062960000"/>
    <s v="4-719-947"/>
    <s v="Fijo"/>
    <x v="0"/>
    <x v="5"/>
    <m/>
    <m/>
    <m/>
    <s v="si"/>
    <d v="2026-06-21T00:00:00"/>
    <n v="59.76"/>
    <x v="1"/>
    <m/>
    <x v="2"/>
    <x v="0"/>
    <s v="21/jun"/>
    <s v=""/>
    <s v=""/>
    <n v="1"/>
  </r>
  <r>
    <x v="18"/>
    <d v="2026-06-22T09:44:04"/>
    <x v="0"/>
    <n v="66780484"/>
    <n v="313014210000"/>
    <s v="8-210-104"/>
    <s v="Fijo"/>
    <x v="3"/>
    <x v="2"/>
    <m/>
    <m/>
    <m/>
    <s v="no"/>
    <m/>
    <m/>
    <x v="0"/>
    <m/>
    <x v="0"/>
    <x v="0"/>
    <s v=""/>
    <s v=""/>
    <s v=""/>
    <s v=""/>
  </r>
  <r>
    <x v="18"/>
    <d v="2026-06-22T09:47:43"/>
    <x v="0"/>
    <n v="65160603"/>
    <n v="313029860000"/>
    <s v="6-701-486"/>
    <s v="Fijo"/>
    <x v="3"/>
    <x v="2"/>
    <m/>
    <m/>
    <m/>
    <s v="no"/>
    <m/>
    <m/>
    <x v="1"/>
    <m/>
    <x v="0"/>
    <x v="0"/>
    <s v=""/>
    <s v=""/>
    <s v=""/>
    <s v=""/>
  </r>
  <r>
    <x v="18"/>
    <d v="2026-06-22T09:52:32"/>
    <x v="0"/>
    <n v="67924034"/>
    <n v="359269130000"/>
    <s v="9-734-495"/>
    <s v="Fijo"/>
    <x v="3"/>
    <x v="5"/>
    <m/>
    <m/>
    <m/>
    <s v="si"/>
    <d v="2026-06-16T00:00:00"/>
    <n v="25.25"/>
    <x v="1"/>
    <m/>
    <x v="2"/>
    <x v="0"/>
    <s v="16/jun"/>
    <s v=""/>
    <s v=""/>
    <n v="1"/>
  </r>
  <r>
    <x v="18"/>
    <d v="2026-06-22T09:59:24"/>
    <x v="0"/>
    <n v="63390957"/>
    <n v="364067490000"/>
    <s v="8-822-1882"/>
    <s v="Fijo"/>
    <x v="0"/>
    <x v="2"/>
    <m/>
    <m/>
    <m/>
    <s v="no"/>
    <m/>
    <m/>
    <x v="2"/>
    <m/>
    <x v="0"/>
    <x v="0"/>
    <s v=""/>
    <s v=""/>
    <s v=""/>
    <s v=""/>
  </r>
  <r>
    <x v="18"/>
    <d v="2026-06-22T10:02:19"/>
    <x v="0"/>
    <n v="68905432"/>
    <n v="156008920000"/>
    <s v="8-494-739"/>
    <s v="Fijo"/>
    <x v="0"/>
    <x v="2"/>
    <m/>
    <m/>
    <m/>
    <s v="no"/>
    <m/>
    <m/>
    <x v="2"/>
    <m/>
    <x v="0"/>
    <x v="0"/>
    <s v=""/>
    <s v=""/>
    <s v=""/>
    <s v=""/>
  </r>
  <r>
    <x v="18"/>
    <d v="2026-06-22T10:07:36"/>
    <x v="0"/>
    <n v="68905432"/>
    <n v="336022410000"/>
    <s v="10-705-1334"/>
    <s v="Fijo"/>
    <x v="0"/>
    <x v="2"/>
    <m/>
    <m/>
    <m/>
    <s v="no"/>
    <m/>
    <m/>
    <x v="2"/>
    <m/>
    <x v="0"/>
    <x v="0"/>
    <s v=""/>
    <s v=""/>
    <s v=""/>
    <s v=""/>
  </r>
  <r>
    <x v="18"/>
    <d v="2026-06-22T10:09:22"/>
    <x v="0"/>
    <n v="62788030"/>
    <n v="366073590000"/>
    <s v="8-1061-916"/>
    <s v="Fijo"/>
    <x v="0"/>
    <x v="0"/>
    <m/>
    <m/>
    <m/>
    <s v="no"/>
    <m/>
    <m/>
    <x v="1"/>
    <m/>
    <x v="0"/>
    <x v="0"/>
    <s v=""/>
    <s v=""/>
    <s v=""/>
    <s v=""/>
  </r>
  <r>
    <x v="18"/>
    <d v="2026-06-22T10:12:04"/>
    <x v="0"/>
    <n v="68959356"/>
    <n v="366073560000"/>
    <s v="4-770-1664"/>
    <s v="Fijo"/>
    <x v="0"/>
    <x v="6"/>
    <m/>
    <m/>
    <m/>
    <s v="no"/>
    <m/>
    <m/>
    <x v="0"/>
    <m/>
    <x v="0"/>
    <x v="0"/>
    <s v=""/>
    <s v=""/>
    <s v=""/>
    <s v=""/>
  </r>
  <r>
    <x v="18"/>
    <d v="2026-06-22T10:20:30"/>
    <x v="0"/>
    <n v="69392001"/>
    <n v="361072020000"/>
    <s v="1-720-748"/>
    <s v="Fijo"/>
    <x v="0"/>
    <x v="1"/>
    <m/>
    <d v="2026-06-30T00:00:00"/>
    <n v="41.25"/>
    <s v="no"/>
    <m/>
    <m/>
    <x v="2"/>
    <m/>
    <x v="0"/>
    <x v="1"/>
    <s v=""/>
    <s v="30/jun"/>
    <n v="1"/>
    <s v=""/>
  </r>
  <r>
    <x v="18"/>
    <d v="2026-06-22T10:27:50"/>
    <x v="0"/>
    <n v="64996284"/>
    <n v="369071090000"/>
    <s v="4-155-1346"/>
    <s v="Fijo"/>
    <x v="0"/>
    <x v="5"/>
    <m/>
    <m/>
    <m/>
    <s v="si"/>
    <m/>
    <m/>
    <x v="1"/>
    <m/>
    <x v="0"/>
    <x v="0"/>
    <s v=""/>
    <s v=""/>
    <s v=""/>
    <s v=""/>
  </r>
  <r>
    <x v="18"/>
    <d v="2026-06-22T10:31:53"/>
    <x v="0"/>
    <n v="66434489"/>
    <n v="367071160000"/>
    <s v="4-712-1046"/>
    <s v="Fijo"/>
    <x v="0"/>
    <x v="2"/>
    <m/>
    <m/>
    <m/>
    <s v="no"/>
    <m/>
    <m/>
    <x v="0"/>
    <m/>
    <x v="0"/>
    <x v="0"/>
    <s v=""/>
    <s v=""/>
    <s v=""/>
    <s v=""/>
  </r>
  <r>
    <x v="18"/>
    <d v="2026-06-22T10:37:19"/>
    <x v="0"/>
    <n v="62622313"/>
    <n v="361072310000"/>
    <s v="4-202-139"/>
    <s v="Fijo"/>
    <x v="0"/>
    <x v="6"/>
    <m/>
    <m/>
    <m/>
    <s v="no"/>
    <m/>
    <m/>
    <x v="1"/>
    <m/>
    <x v="0"/>
    <x v="0"/>
    <s v=""/>
    <s v=""/>
    <s v=""/>
    <s v=""/>
  </r>
  <r>
    <x v="18"/>
    <d v="2026-06-22T10:44:17"/>
    <x v="0"/>
    <n v="64380183"/>
    <n v="362062300000"/>
    <s v="6-729-1323"/>
    <s v="Fijo"/>
    <x v="0"/>
    <x v="2"/>
    <m/>
    <m/>
    <m/>
    <s v="no"/>
    <m/>
    <m/>
    <x v="1"/>
    <m/>
    <x v="0"/>
    <x v="0"/>
    <s v=""/>
    <s v=""/>
    <s v=""/>
    <s v=""/>
  </r>
  <r>
    <x v="18"/>
    <d v="2026-06-22T10:49:55"/>
    <x v="0"/>
    <n v="66089240"/>
    <n v="363060410000"/>
    <s v="2-756-628"/>
    <s v="Fijo"/>
    <x v="0"/>
    <x v="2"/>
    <m/>
    <m/>
    <m/>
    <s v="no"/>
    <m/>
    <m/>
    <x v="1"/>
    <m/>
    <x v="0"/>
    <x v="0"/>
    <s v=""/>
    <s v=""/>
    <s v=""/>
    <s v=""/>
  </r>
  <r>
    <x v="18"/>
    <d v="2026-06-22T10:58:26"/>
    <x v="0"/>
    <n v="69058564"/>
    <n v="365070270000"/>
    <s v="9-212-158"/>
    <s v="Fijo"/>
    <x v="0"/>
    <x v="1"/>
    <m/>
    <d v="2026-06-27T00:00:00"/>
    <n v="30.29"/>
    <s v="no"/>
    <m/>
    <m/>
    <x v="1"/>
    <m/>
    <x v="0"/>
    <x v="1"/>
    <s v=""/>
    <s v="27/jun"/>
    <n v="1"/>
    <s v=""/>
  </r>
  <r>
    <x v="18"/>
    <d v="2026-06-22T11:06:02"/>
    <x v="0"/>
    <n v="66855886"/>
    <n v="368074710000"/>
    <s v="8--208-1845"/>
    <s v="Fijo"/>
    <x v="0"/>
    <x v="6"/>
    <m/>
    <m/>
    <m/>
    <s v="no"/>
    <m/>
    <m/>
    <x v="1"/>
    <m/>
    <x v="0"/>
    <x v="0"/>
    <s v=""/>
    <s v=""/>
    <s v=""/>
    <s v=""/>
  </r>
  <r>
    <x v="18"/>
    <d v="2026-06-22T11:13:39"/>
    <x v="0"/>
    <n v="67968619"/>
    <n v="362073160000"/>
    <s v="7-81-86"/>
    <s v="Fijo"/>
    <x v="0"/>
    <x v="2"/>
    <m/>
    <m/>
    <m/>
    <s v="no"/>
    <m/>
    <m/>
    <x v="1"/>
    <m/>
    <x v="0"/>
    <x v="0"/>
    <s v=""/>
    <s v=""/>
    <s v=""/>
    <s v=""/>
  </r>
  <r>
    <x v="18"/>
    <d v="2026-06-22T11:19:09"/>
    <x v="0"/>
    <n v="60604019"/>
    <n v="362075190000"/>
    <s v="8-235-952"/>
    <s v="Fijo"/>
    <x v="0"/>
    <x v="3"/>
    <m/>
    <m/>
    <m/>
    <s v="no"/>
    <m/>
    <m/>
    <x v="1"/>
    <m/>
    <x v="0"/>
    <x v="0"/>
    <s v=""/>
    <s v=""/>
    <s v=""/>
    <s v=""/>
  </r>
  <r>
    <x v="18"/>
    <d v="2026-06-22T11:29:51"/>
    <x v="0"/>
    <n v="63637468"/>
    <n v="361066480000"/>
    <s v="8-1063-2386"/>
    <s v="Fijo"/>
    <x v="0"/>
    <x v="1"/>
    <m/>
    <d v="2026-06-30T00:00:00"/>
    <n v="35.92"/>
    <s v="no"/>
    <m/>
    <m/>
    <x v="1"/>
    <m/>
    <x v="0"/>
    <x v="1"/>
    <s v=""/>
    <s v="30/jun"/>
    <n v="1"/>
    <s v=""/>
  </r>
  <r>
    <x v="18"/>
    <d v="2026-06-22T11:34:57"/>
    <x v="0"/>
    <n v="69391020"/>
    <n v="363058580000"/>
    <s v="8-1058-217"/>
    <s v="Fijo"/>
    <x v="0"/>
    <x v="2"/>
    <m/>
    <m/>
    <m/>
    <s v="no"/>
    <m/>
    <m/>
    <x v="1"/>
    <m/>
    <x v="0"/>
    <x v="0"/>
    <s v=""/>
    <s v=""/>
    <s v=""/>
    <s v=""/>
  </r>
  <r>
    <x v="18"/>
    <d v="2026-06-22T11:44:00"/>
    <x v="0"/>
    <n v="66646744"/>
    <n v="361067300000"/>
    <s v="2-758-874"/>
    <s v="Fijo"/>
    <x v="0"/>
    <x v="3"/>
    <m/>
    <d v="2026-07-01T00:00:00"/>
    <n v="30.44"/>
    <s v="no"/>
    <m/>
    <m/>
    <x v="1"/>
    <m/>
    <x v="0"/>
    <x v="2"/>
    <s v=""/>
    <s v="01/jul"/>
    <n v="1"/>
    <s v=""/>
  </r>
  <r>
    <x v="18"/>
    <d v="2026-06-22T11:48:40"/>
    <x v="0"/>
    <n v="61642920"/>
    <n v="337004780000"/>
    <s v="4-263-407"/>
    <s v="Fijo"/>
    <x v="0"/>
    <x v="2"/>
    <m/>
    <m/>
    <m/>
    <s v="no"/>
    <m/>
    <m/>
    <x v="0"/>
    <m/>
    <x v="0"/>
    <x v="0"/>
    <s v=""/>
    <s v=""/>
    <s v=""/>
    <s v=""/>
  </r>
  <r>
    <x v="18"/>
    <d v="2026-06-22T11:53:36"/>
    <x v="0"/>
    <n v="62119868"/>
    <n v="367075060000"/>
    <s v="8-717-2426"/>
    <s v="Fijo"/>
    <x v="0"/>
    <x v="0"/>
    <m/>
    <m/>
    <m/>
    <s v="no"/>
    <m/>
    <m/>
    <x v="0"/>
    <m/>
    <x v="0"/>
    <x v="0"/>
    <s v=""/>
    <s v=""/>
    <s v=""/>
    <s v=""/>
  </r>
  <r>
    <x v="18"/>
    <d v="2026-06-22T11:58:43"/>
    <x v="0"/>
    <n v="63440083"/>
    <n v="191077510000"/>
    <s v="8-830-175"/>
    <s v="Fijo"/>
    <x v="0"/>
    <x v="2"/>
    <m/>
    <m/>
    <m/>
    <s v="no"/>
    <m/>
    <m/>
    <x v="1"/>
    <m/>
    <x v="0"/>
    <x v="0"/>
    <s v=""/>
    <s v=""/>
    <s v=""/>
    <s v=""/>
  </r>
  <r>
    <x v="18"/>
    <d v="2026-06-22T12:02:58"/>
    <x v="0"/>
    <n v="67909960"/>
    <n v="369073360000"/>
    <s v="3-731-1672"/>
    <s v="Fijo"/>
    <x v="0"/>
    <x v="5"/>
    <m/>
    <m/>
    <m/>
    <s v="si"/>
    <d v="2026-07-07T00:00:00"/>
    <n v="45"/>
    <x v="1"/>
    <m/>
    <x v="4"/>
    <x v="0"/>
    <s v="07/jul"/>
    <s v=""/>
    <s v=""/>
    <n v="1"/>
  </r>
  <r>
    <x v="18"/>
    <d v="2026-06-22T12:06:57"/>
    <x v="0"/>
    <n v="63354466"/>
    <n v="343420510000"/>
    <s v="8-1040-1989"/>
    <s v="Fijo"/>
    <x v="0"/>
    <x v="1"/>
    <m/>
    <m/>
    <m/>
    <s v="no"/>
    <m/>
    <m/>
    <x v="1"/>
    <m/>
    <x v="0"/>
    <x v="0"/>
    <s v=""/>
    <s v=""/>
    <s v=""/>
    <s v=""/>
  </r>
  <r>
    <x v="18"/>
    <d v="2026-06-22T12:10:02"/>
    <x v="0"/>
    <n v="66306955"/>
    <n v="345058150000"/>
    <s v="4-773-1237"/>
    <s v="Fijo"/>
    <x v="0"/>
    <x v="2"/>
    <m/>
    <m/>
    <m/>
    <s v="no"/>
    <m/>
    <m/>
    <x v="1"/>
    <m/>
    <x v="0"/>
    <x v="0"/>
    <s v=""/>
    <s v=""/>
    <s v=""/>
    <s v=""/>
  </r>
  <r>
    <x v="18"/>
    <d v="2026-06-22T12:19:35"/>
    <x v="0"/>
    <n v="60343819"/>
    <n v="361073620000"/>
    <s v="E-8-132763"/>
    <s v="Fijo"/>
    <x v="0"/>
    <x v="5"/>
    <m/>
    <m/>
    <m/>
    <s v="si"/>
    <d v="2026-06-19T00:00:00"/>
    <n v="33.78"/>
    <x v="1"/>
    <m/>
    <x v="2"/>
    <x v="0"/>
    <s v="19/jun"/>
    <s v=""/>
    <s v=""/>
    <n v="1"/>
  </r>
  <r>
    <x v="18"/>
    <d v="2026-06-22T12:26:35"/>
    <x v="0"/>
    <n v="62129449"/>
    <n v="363072300000"/>
    <s v="9-187-914"/>
    <s v="Fijo"/>
    <x v="0"/>
    <x v="2"/>
    <m/>
    <m/>
    <m/>
    <s v="no"/>
    <m/>
    <m/>
    <x v="1"/>
    <m/>
    <x v="0"/>
    <x v="0"/>
    <s v=""/>
    <s v=""/>
    <s v=""/>
    <s v=""/>
  </r>
  <r>
    <x v="18"/>
    <d v="2026-06-22T12:30:42"/>
    <x v="0"/>
    <n v="63420494"/>
    <n v="364072080000"/>
    <s v="2-104-2164"/>
    <s v="Fijo"/>
    <x v="0"/>
    <x v="3"/>
    <m/>
    <m/>
    <m/>
    <s v="no"/>
    <m/>
    <m/>
    <x v="1"/>
    <m/>
    <x v="0"/>
    <x v="0"/>
    <s v=""/>
    <s v=""/>
    <s v=""/>
    <s v=""/>
  </r>
  <r>
    <x v="18"/>
    <d v="2026-06-22T12:37:31"/>
    <x v="0"/>
    <n v="65160807"/>
    <n v="361074410000"/>
    <s v="C03818210"/>
    <s v="Fijo"/>
    <x v="0"/>
    <x v="2"/>
    <m/>
    <m/>
    <m/>
    <s v="no"/>
    <m/>
    <m/>
    <x v="1"/>
    <m/>
    <x v="0"/>
    <x v="0"/>
    <s v=""/>
    <s v=""/>
    <s v=""/>
    <s v=""/>
  </r>
  <r>
    <x v="18"/>
    <d v="2026-06-22T12:46:00"/>
    <x v="0"/>
    <n v="61374842"/>
    <n v="361074100000"/>
    <s v="10-27-561"/>
    <s v="Fijo"/>
    <x v="0"/>
    <x v="2"/>
    <m/>
    <m/>
    <m/>
    <s v="no"/>
    <m/>
    <m/>
    <x v="1"/>
    <m/>
    <x v="0"/>
    <x v="0"/>
    <s v=""/>
    <s v=""/>
    <s v=""/>
    <s v=""/>
  </r>
  <r>
    <x v="18"/>
    <d v="2026-06-22T12:50:42"/>
    <x v="0"/>
    <n v="64278864"/>
    <n v="363068300000"/>
    <s v="8-939-983"/>
    <s v="Fijo"/>
    <x v="0"/>
    <x v="2"/>
    <m/>
    <m/>
    <m/>
    <s v="no"/>
    <m/>
    <m/>
    <x v="1"/>
    <m/>
    <x v="0"/>
    <x v="0"/>
    <s v=""/>
    <s v=""/>
    <s v=""/>
    <s v=""/>
  </r>
  <r>
    <x v="18"/>
    <d v="2026-06-22T12:54:30"/>
    <x v="0"/>
    <n v="65992229"/>
    <n v="351346290000"/>
    <s v="A35309185"/>
    <s v="Fijo"/>
    <x v="6"/>
    <x v="6"/>
    <m/>
    <m/>
    <m/>
    <s v="no"/>
    <m/>
    <m/>
    <x v="0"/>
    <m/>
    <x v="0"/>
    <x v="0"/>
    <s v=""/>
    <s v=""/>
    <s v=""/>
    <s v=""/>
  </r>
  <r>
    <x v="18"/>
    <d v="2026-06-22T13:01:39"/>
    <x v="0"/>
    <n v="69203641"/>
    <n v="369057230000"/>
    <s v="AT197700"/>
    <s v="Fijo"/>
    <x v="2"/>
    <x v="5"/>
    <m/>
    <m/>
    <m/>
    <s v="si"/>
    <d v="2026-06-12T00:00:00"/>
    <n v="54.85"/>
    <x v="2"/>
    <m/>
    <x v="2"/>
    <x v="0"/>
    <s v="12/jun"/>
    <s v=""/>
    <s v=""/>
    <n v="1"/>
  </r>
  <r>
    <x v="18"/>
    <d v="2026-06-22T13:05:52"/>
    <x v="0"/>
    <n v="64229214"/>
    <n v="369071080000"/>
    <s v="A69105803"/>
    <s v="Fijo"/>
    <x v="2"/>
    <x v="1"/>
    <m/>
    <m/>
    <m/>
    <s v="no"/>
    <m/>
    <m/>
    <x v="1"/>
    <s v="No brinda fecha de pago."/>
    <x v="0"/>
    <x v="0"/>
    <s v=""/>
    <s v=""/>
    <s v=""/>
    <s v=""/>
  </r>
  <r>
    <x v="18"/>
    <d v="2026-06-22T13:09:18"/>
    <x v="0"/>
    <n v="66287235"/>
    <n v="363069820000"/>
    <s v="8-1050-156"/>
    <s v="Fijo"/>
    <x v="0"/>
    <x v="2"/>
    <m/>
    <m/>
    <m/>
    <s v="no"/>
    <m/>
    <m/>
    <x v="1"/>
    <m/>
    <x v="0"/>
    <x v="0"/>
    <s v=""/>
    <s v=""/>
    <s v=""/>
    <s v=""/>
  </r>
  <r>
    <x v="18"/>
    <d v="2026-06-22T14:22:16"/>
    <x v="0"/>
    <n v="64323491"/>
    <n v="361072760000"/>
    <s v="8-889-694"/>
    <s v="Fijo"/>
    <x v="0"/>
    <x v="1"/>
    <m/>
    <d v="2026-06-29T00:00:00"/>
    <n v="38.340000000000003"/>
    <s v="no"/>
    <m/>
    <m/>
    <x v="1"/>
    <m/>
    <x v="0"/>
    <x v="1"/>
    <s v=""/>
    <s v="29/jun"/>
    <n v="1"/>
    <s v=""/>
  </r>
  <r>
    <x v="18"/>
    <d v="2026-06-22T14:29:59"/>
    <x v="0"/>
    <n v="63178767"/>
    <n v="362074420000"/>
    <s v="8-339-199"/>
    <s v="Fijo"/>
    <x v="0"/>
    <x v="2"/>
    <m/>
    <m/>
    <m/>
    <s v="no"/>
    <m/>
    <m/>
    <x v="1"/>
    <m/>
    <x v="0"/>
    <x v="0"/>
    <s v=""/>
    <s v=""/>
    <s v=""/>
    <s v=""/>
  </r>
  <r>
    <x v="18"/>
    <d v="2026-06-22T14:39:02"/>
    <x v="0"/>
    <n v="66735111"/>
    <n v="362069840000"/>
    <s v="8-238-806"/>
    <s v="Fijo"/>
    <x v="3"/>
    <x v="1"/>
    <m/>
    <m/>
    <m/>
    <s v="no"/>
    <m/>
    <m/>
    <x v="1"/>
    <s v="Incomodo con la llamada."/>
    <x v="0"/>
    <x v="0"/>
    <s v=""/>
    <s v=""/>
    <s v=""/>
    <s v=""/>
  </r>
  <r>
    <x v="18"/>
    <d v="2026-06-22T14:48:01"/>
    <x v="0"/>
    <n v="60052404"/>
    <n v="343431870000"/>
    <s v="8-902-837"/>
    <s v="Fijo"/>
    <x v="4"/>
    <x v="1"/>
    <m/>
    <d v="2026-06-26T00:00:00"/>
    <n v="59.84"/>
    <s v="no"/>
    <m/>
    <n v="59.84"/>
    <x v="1"/>
    <m/>
    <x v="0"/>
    <x v="1"/>
    <s v=""/>
    <s v="26/jun"/>
    <n v="1"/>
    <s v=""/>
  </r>
  <r>
    <x v="18"/>
    <d v="2026-06-22T14:54:32"/>
    <x v="0"/>
    <n v="64603953"/>
    <n v="367072920000"/>
    <s v="4-739-176"/>
    <s v="Fijo"/>
    <x v="4"/>
    <x v="1"/>
    <m/>
    <d v="2026-06-28T00:00:00"/>
    <n v="19.850000000000001"/>
    <s v="no"/>
    <m/>
    <m/>
    <x v="1"/>
    <m/>
    <x v="0"/>
    <x v="1"/>
    <s v=""/>
    <s v="28/jun"/>
    <n v="1"/>
    <s v=""/>
  </r>
  <r>
    <x v="18"/>
    <d v="2026-06-22T15:02:39"/>
    <x v="0"/>
    <n v="60158730"/>
    <n v="188077690000"/>
    <s v="8-521-1995"/>
    <s v="Fijo"/>
    <x v="4"/>
    <x v="2"/>
    <m/>
    <m/>
    <m/>
    <s v="no"/>
    <m/>
    <m/>
    <x v="1"/>
    <m/>
    <x v="0"/>
    <x v="0"/>
    <s v=""/>
    <s v=""/>
    <s v=""/>
    <s v=""/>
  </r>
  <r>
    <x v="18"/>
    <d v="2026-06-22T15:08:18"/>
    <x v="0"/>
    <n v="68383673"/>
    <n v="361071000000"/>
    <s v="8-1037-1872"/>
    <s v="Fijo"/>
    <x v="0"/>
    <x v="0"/>
    <m/>
    <m/>
    <m/>
    <s v="no"/>
    <m/>
    <m/>
    <x v="0"/>
    <m/>
    <x v="0"/>
    <x v="0"/>
    <s v=""/>
    <s v=""/>
    <s v=""/>
    <s v=""/>
  </r>
  <r>
    <x v="18"/>
    <d v="2026-06-22T15:16:01"/>
    <x v="0"/>
    <n v="64247048"/>
    <n v="368074220000"/>
    <s v="N-21-896"/>
    <s v="Fijo"/>
    <x v="0"/>
    <x v="2"/>
    <m/>
    <m/>
    <m/>
    <s v="no"/>
    <m/>
    <m/>
    <x v="1"/>
    <m/>
    <x v="0"/>
    <x v="0"/>
    <s v=""/>
    <s v=""/>
    <s v=""/>
    <s v=""/>
  </r>
  <r>
    <x v="18"/>
    <d v="2026-06-22T15:33:04"/>
    <x v="0"/>
    <n v="68452412"/>
    <n v="194075090000"/>
    <s v="8-799-680"/>
    <s v="Fijo"/>
    <x v="0"/>
    <x v="1"/>
    <m/>
    <m/>
    <m/>
    <s v="no"/>
    <m/>
    <m/>
    <x v="0"/>
    <s v="No brinda fecha de pago."/>
    <x v="0"/>
    <x v="0"/>
    <s v=""/>
    <s v=""/>
    <s v=""/>
    <s v=""/>
  </r>
  <r>
    <x v="18"/>
    <d v="2026-06-22T15:41:22"/>
    <x v="0"/>
    <n v="66093967"/>
    <n v="364073280000"/>
    <s v="4-768-2253"/>
    <s v="Fijo"/>
    <x v="0"/>
    <x v="0"/>
    <m/>
    <m/>
    <m/>
    <s v="no"/>
    <m/>
    <m/>
    <x v="0"/>
    <m/>
    <x v="0"/>
    <x v="0"/>
    <s v=""/>
    <s v=""/>
    <s v=""/>
    <s v=""/>
  </r>
  <r>
    <x v="18"/>
    <d v="2026-06-22T15:46:16"/>
    <x v="0"/>
    <n v="68613749"/>
    <n v="367073560000"/>
    <s v="4-746-1997"/>
    <s v="Fijo"/>
    <x v="0"/>
    <x v="2"/>
    <m/>
    <m/>
    <m/>
    <s v="no"/>
    <m/>
    <m/>
    <x v="1"/>
    <m/>
    <x v="0"/>
    <x v="0"/>
    <s v=""/>
    <s v=""/>
    <s v=""/>
    <s v=""/>
  </r>
  <r>
    <x v="18"/>
    <d v="2026-06-22T15:56:31"/>
    <x v="0"/>
    <n v="69390445"/>
    <n v="364064210000"/>
    <s v="4-825-1271"/>
    <s v="Fijo"/>
    <x v="0"/>
    <x v="1"/>
    <m/>
    <m/>
    <m/>
    <s v="no"/>
    <m/>
    <m/>
    <x v="1"/>
    <s v="No brinda fecha de pago."/>
    <x v="0"/>
    <x v="0"/>
    <s v=""/>
    <s v=""/>
    <s v=""/>
    <s v=""/>
  </r>
  <r>
    <x v="18"/>
    <d v="2026-06-22T16:04:15"/>
    <x v="0"/>
    <n v="62840920"/>
    <n v="364072670000"/>
    <s v="9-747-823"/>
    <s v="Fijo"/>
    <x v="0"/>
    <x v="0"/>
    <m/>
    <m/>
    <m/>
    <s v="no"/>
    <m/>
    <m/>
    <x v="1"/>
    <m/>
    <x v="0"/>
    <x v="0"/>
    <s v=""/>
    <s v=""/>
    <s v=""/>
    <s v=""/>
  </r>
  <r>
    <x v="18"/>
    <d v="2026-06-22T16:13:31"/>
    <x v="0"/>
    <n v="67385594"/>
    <n v="368068980000"/>
    <s v="8-1091-1258"/>
    <s v="Fijo"/>
    <x v="2"/>
    <x v="5"/>
    <m/>
    <m/>
    <m/>
    <s v="si"/>
    <d v="2026-05-31T00:00:00"/>
    <n v="47.54"/>
    <x v="1"/>
    <m/>
    <x v="1"/>
    <x v="0"/>
    <s v="31/may"/>
    <s v=""/>
    <s v=""/>
    <n v="1"/>
  </r>
  <r>
    <x v="18"/>
    <d v="2026-06-22T16:19:58"/>
    <x v="0"/>
    <n v="60068310"/>
    <n v="363064550000"/>
    <s v="3-727-346"/>
    <s v="Fijo"/>
    <x v="0"/>
    <x v="2"/>
    <m/>
    <m/>
    <m/>
    <s v="no"/>
    <m/>
    <m/>
    <x v="1"/>
    <m/>
    <x v="0"/>
    <x v="0"/>
    <s v=""/>
    <s v=""/>
    <s v=""/>
    <s v=""/>
  </r>
  <r>
    <x v="18"/>
    <d v="2026-06-22T16:26:27"/>
    <x v="0"/>
    <n v="62115491"/>
    <n v="365074590000"/>
    <s v="8-236-951"/>
    <s v="Fijo"/>
    <x v="0"/>
    <x v="2"/>
    <m/>
    <m/>
    <m/>
    <s v="no"/>
    <m/>
    <m/>
    <x v="0"/>
    <m/>
    <x v="0"/>
    <x v="0"/>
    <s v=""/>
    <s v=""/>
    <s v=""/>
    <s v=""/>
  </r>
  <r>
    <x v="18"/>
    <d v="2026-06-22T16:32:39"/>
    <x v="0"/>
    <n v="68842070"/>
    <n v="368072820000"/>
    <s v="8-905-1894"/>
    <s v="Fijo"/>
    <x v="0"/>
    <x v="2"/>
    <m/>
    <m/>
    <m/>
    <s v="no"/>
    <m/>
    <m/>
    <x v="1"/>
    <m/>
    <x v="0"/>
    <x v="0"/>
    <s v=""/>
    <s v=""/>
    <s v=""/>
    <s v=""/>
  </r>
  <r>
    <x v="18"/>
    <d v="2026-06-22T16:49:53"/>
    <x v="0"/>
    <n v="69111921"/>
    <n v="366073060000"/>
    <s v="3-760-1493"/>
    <s v="Fijo"/>
    <x v="0"/>
    <x v="3"/>
    <m/>
    <m/>
    <m/>
    <s v="no"/>
    <m/>
    <m/>
    <x v="1"/>
    <m/>
    <x v="0"/>
    <x v="0"/>
    <s v=""/>
    <s v=""/>
    <s v=""/>
    <s v=""/>
  </r>
  <r>
    <x v="18"/>
    <d v="2026-06-22T16:56:46"/>
    <x v="0"/>
    <n v="61322987"/>
    <n v="364069350000"/>
    <s v="8-839-2303"/>
    <s v="Fijo"/>
    <x v="0"/>
    <x v="0"/>
    <m/>
    <m/>
    <m/>
    <s v="no"/>
    <m/>
    <m/>
    <x v="1"/>
    <m/>
    <x v="0"/>
    <x v="0"/>
    <s v=""/>
    <s v=""/>
    <s v=""/>
    <s v=""/>
  </r>
  <r>
    <x v="18"/>
    <d v="2026-06-22T17:06:33"/>
    <x v="0"/>
    <n v="64460950"/>
    <n v="365063110000"/>
    <s v="4-729-2381"/>
    <s v="Fijo"/>
    <x v="0"/>
    <x v="5"/>
    <m/>
    <m/>
    <m/>
    <s v="si"/>
    <d v="2026-06-22T00:00:00"/>
    <n v="31.03"/>
    <x v="1"/>
    <m/>
    <x v="2"/>
    <x v="0"/>
    <s v="22/jun"/>
    <s v=""/>
    <s v=""/>
    <n v="1"/>
  </r>
  <r>
    <x v="18"/>
    <d v="2026-06-22T17:12:00"/>
    <x v="0"/>
    <n v="62746033"/>
    <n v="369057120000"/>
    <s v="8-113-601"/>
    <s v="Fijo"/>
    <x v="0"/>
    <x v="0"/>
    <m/>
    <m/>
    <m/>
    <s v="no"/>
    <m/>
    <m/>
    <x v="1"/>
    <m/>
    <x v="0"/>
    <x v="0"/>
    <s v=""/>
    <s v=""/>
    <s v=""/>
    <s v=""/>
  </r>
  <r>
    <x v="18"/>
    <d v="2026-06-22T17:21:13"/>
    <x v="0"/>
    <n v="68205684"/>
    <n v="362040100000"/>
    <s v="8-860-2440"/>
    <s v="Fijo"/>
    <x v="0"/>
    <x v="3"/>
    <m/>
    <m/>
    <m/>
    <s v="no"/>
    <m/>
    <m/>
    <x v="1"/>
    <m/>
    <x v="0"/>
    <x v="0"/>
    <s v=""/>
    <s v=""/>
    <s v=""/>
    <s v=""/>
  </r>
  <r>
    <x v="18"/>
    <d v="2026-06-22T17:28:58"/>
    <x v="0"/>
    <n v="63004038"/>
    <n v="368072120000"/>
    <s v="BG343998"/>
    <s v="Fijo"/>
    <x v="3"/>
    <x v="0"/>
    <m/>
    <m/>
    <m/>
    <s v="si"/>
    <m/>
    <m/>
    <x v="1"/>
    <m/>
    <x v="0"/>
    <x v="0"/>
    <s v=""/>
    <s v=""/>
    <s v=""/>
    <s v=""/>
  </r>
  <r>
    <x v="18"/>
    <d v="2026-06-22T17:35:03"/>
    <x v="0"/>
    <n v="65135172"/>
    <n v="368067300000"/>
    <s v="8-467-761"/>
    <s v="Fijo"/>
    <x v="0"/>
    <x v="2"/>
    <m/>
    <m/>
    <m/>
    <s v="no"/>
    <m/>
    <m/>
    <x v="1"/>
    <m/>
    <x v="0"/>
    <x v="0"/>
    <s v=""/>
    <s v=""/>
    <s v=""/>
    <s v=""/>
  </r>
  <r>
    <x v="18"/>
    <d v="2026-06-22T17:44:58"/>
    <x v="0"/>
    <n v="67158965"/>
    <n v="362055490000"/>
    <s v="8-953-2411"/>
    <s v="Fijo"/>
    <x v="0"/>
    <x v="2"/>
    <m/>
    <m/>
    <m/>
    <s v="no"/>
    <m/>
    <m/>
    <x v="0"/>
    <m/>
    <x v="0"/>
    <x v="0"/>
    <s v=""/>
    <s v=""/>
    <s v=""/>
    <s v=""/>
  </r>
  <r>
    <x v="19"/>
    <d v="2026-06-23T09:17:08"/>
    <x v="0"/>
    <n v="66870548"/>
    <n v="366076100000"/>
    <n v="143175827"/>
    <s v="Fijo"/>
    <x v="0"/>
    <x v="2"/>
    <m/>
    <m/>
    <m/>
    <s v="no"/>
    <m/>
    <m/>
    <x v="1"/>
    <m/>
    <x v="0"/>
    <x v="0"/>
    <s v=""/>
    <s v=""/>
    <s v=""/>
    <s v=""/>
  </r>
  <r>
    <x v="19"/>
    <d v="2026-06-23T09:20:24"/>
    <x v="0"/>
    <n v="66789087"/>
    <n v="363069600000"/>
    <s v="8-762-2180"/>
    <s v="Fijo"/>
    <x v="0"/>
    <x v="2"/>
    <m/>
    <m/>
    <m/>
    <s v="no"/>
    <m/>
    <m/>
    <x v="0"/>
    <m/>
    <x v="0"/>
    <x v="0"/>
    <s v=""/>
    <s v=""/>
    <s v=""/>
    <s v=""/>
  </r>
  <r>
    <x v="19"/>
    <d v="2026-06-23T09:24:22"/>
    <x v="0"/>
    <n v="69043978"/>
    <n v="369072220000"/>
    <s v="8-214-2425"/>
    <s v="Fijo"/>
    <x v="0"/>
    <x v="3"/>
    <m/>
    <m/>
    <m/>
    <s v="no"/>
    <m/>
    <m/>
    <x v="1"/>
    <m/>
    <x v="0"/>
    <x v="0"/>
    <s v=""/>
    <s v=""/>
    <s v=""/>
    <s v=""/>
  </r>
  <r>
    <x v="19"/>
    <d v="2026-06-23T09:27:45"/>
    <x v="0"/>
    <n v="67095326"/>
    <n v="348356950000"/>
    <s v="8-797-772"/>
    <s v="Fijo"/>
    <x v="0"/>
    <x v="2"/>
    <m/>
    <m/>
    <m/>
    <s v="no"/>
    <m/>
    <m/>
    <x v="1"/>
    <m/>
    <x v="0"/>
    <x v="0"/>
    <s v=""/>
    <s v=""/>
    <s v=""/>
    <s v=""/>
  </r>
  <r>
    <x v="19"/>
    <d v="2026-06-23T09:28:56"/>
    <x v="0"/>
    <n v="64084980"/>
    <n v="217002760000"/>
    <s v="8-767-801"/>
    <s v="Fijo"/>
    <x v="0"/>
    <x v="6"/>
    <m/>
    <m/>
    <m/>
    <s v="no"/>
    <m/>
    <m/>
    <x v="0"/>
    <m/>
    <x v="0"/>
    <x v="0"/>
    <s v=""/>
    <s v=""/>
    <s v=""/>
    <s v=""/>
  </r>
  <r>
    <x v="19"/>
    <d v="2026-06-23T09:42:13"/>
    <x v="0"/>
    <n v="63338210"/>
    <n v="179020620000"/>
    <s v="8-823-886"/>
    <s v="Fijo"/>
    <x v="0"/>
    <x v="2"/>
    <m/>
    <m/>
    <m/>
    <s v="no"/>
    <m/>
    <m/>
    <x v="1"/>
    <m/>
    <x v="0"/>
    <x v="0"/>
    <s v=""/>
    <s v=""/>
    <s v=""/>
    <s v=""/>
  </r>
  <r>
    <x v="19"/>
    <d v="2026-06-23T09:53:50"/>
    <x v="0"/>
    <n v="69658445"/>
    <n v="365076080000"/>
    <s v="8-514-414"/>
    <s v="Fijo"/>
    <x v="0"/>
    <x v="1"/>
    <m/>
    <m/>
    <m/>
    <s v="no"/>
    <m/>
    <m/>
    <x v="1"/>
    <s v="No brinda fecha."/>
    <x v="0"/>
    <x v="0"/>
    <s v=""/>
    <s v=""/>
    <s v=""/>
    <s v=""/>
  </r>
  <r>
    <x v="19"/>
    <d v="2026-06-23T10:04:43"/>
    <x v="0"/>
    <n v="65326159"/>
    <n v="219061750000"/>
    <s v="8-255-668"/>
    <s v="Fijo"/>
    <x v="0"/>
    <x v="1"/>
    <m/>
    <m/>
    <m/>
    <s v="no"/>
    <m/>
    <m/>
    <x v="0"/>
    <s v="Indica no va a pagar nunca funciono."/>
    <x v="0"/>
    <x v="0"/>
    <s v=""/>
    <s v=""/>
    <s v=""/>
    <s v=""/>
  </r>
  <r>
    <x v="19"/>
    <d v="2026-06-23T10:10:30"/>
    <x v="0"/>
    <n v="62213643"/>
    <n v="369074860000"/>
    <s v="8-1020-1378"/>
    <s v="Fijo"/>
    <x v="0"/>
    <x v="2"/>
    <m/>
    <m/>
    <m/>
    <s v="no"/>
    <m/>
    <m/>
    <x v="0"/>
    <m/>
    <x v="0"/>
    <x v="0"/>
    <s v=""/>
    <s v=""/>
    <s v=""/>
    <s v=""/>
  </r>
  <r>
    <x v="19"/>
    <d v="2026-06-23T10:17:07"/>
    <x v="0"/>
    <n v="68530382"/>
    <n v="368074680000"/>
    <s v="8-1001-1790"/>
    <s v="Fijo"/>
    <x v="0"/>
    <x v="2"/>
    <m/>
    <m/>
    <m/>
    <s v="no"/>
    <m/>
    <m/>
    <x v="1"/>
    <m/>
    <x v="0"/>
    <x v="0"/>
    <s v=""/>
    <s v=""/>
    <s v=""/>
    <s v=""/>
  </r>
  <r>
    <x v="19"/>
    <d v="2026-06-23T10:24:40"/>
    <x v="0"/>
    <n v="66886720"/>
    <n v="366075190000"/>
    <s v="2-101-2201"/>
    <s v="Fijo"/>
    <x v="0"/>
    <x v="5"/>
    <m/>
    <m/>
    <m/>
    <s v="si"/>
    <d v="2026-06-22T00:00:00"/>
    <n v="26.92"/>
    <x v="1"/>
    <m/>
    <x v="2"/>
    <x v="0"/>
    <s v="22/jun"/>
    <s v=""/>
    <s v=""/>
    <n v="1"/>
  </r>
  <r>
    <x v="19"/>
    <d v="2026-06-23T10:33:17"/>
    <x v="0"/>
    <n v="66517976"/>
    <n v="363072090000"/>
    <s v="8-979-1261"/>
    <s v="Fijo"/>
    <x v="0"/>
    <x v="2"/>
    <m/>
    <m/>
    <m/>
    <s v="no"/>
    <m/>
    <m/>
    <x v="1"/>
    <m/>
    <x v="0"/>
    <x v="0"/>
    <s v=""/>
    <s v=""/>
    <s v=""/>
    <s v=""/>
  </r>
  <r>
    <x v="19"/>
    <d v="2026-06-23T10:36:03"/>
    <x v="0"/>
    <n v="60598819"/>
    <n v="191080030000"/>
    <s v="8-312-277"/>
    <s v="Fijo"/>
    <x v="4"/>
    <x v="1"/>
    <m/>
    <m/>
    <m/>
    <s v="no"/>
    <m/>
    <m/>
    <x v="1"/>
    <m/>
    <x v="0"/>
    <x v="0"/>
    <s v=""/>
    <s v=""/>
    <s v=""/>
    <s v=""/>
  </r>
  <r>
    <x v="19"/>
    <d v="2026-06-23T10:40:59"/>
    <x v="0"/>
    <n v="62880553"/>
    <n v="308030270000"/>
    <s v="8-521-2239"/>
    <s v="Fijo"/>
    <x v="0"/>
    <x v="3"/>
    <m/>
    <m/>
    <m/>
    <s v="no"/>
    <m/>
    <m/>
    <x v="2"/>
    <m/>
    <x v="0"/>
    <x v="0"/>
    <s v=""/>
    <s v=""/>
    <s v=""/>
    <s v=""/>
  </r>
  <r>
    <x v="19"/>
    <d v="2026-06-23T10:46:47"/>
    <x v="0"/>
    <n v="66482033"/>
    <n v="355135250000"/>
    <s v="8-948-635"/>
    <s v="Fijo"/>
    <x v="0"/>
    <x v="5"/>
    <m/>
    <m/>
    <m/>
    <s v="si"/>
    <d v="2026-06-21T00:00:00"/>
    <n v="30.44"/>
    <x v="1"/>
    <m/>
    <x v="2"/>
    <x v="0"/>
    <s v="21/jun"/>
    <s v=""/>
    <s v=""/>
    <n v="1"/>
  </r>
  <r>
    <x v="19"/>
    <d v="2026-06-23T10:55:30"/>
    <x v="0"/>
    <n v="66574444"/>
    <n v="367069030000"/>
    <s v="3-741-2329"/>
    <s v="Fijo"/>
    <x v="0"/>
    <x v="2"/>
    <m/>
    <m/>
    <m/>
    <s v="no"/>
    <m/>
    <m/>
    <x v="1"/>
    <m/>
    <x v="0"/>
    <x v="0"/>
    <s v=""/>
    <s v=""/>
    <s v=""/>
    <s v=""/>
  </r>
  <r>
    <x v="19"/>
    <d v="2026-06-23T11:03:07"/>
    <x v="0"/>
    <n v="62031400"/>
    <n v="365067220000"/>
    <s v="8-337-543"/>
    <s v="Fijo"/>
    <x v="0"/>
    <x v="1"/>
    <m/>
    <m/>
    <m/>
    <s v="no"/>
    <m/>
    <m/>
    <x v="1"/>
    <s v="No le gusta que la llamen para recordar el pago."/>
    <x v="0"/>
    <x v="0"/>
    <s v=""/>
    <s v=""/>
    <s v=""/>
    <s v=""/>
  </r>
  <r>
    <x v="19"/>
    <d v="2026-06-23T11:06:18"/>
    <x v="0"/>
    <n v="63097683"/>
    <n v="363074280000"/>
    <s v="4-762-103"/>
    <s v="Fijo"/>
    <x v="0"/>
    <x v="0"/>
    <m/>
    <m/>
    <m/>
    <s v="no"/>
    <m/>
    <m/>
    <x v="1"/>
    <m/>
    <x v="0"/>
    <x v="0"/>
    <s v=""/>
    <s v=""/>
    <s v=""/>
    <s v=""/>
  </r>
  <r>
    <x v="19"/>
    <d v="2026-06-23T11:09:18"/>
    <x v="0"/>
    <n v="64437334"/>
    <n v="368074250000"/>
    <s v="4-829-868"/>
    <s v="Fijo"/>
    <x v="0"/>
    <x v="2"/>
    <m/>
    <m/>
    <m/>
    <s v="no"/>
    <m/>
    <m/>
    <x v="0"/>
    <m/>
    <x v="0"/>
    <x v="0"/>
    <s v=""/>
    <s v=""/>
    <s v=""/>
    <s v=""/>
  </r>
  <r>
    <x v="19"/>
    <d v="2026-06-23T11:16:11"/>
    <x v="0"/>
    <n v="69344377"/>
    <n v="363074170000"/>
    <s v="6-719-1299"/>
    <s v="Fijo"/>
    <x v="0"/>
    <x v="5"/>
    <m/>
    <m/>
    <m/>
    <s v="si"/>
    <d v="2026-06-17T00:00:00"/>
    <n v="34.85"/>
    <x v="1"/>
    <m/>
    <x v="2"/>
    <x v="0"/>
    <s v="17/jun"/>
    <s v=""/>
    <s v=""/>
    <n v="1"/>
  </r>
  <r>
    <x v="19"/>
    <d v="2026-06-23T11:21:38"/>
    <x v="0"/>
    <n v="61646786"/>
    <n v="367075490000"/>
    <s v="3-84-1995"/>
    <s v="Fijo"/>
    <x v="0"/>
    <x v="2"/>
    <m/>
    <m/>
    <m/>
    <s v="no"/>
    <m/>
    <m/>
    <x v="0"/>
    <m/>
    <x v="0"/>
    <x v="0"/>
    <s v=""/>
    <s v=""/>
    <s v=""/>
    <s v=""/>
  </r>
  <r>
    <x v="19"/>
    <d v="2026-06-23T11:24:33"/>
    <x v="0"/>
    <n v="64270924"/>
    <n v="364070530000"/>
    <s v="3-741-2441"/>
    <s v="Fijo"/>
    <x v="0"/>
    <x v="0"/>
    <m/>
    <m/>
    <m/>
    <s v="no"/>
    <m/>
    <m/>
    <x v="1"/>
    <m/>
    <x v="0"/>
    <x v="0"/>
    <s v=""/>
    <s v=""/>
    <s v=""/>
    <s v=""/>
  </r>
  <r>
    <x v="19"/>
    <d v="2026-06-23T11:30:51"/>
    <x v="0"/>
    <n v="63912646"/>
    <n v="215033660000"/>
    <s v="8-831-354"/>
    <s v="Fijo"/>
    <x v="0"/>
    <x v="2"/>
    <m/>
    <m/>
    <m/>
    <s v="no"/>
    <m/>
    <m/>
    <x v="1"/>
    <m/>
    <x v="0"/>
    <x v="0"/>
    <s v=""/>
    <s v=""/>
    <s v=""/>
    <s v=""/>
  </r>
  <r>
    <x v="19"/>
    <d v="2026-06-23T11:46:22"/>
    <x v="0"/>
    <n v="63323557"/>
    <n v="358377220000"/>
    <s v="2-705-1764"/>
    <s v="Fijo"/>
    <x v="0"/>
    <x v="1"/>
    <m/>
    <d v="2026-07-01T00:00:00"/>
    <n v="30.44"/>
    <s v="no"/>
    <m/>
    <m/>
    <x v="1"/>
    <m/>
    <x v="0"/>
    <x v="2"/>
    <s v=""/>
    <s v="01/jul"/>
    <n v="1"/>
    <s v=""/>
  </r>
  <r>
    <x v="19"/>
    <d v="2026-06-23T11:51:09"/>
    <x v="0"/>
    <n v="62547445"/>
    <n v="362077120000"/>
    <s v="6-725-310"/>
    <s v="Fijo"/>
    <x v="0"/>
    <x v="2"/>
    <m/>
    <m/>
    <m/>
    <s v="no"/>
    <m/>
    <m/>
    <x v="1"/>
    <m/>
    <x v="0"/>
    <x v="0"/>
    <s v=""/>
    <s v=""/>
    <s v=""/>
    <s v=""/>
  </r>
  <r>
    <x v="19"/>
    <d v="2026-06-23T12:06:27"/>
    <x v="0"/>
    <n v="69713632"/>
    <n v="363077070000"/>
    <s v="9-144-212"/>
    <s v="Fijo"/>
    <x v="0"/>
    <x v="1"/>
    <m/>
    <d v="2026-06-26T00:00:00"/>
    <n v="36.96"/>
    <s v="no"/>
    <m/>
    <m/>
    <x v="1"/>
    <m/>
    <x v="0"/>
    <x v="1"/>
    <s v=""/>
    <s v="26/jun"/>
    <n v="1"/>
    <s v=""/>
  </r>
  <r>
    <x v="19"/>
    <d v="2026-06-23T12:24:13"/>
    <x v="0"/>
    <n v="65602061"/>
    <n v="364076270000"/>
    <s v="9-217-712"/>
    <s v="Fijo"/>
    <x v="0"/>
    <x v="3"/>
    <m/>
    <m/>
    <m/>
    <s v="no"/>
    <m/>
    <m/>
    <x v="0"/>
    <m/>
    <x v="0"/>
    <x v="0"/>
    <s v=""/>
    <s v=""/>
    <s v=""/>
    <s v=""/>
  </r>
  <r>
    <x v="19"/>
    <d v="2026-06-23T12:26:07"/>
    <x v="0"/>
    <n v="68551019"/>
    <n v="365076060000"/>
    <s v="8-937-808"/>
    <s v="Fijo"/>
    <x v="0"/>
    <x v="6"/>
    <m/>
    <m/>
    <m/>
    <s v="no"/>
    <m/>
    <m/>
    <x v="0"/>
    <m/>
    <x v="0"/>
    <x v="0"/>
    <s v=""/>
    <s v=""/>
    <s v=""/>
    <s v=""/>
  </r>
  <r>
    <x v="19"/>
    <d v="2026-06-23T12:38:31"/>
    <x v="0"/>
    <n v="65726372"/>
    <n v="361076360000"/>
    <s v="4-265-175"/>
    <s v="Fijo"/>
    <x v="0"/>
    <x v="1"/>
    <m/>
    <d v="2026-06-30T00:00:00"/>
    <m/>
    <s v="no"/>
    <m/>
    <m/>
    <x v="1"/>
    <m/>
    <x v="0"/>
    <x v="1"/>
    <s v=""/>
    <s v="30/jun"/>
    <n v="1"/>
    <s v=""/>
  </r>
  <r>
    <x v="19"/>
    <d v="2026-06-23T12:47:18"/>
    <x v="0"/>
    <n v="67834259"/>
    <n v="364075850000"/>
    <s v="2-98-535"/>
    <s v="Fijo"/>
    <x v="0"/>
    <x v="3"/>
    <m/>
    <m/>
    <m/>
    <s v="no"/>
    <m/>
    <m/>
    <x v="1"/>
    <m/>
    <x v="0"/>
    <x v="0"/>
    <s v=""/>
    <s v=""/>
    <s v=""/>
    <s v=""/>
  </r>
  <r>
    <x v="19"/>
    <d v="2026-06-23T12:52:48"/>
    <x v="0"/>
    <n v="65764325"/>
    <n v="368073110000"/>
    <s v="3-785-400"/>
    <s v="Fijo"/>
    <x v="0"/>
    <x v="3"/>
    <m/>
    <m/>
    <m/>
    <s v="no"/>
    <m/>
    <m/>
    <x v="1"/>
    <m/>
    <x v="0"/>
    <x v="0"/>
    <s v=""/>
    <s v=""/>
    <s v=""/>
    <s v=""/>
  </r>
  <r>
    <x v="19"/>
    <d v="2026-06-23T12:57:30"/>
    <x v="0"/>
    <n v="65122642"/>
    <n v="363067460000"/>
    <n v="298507315"/>
    <s v="Fijo"/>
    <x v="0"/>
    <x v="7"/>
    <m/>
    <m/>
    <m/>
    <s v="no"/>
    <m/>
    <m/>
    <x v="1"/>
    <m/>
    <x v="0"/>
    <x v="0"/>
    <s v=""/>
    <s v=""/>
    <s v=""/>
    <s v=""/>
  </r>
  <r>
    <x v="19"/>
    <d v="2026-06-23T13:02:27"/>
    <x v="0"/>
    <n v="67899021"/>
    <n v="364077530000"/>
    <s v="1-20-134"/>
    <s v="Fijo"/>
    <x v="0"/>
    <x v="0"/>
    <m/>
    <m/>
    <m/>
    <s v="no"/>
    <m/>
    <m/>
    <x v="0"/>
    <m/>
    <x v="0"/>
    <x v="0"/>
    <s v=""/>
    <s v=""/>
    <s v=""/>
    <s v=""/>
  </r>
  <r>
    <x v="19"/>
    <d v="2026-06-23T13:05:45"/>
    <x v="0"/>
    <n v="63647703"/>
    <n v="368077290000"/>
    <s v="8-968-485"/>
    <s v="Fijo"/>
    <x v="0"/>
    <x v="2"/>
    <m/>
    <m/>
    <m/>
    <s v="no"/>
    <m/>
    <m/>
    <x v="1"/>
    <m/>
    <x v="0"/>
    <x v="0"/>
    <s v=""/>
    <s v=""/>
    <s v=""/>
    <s v=""/>
  </r>
  <r>
    <x v="19"/>
    <d v="2026-06-23T13:08:34"/>
    <x v="0"/>
    <n v="64151950"/>
    <n v="367074230000"/>
    <s v="8-1051-168"/>
    <s v="Fijo"/>
    <x v="0"/>
    <x v="2"/>
    <m/>
    <m/>
    <m/>
    <s v="no"/>
    <m/>
    <m/>
    <x v="1"/>
    <m/>
    <x v="0"/>
    <x v="0"/>
    <s v=""/>
    <s v=""/>
    <s v=""/>
    <s v=""/>
  </r>
  <r>
    <x v="19"/>
    <d v="2026-06-23T13:12:04"/>
    <x v="0"/>
    <n v="64260834"/>
    <n v="363074910000"/>
    <s v="8-182-335"/>
    <s v="Fijo"/>
    <x v="0"/>
    <x v="2"/>
    <m/>
    <m/>
    <m/>
    <s v="no"/>
    <m/>
    <m/>
    <x v="1"/>
    <m/>
    <x v="0"/>
    <x v="0"/>
    <s v=""/>
    <s v=""/>
    <s v=""/>
    <s v=""/>
  </r>
  <r>
    <x v="19"/>
    <d v="2026-06-23T14:17:27"/>
    <x v="0"/>
    <n v="64203466"/>
    <n v="368073600000"/>
    <s v="4-101-583"/>
    <s v="Fijo"/>
    <x v="0"/>
    <x v="2"/>
    <m/>
    <m/>
    <m/>
    <s v="no"/>
    <m/>
    <m/>
    <x v="1"/>
    <m/>
    <x v="0"/>
    <x v="0"/>
    <s v=""/>
    <s v=""/>
    <s v=""/>
    <s v=""/>
  </r>
  <r>
    <x v="19"/>
    <d v="2026-06-23T14:36:27"/>
    <x v="0"/>
    <n v="67371095"/>
    <n v="369077210000"/>
    <s v="4-721-2335"/>
    <s v="Fijo"/>
    <x v="0"/>
    <x v="1"/>
    <m/>
    <d v="2026-06-30T00:00:00"/>
    <n v="34.630000000000003"/>
    <s v="no"/>
    <m/>
    <m/>
    <x v="1"/>
    <m/>
    <x v="0"/>
    <x v="1"/>
    <s v=""/>
    <s v="30/jun"/>
    <n v="1"/>
    <s v=""/>
  </r>
  <r>
    <x v="19"/>
    <d v="2026-06-23T14:42:18"/>
    <x v="0"/>
    <n v="67891680"/>
    <n v="363077410000"/>
    <s v="8-1039-2272"/>
    <s v="Fijo"/>
    <x v="0"/>
    <x v="2"/>
    <m/>
    <m/>
    <m/>
    <s v="no"/>
    <m/>
    <m/>
    <x v="1"/>
    <m/>
    <x v="0"/>
    <x v="0"/>
    <s v=""/>
    <s v=""/>
    <s v=""/>
    <s v=""/>
  </r>
  <r>
    <x v="19"/>
    <d v="2026-06-23T14:46:41"/>
    <x v="0"/>
    <n v="62533924"/>
    <n v="365076740000"/>
    <s v="8-797-71"/>
    <s v="Fijo"/>
    <x v="0"/>
    <x v="6"/>
    <m/>
    <m/>
    <m/>
    <s v="no"/>
    <m/>
    <m/>
    <x v="0"/>
    <m/>
    <x v="0"/>
    <x v="0"/>
    <s v=""/>
    <s v=""/>
    <s v=""/>
    <s v=""/>
  </r>
  <r>
    <x v="19"/>
    <d v="2026-06-23T14:50:50"/>
    <x v="0"/>
    <n v="68372084"/>
    <n v="369071960000"/>
    <s v="2-707-2283"/>
    <s v="Fijo"/>
    <x v="0"/>
    <x v="2"/>
    <m/>
    <m/>
    <m/>
    <s v="no"/>
    <m/>
    <m/>
    <x v="1"/>
    <m/>
    <x v="0"/>
    <x v="0"/>
    <s v=""/>
    <s v=""/>
    <s v=""/>
    <s v=""/>
  </r>
  <r>
    <x v="19"/>
    <d v="2026-06-23T14:55:08"/>
    <x v="0"/>
    <n v="62507668"/>
    <n v="363074130000"/>
    <s v="8-1056-115"/>
    <s v="Fijo"/>
    <x v="0"/>
    <x v="0"/>
    <m/>
    <m/>
    <m/>
    <s v="no"/>
    <m/>
    <m/>
    <x v="2"/>
    <m/>
    <x v="0"/>
    <x v="0"/>
    <s v=""/>
    <s v=""/>
    <s v=""/>
    <s v=""/>
  </r>
  <r>
    <x v="19"/>
    <d v="2026-06-23T15:00:56"/>
    <x v="0"/>
    <n v="64306971"/>
    <n v="368076820000"/>
    <s v="4-783-957"/>
    <s v="Fijo"/>
    <x v="2"/>
    <x v="2"/>
    <m/>
    <m/>
    <m/>
    <s v="no"/>
    <m/>
    <m/>
    <x v="1"/>
    <m/>
    <x v="0"/>
    <x v="0"/>
    <s v=""/>
    <s v=""/>
    <s v=""/>
    <s v=""/>
  </r>
  <r>
    <x v="19"/>
    <d v="2026-06-23T15:07:41"/>
    <x v="0"/>
    <n v="66577090"/>
    <n v="362075370000"/>
    <s v="E-8-123985"/>
    <s v="Fijo"/>
    <x v="2"/>
    <x v="9"/>
    <m/>
    <m/>
    <m/>
    <s v="no"/>
    <m/>
    <m/>
    <x v="1"/>
    <m/>
    <x v="0"/>
    <x v="0"/>
    <s v=""/>
    <s v=""/>
    <s v=""/>
    <s v=""/>
  </r>
  <r>
    <x v="19"/>
    <d v="2026-06-23T15:10:57"/>
    <x v="0"/>
    <n v="66834638"/>
    <n v="365075240000"/>
    <s v="E-8-76059"/>
    <s v="Fijo"/>
    <x v="2"/>
    <x v="1"/>
    <m/>
    <d v="2026-06-23T00:00:00"/>
    <n v="39.979999999999997"/>
    <s v="no"/>
    <m/>
    <m/>
    <x v="1"/>
    <m/>
    <x v="0"/>
    <x v="1"/>
    <s v=""/>
    <s v="23/jun"/>
    <n v="1"/>
    <s v=""/>
  </r>
  <r>
    <x v="19"/>
    <d v="2026-06-23T15:16:48"/>
    <x v="0"/>
    <n v="61273856"/>
    <n v="367075710000"/>
    <s v="8-131-514"/>
    <s v="Fijo"/>
    <x v="0"/>
    <x v="3"/>
    <m/>
    <m/>
    <m/>
    <s v="no"/>
    <m/>
    <m/>
    <x v="1"/>
    <m/>
    <x v="0"/>
    <x v="0"/>
    <s v=""/>
    <s v=""/>
    <s v=""/>
    <s v=""/>
  </r>
  <r>
    <x v="19"/>
    <d v="2026-06-23T15:35:01"/>
    <x v="0"/>
    <n v="67260264"/>
    <n v="363070630000"/>
    <s v="2-738-411"/>
    <s v="Fijo"/>
    <x v="4"/>
    <x v="2"/>
    <m/>
    <m/>
    <m/>
    <s v="no"/>
    <m/>
    <m/>
    <x v="0"/>
    <m/>
    <x v="0"/>
    <x v="0"/>
    <s v=""/>
    <s v=""/>
    <s v=""/>
    <s v=""/>
  </r>
  <r>
    <x v="19"/>
    <d v="2026-06-23T15:39:18"/>
    <x v="0"/>
    <n v="68835121"/>
    <n v="361076560000"/>
    <s v="8-807-72"/>
    <s v="Fijo"/>
    <x v="4"/>
    <x v="2"/>
    <m/>
    <m/>
    <m/>
    <s v="no"/>
    <m/>
    <m/>
    <x v="1"/>
    <m/>
    <x v="0"/>
    <x v="0"/>
    <s v=""/>
    <s v=""/>
    <s v=""/>
    <s v=""/>
  </r>
  <r>
    <x v="19"/>
    <d v="2026-06-23T15:45:50"/>
    <x v="0"/>
    <n v="67387533"/>
    <n v="363077610000"/>
    <s v="8-916-2026"/>
    <s v="Fijo"/>
    <x v="4"/>
    <x v="2"/>
    <m/>
    <m/>
    <m/>
    <s v="no"/>
    <m/>
    <m/>
    <x v="1"/>
    <m/>
    <x v="0"/>
    <x v="0"/>
    <s v=""/>
    <s v=""/>
    <s v=""/>
    <s v=""/>
  </r>
  <r>
    <x v="19"/>
    <d v="2026-06-23T15:49:45"/>
    <x v="0"/>
    <n v="63717989"/>
    <n v="361077270000"/>
    <s v="8-318-323"/>
    <s v="Fijo"/>
    <x v="3"/>
    <x v="0"/>
    <m/>
    <m/>
    <m/>
    <s v="no"/>
    <m/>
    <m/>
    <x v="1"/>
    <m/>
    <x v="0"/>
    <x v="0"/>
    <s v=""/>
    <s v=""/>
    <s v=""/>
    <s v=""/>
  </r>
  <r>
    <x v="19"/>
    <d v="2026-06-23T15:53:29"/>
    <x v="0"/>
    <n v="68100949"/>
    <n v="364077070000"/>
    <s v="8-880-1686"/>
    <s v="Fijo"/>
    <x v="0"/>
    <x v="1"/>
    <s v="Desempleada"/>
    <m/>
    <m/>
    <s v="no"/>
    <m/>
    <m/>
    <x v="0"/>
    <m/>
    <x v="0"/>
    <x v="0"/>
    <s v=""/>
    <s v=""/>
    <s v=""/>
    <s v=""/>
  </r>
  <r>
    <x v="19"/>
    <d v="2026-06-23T15:59:10"/>
    <x v="0"/>
    <n v="67061326"/>
    <n v="362075560000"/>
    <s v="8-853-476"/>
    <s v="Fijo"/>
    <x v="0"/>
    <x v="1"/>
    <m/>
    <d v="2026-07-01T00:00:00"/>
    <n v="40.5"/>
    <s v="no"/>
    <m/>
    <m/>
    <x v="1"/>
    <m/>
    <x v="0"/>
    <x v="2"/>
    <s v=""/>
    <s v="01/jul"/>
    <n v="1"/>
    <s v=""/>
  </r>
  <r>
    <x v="19"/>
    <d v="2026-06-23T16:03:33"/>
    <x v="0"/>
    <n v="65116981"/>
    <n v="208004180000"/>
    <s v="10-15-820"/>
    <s v="Fijo"/>
    <x v="0"/>
    <x v="3"/>
    <m/>
    <d v="2026-06-30T00:00:00"/>
    <n v="30.44"/>
    <s v="no"/>
    <m/>
    <m/>
    <x v="1"/>
    <m/>
    <x v="0"/>
    <x v="1"/>
    <s v=""/>
    <s v="30/jun"/>
    <n v="1"/>
    <s v=""/>
  </r>
  <r>
    <x v="19"/>
    <d v="2026-06-23T16:07:16"/>
    <x v="0"/>
    <n v="61004559"/>
    <n v="313027490000"/>
    <s v="8-397-598"/>
    <s v="Fijo"/>
    <x v="0"/>
    <x v="2"/>
    <m/>
    <m/>
    <m/>
    <s v="no"/>
    <m/>
    <m/>
    <x v="1"/>
    <m/>
    <x v="0"/>
    <x v="0"/>
    <s v=""/>
    <s v=""/>
    <s v=""/>
    <s v=""/>
  </r>
  <r>
    <x v="19"/>
    <d v="2026-06-23T16:11:59"/>
    <x v="0"/>
    <n v="67797594"/>
    <n v="367070450000"/>
    <s v="4-812-2074"/>
    <s v="Fijo"/>
    <x v="0"/>
    <x v="1"/>
    <m/>
    <d v="2026-07-06T00:00:00"/>
    <n v="34.51"/>
    <s v="no"/>
    <m/>
    <m/>
    <x v="1"/>
    <m/>
    <x v="0"/>
    <x v="2"/>
    <s v=""/>
    <s v="06/jul"/>
    <n v="1"/>
    <s v=""/>
  </r>
  <r>
    <x v="19"/>
    <d v="2026-06-23T16:26:33"/>
    <x v="0"/>
    <n v="60337458"/>
    <n v="361075200000"/>
    <s v="E-8-193473"/>
    <s v="Fijo"/>
    <x v="0"/>
    <x v="3"/>
    <m/>
    <m/>
    <m/>
    <s v="no"/>
    <m/>
    <m/>
    <x v="1"/>
    <m/>
    <x v="0"/>
    <x v="0"/>
    <s v=""/>
    <s v=""/>
    <s v=""/>
    <s v=""/>
  </r>
  <r>
    <x v="19"/>
    <d v="2026-06-23T16:31:59"/>
    <x v="0"/>
    <n v="62087758"/>
    <n v="363069870000"/>
    <s v="6-714-374"/>
    <s v="Fijo"/>
    <x v="0"/>
    <x v="2"/>
    <m/>
    <m/>
    <m/>
    <s v="no"/>
    <m/>
    <m/>
    <x v="1"/>
    <m/>
    <x v="0"/>
    <x v="0"/>
    <s v=""/>
    <s v=""/>
    <s v=""/>
    <s v=""/>
  </r>
  <r>
    <x v="19"/>
    <d v="2026-06-23T16:42:55"/>
    <x v="0"/>
    <n v="63121963"/>
    <n v="369075270000"/>
    <s v="8-175-484"/>
    <s v="Fijo"/>
    <x v="0"/>
    <x v="3"/>
    <m/>
    <m/>
    <m/>
    <s v="no"/>
    <m/>
    <m/>
    <x v="1"/>
    <m/>
    <x v="0"/>
    <x v="0"/>
    <s v=""/>
    <s v=""/>
    <s v=""/>
    <s v=""/>
  </r>
  <r>
    <x v="19"/>
    <d v="2026-06-23T16:48:12"/>
    <x v="0"/>
    <n v="62744886"/>
    <n v="363072350000"/>
    <s v="8-859-2474"/>
    <s v="Fijo"/>
    <x v="0"/>
    <x v="2"/>
    <m/>
    <m/>
    <m/>
    <s v="no"/>
    <m/>
    <m/>
    <x v="1"/>
    <m/>
    <x v="0"/>
    <x v="0"/>
    <s v=""/>
    <s v=""/>
    <s v=""/>
    <s v=""/>
  </r>
  <r>
    <x v="19"/>
    <d v="2026-06-23T16:53:12"/>
    <x v="0"/>
    <n v="61192828"/>
    <n v="366072900000"/>
    <s v="2-61-448"/>
    <s v="Fijo"/>
    <x v="0"/>
    <x v="2"/>
    <m/>
    <m/>
    <m/>
    <s v="no"/>
    <m/>
    <m/>
    <x v="1"/>
    <m/>
    <x v="0"/>
    <x v="0"/>
    <s v=""/>
    <s v=""/>
    <s v=""/>
    <s v=""/>
  </r>
  <r>
    <x v="19"/>
    <d v="2026-06-23T16:55:13"/>
    <x v="0"/>
    <n v="67899021"/>
    <n v="368077700000"/>
    <s v="8-858-1963"/>
    <s v="Fijo"/>
    <x v="0"/>
    <x v="2"/>
    <m/>
    <m/>
    <m/>
    <s v="no"/>
    <m/>
    <m/>
    <x v="0"/>
    <m/>
    <x v="0"/>
    <x v="0"/>
    <s v=""/>
    <s v=""/>
    <s v=""/>
    <s v=""/>
  </r>
  <r>
    <x v="19"/>
    <d v="2026-06-23T16:59:20"/>
    <x v="0"/>
    <n v="61097760"/>
    <n v="354302990000"/>
    <s v="8-972-1528"/>
    <s v="Fijo"/>
    <x v="0"/>
    <x v="1"/>
    <m/>
    <d v="2026-07-01T00:00:00"/>
    <n v="34.85"/>
    <s v="no"/>
    <m/>
    <m/>
    <x v="1"/>
    <m/>
    <x v="0"/>
    <x v="2"/>
    <s v=""/>
    <s v="01/jul"/>
    <n v="1"/>
    <s v=""/>
  </r>
  <r>
    <x v="20"/>
    <d v="2026-06-24T09:22:54"/>
    <x v="0"/>
    <n v="66080017"/>
    <n v="362077160000"/>
    <s v="8-782-1177"/>
    <s v="Fijo"/>
    <x v="0"/>
    <x v="2"/>
    <m/>
    <m/>
    <m/>
    <s v="no"/>
    <m/>
    <m/>
    <x v="1"/>
    <m/>
    <x v="0"/>
    <x v="0"/>
    <s v=""/>
    <s v=""/>
    <s v=""/>
    <s v=""/>
  </r>
  <r>
    <x v="20"/>
    <d v="2026-06-24T09:32:08"/>
    <x v="0"/>
    <n v="61562338"/>
    <n v="368076620000"/>
    <s v="8-1045-1136"/>
    <s v="Fijo"/>
    <x v="0"/>
    <x v="0"/>
    <m/>
    <m/>
    <m/>
    <s v="no"/>
    <m/>
    <m/>
    <x v="1"/>
    <m/>
    <x v="0"/>
    <x v="0"/>
    <s v=""/>
    <s v=""/>
    <s v=""/>
    <s v=""/>
  </r>
  <r>
    <x v="20"/>
    <d v="2026-06-24T09:39:26"/>
    <x v="0"/>
    <n v="67339148"/>
    <n v="365077200000"/>
    <s v="2-720-2348"/>
    <s v="Fijo"/>
    <x v="0"/>
    <x v="1"/>
    <m/>
    <d v="2026-07-02T00:00:00"/>
    <n v="30.44"/>
    <s v="no"/>
    <m/>
    <m/>
    <x v="1"/>
    <m/>
    <x v="0"/>
    <x v="2"/>
    <s v=""/>
    <s v="02/jul"/>
    <n v="1"/>
    <s v=""/>
  </r>
  <r>
    <x v="20"/>
    <d v="2026-06-24T09:45:38"/>
    <x v="0"/>
    <n v="62746033"/>
    <n v="369057120000"/>
    <s v="8-113-601"/>
    <s v="Fijo"/>
    <x v="0"/>
    <x v="1"/>
    <m/>
    <d v="2026-06-26T00:00:00"/>
    <n v="34.1"/>
    <s v="no"/>
    <m/>
    <m/>
    <x v="1"/>
    <m/>
    <x v="0"/>
    <x v="1"/>
    <s v=""/>
    <s v="26/jun"/>
    <n v="1"/>
    <s v=""/>
  </r>
  <r>
    <x v="20"/>
    <d v="2026-06-24T09:59:59"/>
    <x v="0"/>
    <n v="68291444"/>
    <n v="365037850000"/>
    <s v="10-716-527"/>
    <s v="Fijo"/>
    <x v="0"/>
    <x v="1"/>
    <m/>
    <d v="2026-06-26T00:00:00"/>
    <n v="30.41"/>
    <s v="no"/>
    <m/>
    <m/>
    <x v="1"/>
    <m/>
    <x v="0"/>
    <x v="1"/>
    <s v=""/>
    <s v="26/jun"/>
    <n v="1"/>
    <s v=""/>
  </r>
  <r>
    <x v="20"/>
    <d v="2026-06-24T10:14:00"/>
    <x v="0"/>
    <n v="64752324"/>
    <n v="363063070000"/>
    <s v="8-1047-507"/>
    <s v="Fijo"/>
    <x v="0"/>
    <x v="3"/>
    <m/>
    <m/>
    <m/>
    <s v="no"/>
    <m/>
    <m/>
    <x v="1"/>
    <m/>
    <x v="0"/>
    <x v="0"/>
    <s v=""/>
    <s v=""/>
    <s v=""/>
    <s v=""/>
  </r>
  <r>
    <x v="20"/>
    <d v="2026-06-24T10:21:10"/>
    <x v="0"/>
    <n v="66269132"/>
    <n v="336019640000"/>
    <s v="8-295-684"/>
    <s v="Fijo"/>
    <x v="0"/>
    <x v="2"/>
    <m/>
    <m/>
    <m/>
    <s v="no"/>
    <m/>
    <m/>
    <x v="1"/>
    <m/>
    <x v="0"/>
    <x v="0"/>
    <s v=""/>
    <s v=""/>
    <s v=""/>
    <s v=""/>
  </r>
  <r>
    <x v="20"/>
    <d v="2026-06-24T10:33:55"/>
    <x v="0"/>
    <n v="65259572"/>
    <n v="361074920000"/>
    <s v="8-277-109"/>
    <s v="Fijo"/>
    <x v="0"/>
    <x v="2"/>
    <m/>
    <m/>
    <m/>
    <s v="no"/>
    <m/>
    <m/>
    <x v="1"/>
    <m/>
    <x v="0"/>
    <x v="0"/>
    <s v=""/>
    <s v=""/>
    <s v=""/>
    <s v=""/>
  </r>
  <r>
    <x v="20"/>
    <d v="2026-06-24T10:40:41"/>
    <x v="0"/>
    <n v="63913038"/>
    <n v="364078830000"/>
    <s v="8-1063-2404"/>
    <s v="Fijo"/>
    <x v="0"/>
    <x v="2"/>
    <m/>
    <m/>
    <m/>
    <s v="no"/>
    <m/>
    <m/>
    <x v="1"/>
    <m/>
    <x v="0"/>
    <x v="0"/>
    <s v=""/>
    <s v=""/>
    <s v=""/>
    <s v=""/>
  </r>
  <r>
    <x v="20"/>
    <d v="2026-06-24T10:46:40"/>
    <x v="0"/>
    <n v="65602917"/>
    <n v="366077440000"/>
    <s v="AP671971"/>
    <s v="Fijo"/>
    <x v="0"/>
    <x v="2"/>
    <m/>
    <m/>
    <m/>
    <s v="no"/>
    <m/>
    <m/>
    <x v="0"/>
    <m/>
    <x v="0"/>
    <x v="0"/>
    <s v=""/>
    <s v=""/>
    <s v=""/>
    <s v=""/>
  </r>
  <r>
    <x v="20"/>
    <d v="2026-06-24T10:52:54"/>
    <x v="0"/>
    <n v="63883898"/>
    <n v="362072600000"/>
    <s v="8-904-2493"/>
    <s v="Fijo"/>
    <x v="0"/>
    <x v="0"/>
    <m/>
    <m/>
    <m/>
    <s v="no"/>
    <m/>
    <m/>
    <x v="0"/>
    <m/>
    <x v="0"/>
    <x v="0"/>
    <s v=""/>
    <s v=""/>
    <s v=""/>
    <s v=""/>
  </r>
  <r>
    <x v="20"/>
    <d v="2026-06-24T10:59:26"/>
    <x v="0"/>
    <n v="67468715"/>
    <n v="364079340000"/>
    <s v="8-475-988"/>
    <s v="Fijo"/>
    <x v="0"/>
    <x v="6"/>
    <m/>
    <m/>
    <m/>
    <s v="no"/>
    <m/>
    <m/>
    <x v="1"/>
    <m/>
    <x v="0"/>
    <x v="0"/>
    <s v=""/>
    <s v=""/>
    <s v=""/>
    <s v=""/>
  </r>
  <r>
    <x v="20"/>
    <d v="2026-06-24T11:05:47"/>
    <x v="0"/>
    <n v="66502366"/>
    <n v="368078060000"/>
    <s v="8-1065-418"/>
    <s v="Fijo"/>
    <x v="0"/>
    <x v="2"/>
    <m/>
    <m/>
    <m/>
    <s v="no"/>
    <m/>
    <m/>
    <x v="1"/>
    <m/>
    <x v="0"/>
    <x v="0"/>
    <s v=""/>
    <s v=""/>
    <s v=""/>
    <s v=""/>
  </r>
  <r>
    <x v="20"/>
    <d v="2026-06-24T11:11:04"/>
    <x v="0"/>
    <n v="63366803"/>
    <n v="369075900000"/>
    <s v="BG762798"/>
    <s v="Fijo"/>
    <x v="6"/>
    <x v="2"/>
    <m/>
    <m/>
    <m/>
    <s v="no"/>
    <m/>
    <m/>
    <x v="1"/>
    <m/>
    <x v="0"/>
    <x v="0"/>
    <s v=""/>
    <s v=""/>
    <s v=""/>
    <s v=""/>
  </r>
  <r>
    <x v="20"/>
    <d v="2026-06-24T11:20:45"/>
    <x v="0"/>
    <n v="69868695"/>
    <n v="368067020000"/>
    <s v="BH011131"/>
    <s v="Fijo"/>
    <x v="2"/>
    <x v="5"/>
    <m/>
    <m/>
    <m/>
    <s v="si"/>
    <d v="2026-05-31T00:00:00"/>
    <n v="32.42"/>
    <x v="2"/>
    <m/>
    <x v="1"/>
    <x v="0"/>
    <s v="31/may"/>
    <s v=""/>
    <s v=""/>
    <n v="1"/>
  </r>
  <r>
    <x v="20"/>
    <d v="2026-06-24T11:30:05"/>
    <x v="0"/>
    <n v="66019376"/>
    <n v="365077930000"/>
    <s v="1-739-1125"/>
    <s v="Fijo"/>
    <x v="2"/>
    <x v="2"/>
    <m/>
    <m/>
    <m/>
    <s v="no"/>
    <m/>
    <m/>
    <x v="1"/>
    <m/>
    <x v="0"/>
    <x v="0"/>
    <s v=""/>
    <s v=""/>
    <s v=""/>
    <s v=""/>
  </r>
  <r>
    <x v="20"/>
    <d v="2026-06-24T11:34:27"/>
    <x v="0"/>
    <n v="62098816"/>
    <n v="369070120000"/>
    <s v="8-728-1326"/>
    <s v="Fijo"/>
    <x v="0"/>
    <x v="2"/>
    <m/>
    <m/>
    <m/>
    <s v="no"/>
    <m/>
    <m/>
    <x v="1"/>
    <m/>
    <x v="0"/>
    <x v="0"/>
    <s v=""/>
    <s v=""/>
    <s v=""/>
    <s v=""/>
  </r>
  <r>
    <x v="20"/>
    <d v="2026-06-24T11:43:56"/>
    <x v="0"/>
    <n v="66389329"/>
    <n v="368078810000"/>
    <s v="6-48-2456"/>
    <s v="Fijo"/>
    <x v="0"/>
    <x v="2"/>
    <m/>
    <m/>
    <m/>
    <s v="no"/>
    <m/>
    <m/>
    <x v="0"/>
    <m/>
    <x v="0"/>
    <x v="0"/>
    <s v=""/>
    <s v=""/>
    <s v=""/>
    <s v=""/>
  </r>
  <r>
    <x v="20"/>
    <d v="2026-06-24T11:48:52"/>
    <x v="0"/>
    <n v="68833524"/>
    <n v="361078870000"/>
    <s v="8-713-2297"/>
    <s v="Fijo"/>
    <x v="0"/>
    <x v="1"/>
    <m/>
    <d v="2026-07-06T00:00:00"/>
    <n v="30.44"/>
    <s v="no"/>
    <m/>
    <m/>
    <x v="1"/>
    <m/>
    <x v="0"/>
    <x v="2"/>
    <s v=""/>
    <s v="06/jul"/>
    <n v="1"/>
    <s v=""/>
  </r>
  <r>
    <x v="20"/>
    <d v="2026-06-24T11:55:57"/>
    <x v="0"/>
    <n v="69962027"/>
    <n v="361076710000"/>
    <s v="3-725-1898"/>
    <s v="Fijo"/>
    <x v="3"/>
    <x v="2"/>
    <m/>
    <m/>
    <m/>
    <s v="no"/>
    <m/>
    <m/>
    <x v="1"/>
    <m/>
    <x v="0"/>
    <x v="0"/>
    <s v=""/>
    <s v=""/>
    <s v=""/>
    <s v=""/>
  </r>
  <r>
    <x v="20"/>
    <d v="2026-06-24T12:01:53"/>
    <x v="0"/>
    <n v="68921584"/>
    <n v="365053470000"/>
    <s v="10-717-465"/>
    <s v="Fijo"/>
    <x v="4"/>
    <x v="5"/>
    <m/>
    <m/>
    <m/>
    <s v="si"/>
    <d v="2026-06-22T00:00:00"/>
    <n v="39.54"/>
    <x v="2"/>
    <m/>
    <x v="2"/>
    <x v="0"/>
    <s v="22/jun"/>
    <s v=""/>
    <s v=""/>
    <n v="1"/>
  </r>
  <r>
    <x v="20"/>
    <d v="2026-06-24T12:09:11"/>
    <x v="0"/>
    <n v="62400404"/>
    <n v="219036060000"/>
    <s v="8-246-284"/>
    <s v="Fijo"/>
    <x v="4"/>
    <x v="1"/>
    <m/>
    <d v="2026-07-15T00:00:00"/>
    <n v="41.37"/>
    <s v="no"/>
    <m/>
    <m/>
    <x v="1"/>
    <m/>
    <x v="0"/>
    <x v="2"/>
    <s v=""/>
    <s v="15/jul"/>
    <n v="1"/>
    <s v=""/>
  </r>
  <r>
    <x v="20"/>
    <d v="2026-06-24T12:17:45"/>
    <x v="0"/>
    <n v="60701865"/>
    <n v="368077780000"/>
    <s v="4-715-1894"/>
    <s v="Fijo"/>
    <x v="4"/>
    <x v="1"/>
    <m/>
    <d v="2026-07-06T00:00:00"/>
    <n v="41.37"/>
    <s v="no"/>
    <m/>
    <m/>
    <x v="1"/>
    <m/>
    <x v="0"/>
    <x v="2"/>
    <s v=""/>
    <s v="06/jul"/>
    <n v="1"/>
    <s v=""/>
  </r>
  <r>
    <x v="20"/>
    <d v="2026-06-24T12:28:10"/>
    <x v="0"/>
    <n v="62255299"/>
    <n v="362078110000"/>
    <s v="8-911-2244"/>
    <s v="Fijo"/>
    <x v="4"/>
    <x v="1"/>
    <m/>
    <d v="2026-07-05T00:00:00"/>
    <n v="34.85"/>
    <s v="no"/>
    <m/>
    <m/>
    <x v="1"/>
    <m/>
    <x v="0"/>
    <x v="2"/>
    <s v=""/>
    <s v="05/jul"/>
    <n v="1"/>
    <s v=""/>
  </r>
  <r>
    <x v="20"/>
    <d v="2026-06-24T12:32:20"/>
    <x v="0"/>
    <n v="63619733"/>
    <n v="363077840000"/>
    <s v="8-805-667"/>
    <s v="Fijo"/>
    <x v="4"/>
    <x v="0"/>
    <m/>
    <m/>
    <m/>
    <s v="no"/>
    <m/>
    <m/>
    <x v="1"/>
    <m/>
    <x v="0"/>
    <x v="0"/>
    <s v=""/>
    <s v=""/>
    <s v=""/>
    <s v=""/>
  </r>
  <r>
    <x v="20"/>
    <d v="2026-06-24T12:45:07"/>
    <x v="0"/>
    <n v="68905432"/>
    <n v="365074310000"/>
    <s v="6-58-2743"/>
    <s v="Fijo"/>
    <x v="0"/>
    <x v="5"/>
    <m/>
    <m/>
    <m/>
    <s v="si"/>
    <d v="2026-06-23T00:00:00"/>
    <n v="48.86"/>
    <x v="1"/>
    <m/>
    <x v="2"/>
    <x v="0"/>
    <s v="23/jun"/>
    <s v=""/>
    <s v=""/>
    <n v="1"/>
  </r>
  <r>
    <x v="20"/>
    <d v="2026-06-24T12:56:09"/>
    <x v="0"/>
    <n v="64331578"/>
    <n v="362077310000"/>
    <s v="6-41-416"/>
    <s v="Fijo"/>
    <x v="0"/>
    <x v="1"/>
    <m/>
    <d v="2026-07-05T00:00:00"/>
    <n v="36.14"/>
    <s v="no"/>
    <m/>
    <m/>
    <x v="1"/>
    <m/>
    <x v="0"/>
    <x v="2"/>
    <s v=""/>
    <s v="05/jul"/>
    <n v="1"/>
    <s v=""/>
  </r>
  <r>
    <x v="20"/>
    <d v="2026-06-24T13:02:39"/>
    <x v="0"/>
    <n v="65560923"/>
    <n v="367071540000"/>
    <s v="3-753-1329"/>
    <s v="Fijo"/>
    <x v="0"/>
    <x v="2"/>
    <m/>
    <m/>
    <m/>
    <s v="no"/>
    <m/>
    <m/>
    <x v="0"/>
    <m/>
    <x v="0"/>
    <x v="0"/>
    <s v=""/>
    <s v=""/>
    <s v=""/>
    <s v=""/>
  </r>
  <r>
    <x v="20"/>
    <d v="2026-06-24T13:05:59"/>
    <x v="0"/>
    <n v="63032870"/>
    <n v="367072990000"/>
    <s v="3-721-1882"/>
    <s v="Fijo"/>
    <x v="0"/>
    <x v="2"/>
    <m/>
    <m/>
    <m/>
    <s v="no"/>
    <m/>
    <m/>
    <x v="1"/>
    <m/>
    <x v="0"/>
    <x v="0"/>
    <s v=""/>
    <s v=""/>
    <s v=""/>
    <s v=""/>
  </r>
  <r>
    <x v="20"/>
    <d v="2026-06-24T13:11:57"/>
    <x v="0"/>
    <n v="65662403"/>
    <n v="362076670000"/>
    <s v="AZ208602"/>
    <s v="Fijo"/>
    <x v="0"/>
    <x v="2"/>
    <m/>
    <m/>
    <m/>
    <s v="no"/>
    <m/>
    <m/>
    <x v="1"/>
    <m/>
    <x v="0"/>
    <x v="0"/>
    <s v=""/>
    <s v=""/>
    <s v=""/>
    <s v=""/>
  </r>
  <r>
    <x v="20"/>
    <d v="2026-06-24T13:14:29"/>
    <x v="0"/>
    <n v="69323059"/>
    <n v="362076820000"/>
    <s v="2-117-5"/>
    <s v="Fijo"/>
    <x v="0"/>
    <x v="2"/>
    <m/>
    <m/>
    <m/>
    <s v="no"/>
    <m/>
    <m/>
    <x v="0"/>
    <m/>
    <x v="0"/>
    <x v="0"/>
    <s v=""/>
    <s v=""/>
    <s v=""/>
    <s v=""/>
  </r>
  <r>
    <x v="20"/>
    <d v="2026-06-24T14:22:34"/>
    <x v="0"/>
    <n v="66955631"/>
    <n v="361078820000"/>
    <s v="8-500-486"/>
    <s v="Fijo"/>
    <x v="0"/>
    <x v="2"/>
    <m/>
    <m/>
    <m/>
    <s v="no"/>
    <m/>
    <m/>
    <x v="0"/>
    <m/>
    <x v="0"/>
    <x v="0"/>
    <s v=""/>
    <s v=""/>
    <s v=""/>
    <s v=""/>
  </r>
  <r>
    <x v="20"/>
    <d v="2026-06-24T14:26:42"/>
    <x v="0"/>
    <n v="69745122"/>
    <n v="363076150000"/>
    <s v="10-711-1579"/>
    <s v="Fijo"/>
    <x v="0"/>
    <x v="3"/>
    <m/>
    <m/>
    <m/>
    <s v="no"/>
    <m/>
    <m/>
    <x v="1"/>
    <m/>
    <x v="0"/>
    <x v="0"/>
    <s v=""/>
    <s v=""/>
    <s v=""/>
    <s v=""/>
  </r>
  <r>
    <x v="20"/>
    <d v="2026-06-24T14:33:47"/>
    <x v="0"/>
    <n v="68510913"/>
    <n v="361080260000"/>
    <s v="10-705-88"/>
    <s v="Fijo"/>
    <x v="0"/>
    <x v="3"/>
    <m/>
    <m/>
    <m/>
    <s v="no"/>
    <m/>
    <m/>
    <x v="1"/>
    <m/>
    <x v="0"/>
    <x v="0"/>
    <s v=""/>
    <s v=""/>
    <s v=""/>
    <s v=""/>
  </r>
  <r>
    <x v="20"/>
    <d v="2026-06-24T14:42:09"/>
    <x v="0"/>
    <n v="65285488"/>
    <n v="368079050000"/>
    <s v="AU317737"/>
    <s v="Fijo"/>
    <x v="0"/>
    <x v="2"/>
    <m/>
    <m/>
    <m/>
    <s v="no"/>
    <m/>
    <m/>
    <x v="1"/>
    <m/>
    <x v="0"/>
    <x v="0"/>
    <s v=""/>
    <s v=""/>
    <s v=""/>
    <s v=""/>
  </r>
  <r>
    <x v="20"/>
    <d v="2026-06-24T14:48:05"/>
    <x v="0"/>
    <n v="66307348"/>
    <n v="367074400000"/>
    <s v="8-449-81"/>
    <s v="Fijo"/>
    <x v="0"/>
    <x v="2"/>
    <m/>
    <m/>
    <m/>
    <s v="no"/>
    <m/>
    <m/>
    <x v="0"/>
    <m/>
    <x v="0"/>
    <x v="0"/>
    <s v=""/>
    <s v=""/>
    <s v=""/>
    <s v=""/>
  </r>
  <r>
    <x v="20"/>
    <d v="2026-06-24T14:56:58"/>
    <x v="0"/>
    <n v="63326837"/>
    <n v="361075030000"/>
    <s v="8-1026-2059"/>
    <s v="Fijo"/>
    <x v="0"/>
    <x v="1"/>
    <m/>
    <m/>
    <m/>
    <s v="no"/>
    <m/>
    <m/>
    <x v="1"/>
    <s v="No brinda fecha de pago."/>
    <x v="0"/>
    <x v="0"/>
    <s v=""/>
    <s v=""/>
    <s v=""/>
    <s v=""/>
  </r>
  <r>
    <x v="20"/>
    <d v="2026-06-24T15:01:38"/>
    <x v="0"/>
    <n v="67515957"/>
    <n v="365079680000"/>
    <s v="9-163-16"/>
    <s v="Fijo"/>
    <x v="0"/>
    <x v="2"/>
    <m/>
    <m/>
    <m/>
    <s v="no"/>
    <m/>
    <m/>
    <x v="1"/>
    <m/>
    <x v="0"/>
    <x v="0"/>
    <s v=""/>
    <s v=""/>
    <s v=""/>
    <s v=""/>
  </r>
  <r>
    <x v="20"/>
    <d v="2026-06-24T15:06:37"/>
    <x v="0"/>
    <n v="66411169"/>
    <n v="367079850000"/>
    <s v="8-1046-1636"/>
    <s v="Fijo"/>
    <x v="0"/>
    <x v="1"/>
    <m/>
    <m/>
    <m/>
    <s v="no"/>
    <m/>
    <m/>
    <x v="1"/>
    <m/>
    <x v="0"/>
    <x v="0"/>
    <s v=""/>
    <s v=""/>
    <s v=""/>
    <s v=""/>
  </r>
  <r>
    <x v="20"/>
    <d v="2026-06-24T15:13:56"/>
    <x v="0"/>
    <n v="62124414"/>
    <n v="362075640000"/>
    <s v="8-759-1155"/>
    <s v="Fijo"/>
    <x v="0"/>
    <x v="1"/>
    <m/>
    <d v="2026-06-27T00:00:00"/>
    <n v="47.58"/>
    <s v="no"/>
    <m/>
    <m/>
    <x v="1"/>
    <m/>
    <x v="0"/>
    <x v="1"/>
    <s v=""/>
    <s v="27/jun"/>
    <n v="1"/>
    <s v=""/>
  </r>
  <r>
    <x v="20"/>
    <d v="2026-06-24T15:20:37"/>
    <x v="0"/>
    <n v="67985671"/>
    <n v="363073770000"/>
    <s v="8-273-635"/>
    <s v="Fijo"/>
    <x v="0"/>
    <x v="2"/>
    <m/>
    <m/>
    <m/>
    <s v="no"/>
    <m/>
    <m/>
    <x v="1"/>
    <m/>
    <x v="0"/>
    <x v="0"/>
    <s v=""/>
    <s v=""/>
    <s v=""/>
    <s v=""/>
  </r>
  <r>
    <x v="20"/>
    <d v="2026-06-24T15:24:51"/>
    <x v="0"/>
    <n v="65912713"/>
    <n v="362076290000"/>
    <s v="8-404-478"/>
    <s v="Fijo"/>
    <x v="0"/>
    <x v="2"/>
    <m/>
    <m/>
    <m/>
    <s v="no"/>
    <m/>
    <m/>
    <x v="1"/>
    <m/>
    <x v="0"/>
    <x v="0"/>
    <s v=""/>
    <s v=""/>
    <s v=""/>
    <s v=""/>
  </r>
  <r>
    <x v="20"/>
    <d v="2026-06-24T15:31:02"/>
    <x v="0"/>
    <n v="61070629"/>
    <n v="366078340000"/>
    <s v="8-824-1486"/>
    <s v="Fijo"/>
    <x v="0"/>
    <x v="1"/>
    <m/>
    <d v="2026-06-27T00:00:00"/>
    <n v="34.950000000000003"/>
    <s v="no"/>
    <m/>
    <m/>
    <x v="1"/>
    <m/>
    <x v="0"/>
    <x v="1"/>
    <s v=""/>
    <s v="27/jun"/>
    <n v="1"/>
    <s v=""/>
  </r>
  <r>
    <x v="20"/>
    <d v="2026-06-24T15:36:58"/>
    <x v="0"/>
    <n v="68929604"/>
    <n v="234028630000"/>
    <s v="8-188-529"/>
    <s v="Fijo"/>
    <x v="0"/>
    <x v="1"/>
    <m/>
    <m/>
    <m/>
    <s v="no"/>
    <m/>
    <m/>
    <x v="1"/>
    <s v="No brinda fecha de pago."/>
    <x v="0"/>
    <x v="0"/>
    <s v=""/>
    <s v=""/>
    <s v=""/>
    <s v=""/>
  </r>
  <r>
    <x v="20"/>
    <d v="2026-06-24T15:44:27"/>
    <x v="0"/>
    <n v="69616114"/>
    <n v="327021820000"/>
    <s v="8-828-12"/>
    <s v="Fijo"/>
    <x v="0"/>
    <x v="1"/>
    <m/>
    <d v="2026-07-05T00:00:00"/>
    <n v="30.44"/>
    <s v="no"/>
    <m/>
    <m/>
    <x v="2"/>
    <m/>
    <x v="0"/>
    <x v="2"/>
    <s v=""/>
    <s v="05/jul"/>
    <n v="1"/>
    <s v=""/>
  </r>
  <r>
    <x v="20"/>
    <d v="2026-06-24T15:52:37"/>
    <x v="0"/>
    <n v="60512941"/>
    <n v="363080130000"/>
    <s v="8-992-1576"/>
    <s v="Fijo"/>
    <x v="0"/>
    <x v="1"/>
    <m/>
    <d v="2026-06-26T00:00:00"/>
    <n v="41.37"/>
    <s v="no"/>
    <m/>
    <m/>
    <x v="1"/>
    <m/>
    <x v="0"/>
    <x v="1"/>
    <s v=""/>
    <s v="26/jun"/>
    <n v="1"/>
    <s v=""/>
  </r>
  <r>
    <x v="20"/>
    <d v="2026-06-24T15:56:10"/>
    <x v="0"/>
    <n v="65695881"/>
    <n v="362080260000"/>
    <s v="8-500-776"/>
    <s v="Fijo"/>
    <x v="0"/>
    <x v="2"/>
    <m/>
    <m/>
    <m/>
    <s v="no"/>
    <m/>
    <m/>
    <x v="1"/>
    <m/>
    <x v="0"/>
    <x v="0"/>
    <s v=""/>
    <s v=""/>
    <s v=""/>
    <s v=""/>
  </r>
  <r>
    <x v="20"/>
    <d v="2026-06-24T16:00:56"/>
    <x v="0"/>
    <n v="67322636"/>
    <n v="149034690000"/>
    <s v="8-208-1654"/>
    <s v="Fijo"/>
    <x v="0"/>
    <x v="1"/>
    <m/>
    <m/>
    <m/>
    <s v="no"/>
    <m/>
    <m/>
    <x v="1"/>
    <m/>
    <x v="0"/>
    <x v="0"/>
    <s v=""/>
    <s v=""/>
    <s v=""/>
    <s v=""/>
  </r>
  <r>
    <x v="20"/>
    <d v="2026-06-24T16:12:16"/>
    <x v="0"/>
    <n v="60705020"/>
    <n v="369078710000"/>
    <s v="8-744-1801"/>
    <s v="Fijo"/>
    <x v="1"/>
    <x v="1"/>
    <m/>
    <d v="2026-06-25T00:00:00"/>
    <n v="62.21"/>
    <s v="no"/>
    <m/>
    <m/>
    <x v="1"/>
    <m/>
    <x v="0"/>
    <x v="1"/>
    <s v=""/>
    <s v="25/jun"/>
    <n v="1"/>
    <s v=""/>
  </r>
  <r>
    <x v="20"/>
    <d v="2026-06-24T16:22:50"/>
    <x v="0"/>
    <n v="66994651"/>
    <n v="368077440000"/>
    <s v="8-841-1844"/>
    <s v="Fijo"/>
    <x v="0"/>
    <x v="1"/>
    <m/>
    <d v="2026-06-28T00:00:00"/>
    <n v="28.85"/>
    <s v="no"/>
    <m/>
    <m/>
    <x v="1"/>
    <m/>
    <x v="0"/>
    <x v="1"/>
    <s v=""/>
    <s v="28/jun"/>
    <n v="1"/>
    <s v=""/>
  </r>
  <r>
    <x v="20"/>
    <d v="2026-06-24T16:34:38"/>
    <x v="0"/>
    <n v="66620289"/>
    <n v="365067380000"/>
    <s v="8-969-881"/>
    <s v="Fijo"/>
    <x v="2"/>
    <x v="1"/>
    <m/>
    <d v="2026-07-06T00:00:00"/>
    <n v="33.86"/>
    <s v="no"/>
    <m/>
    <m/>
    <x v="1"/>
    <m/>
    <x v="0"/>
    <x v="2"/>
    <s v=""/>
    <s v="06/jul"/>
    <n v="1"/>
    <s v=""/>
  </r>
  <r>
    <x v="20"/>
    <d v="2026-06-24T17:01:04"/>
    <x v="0"/>
    <n v="64093275"/>
    <n v="363076360000"/>
    <s v="8-932-1962"/>
    <s v="Fijo"/>
    <x v="2"/>
    <x v="1"/>
    <m/>
    <m/>
    <m/>
    <s v="no"/>
    <m/>
    <m/>
    <x v="1"/>
    <s v="Ya solicito cese de cuenta no fue efectuado y realizara reclamo de mensualidad."/>
    <x v="0"/>
    <x v="0"/>
    <s v=""/>
    <s v=""/>
    <s v=""/>
    <s v=""/>
  </r>
  <r>
    <x v="20"/>
    <d v="2026-06-24T17:05:25"/>
    <x v="0"/>
    <n v="67208780"/>
    <n v="369080710000"/>
    <s v="5-709-291"/>
    <s v="Fijo"/>
    <x v="0"/>
    <x v="2"/>
    <m/>
    <m/>
    <m/>
    <s v="no"/>
    <m/>
    <m/>
    <x v="0"/>
    <m/>
    <x v="0"/>
    <x v="0"/>
    <s v=""/>
    <s v=""/>
    <s v=""/>
    <s v=""/>
  </r>
  <r>
    <x v="20"/>
    <d v="2026-06-24T17:06:58"/>
    <x v="0"/>
    <n v="63222261"/>
    <n v="362078910000"/>
    <s v="8-948-2478"/>
    <s v="Fijo"/>
    <x v="0"/>
    <x v="0"/>
    <m/>
    <m/>
    <m/>
    <s v="no"/>
    <m/>
    <m/>
    <x v="1"/>
    <m/>
    <x v="0"/>
    <x v="0"/>
    <s v=""/>
    <s v=""/>
    <s v=""/>
    <s v=""/>
  </r>
  <r>
    <x v="20"/>
    <d v="2026-06-24T17:11:59"/>
    <x v="0"/>
    <n v="66624357"/>
    <n v="997037660000"/>
    <s v="2-101-1408"/>
    <s v="Fijo"/>
    <x v="0"/>
    <x v="1"/>
    <s v="Mala experiencia con el servicio"/>
    <m/>
    <m/>
    <s v="no"/>
    <m/>
    <m/>
    <x v="1"/>
    <m/>
    <x v="0"/>
    <x v="0"/>
    <s v=""/>
    <s v=""/>
    <s v=""/>
    <s v=""/>
  </r>
  <r>
    <x v="20"/>
    <d v="2026-06-24T17:14:28"/>
    <x v="0"/>
    <n v="65160638"/>
    <n v="368079300000"/>
    <s v="8-111-294"/>
    <s v="Fijo"/>
    <x v="3"/>
    <x v="6"/>
    <m/>
    <m/>
    <m/>
    <s v="no"/>
    <m/>
    <m/>
    <x v="1"/>
    <m/>
    <x v="0"/>
    <x v="0"/>
    <s v=""/>
    <s v=""/>
    <s v=""/>
    <s v=""/>
  </r>
  <r>
    <x v="20"/>
    <d v="2026-06-24T17:19:11"/>
    <x v="0"/>
    <n v="65150698"/>
    <n v="361078550000"/>
    <s v="2-98-1987"/>
    <s v="Fijo"/>
    <x v="3"/>
    <x v="2"/>
    <m/>
    <m/>
    <m/>
    <s v="no"/>
    <m/>
    <m/>
    <x v="1"/>
    <m/>
    <x v="0"/>
    <x v="0"/>
    <s v=""/>
    <s v=""/>
    <s v=""/>
    <s v=""/>
  </r>
  <r>
    <x v="20"/>
    <d v="2026-06-24T17:22:05"/>
    <x v="0"/>
    <n v="66112293"/>
    <n v="366068880000"/>
    <s v="8-460-178"/>
    <s v="Fijo"/>
    <x v="0"/>
    <x v="5"/>
    <m/>
    <m/>
    <m/>
    <s v="si"/>
    <d v="2026-06-24T00:00:00"/>
    <n v="51.84"/>
    <x v="1"/>
    <m/>
    <x v="2"/>
    <x v="0"/>
    <s v="24/jun"/>
    <s v=""/>
    <s v=""/>
    <n v="1"/>
  </r>
  <r>
    <x v="20"/>
    <d v="2026-06-24T17:28:41"/>
    <x v="0"/>
    <n v="65662804"/>
    <n v="803528580000"/>
    <s v="7-95-776"/>
    <s v="Fijo"/>
    <x v="0"/>
    <x v="5"/>
    <m/>
    <m/>
    <m/>
    <s v="si"/>
    <d v="2026-06-19T00:00:00"/>
    <n v="97.66"/>
    <x v="1"/>
    <m/>
    <x v="2"/>
    <x v="0"/>
    <s v="19/jun"/>
    <s v=""/>
    <s v=""/>
    <n v="1"/>
  </r>
  <r>
    <x v="20"/>
    <d v="2026-06-24T17:32:47"/>
    <x v="0"/>
    <n v="66771239"/>
    <n v="368063020000"/>
    <s v="8-864-1032"/>
    <s v="Fijo"/>
    <x v="0"/>
    <x v="5"/>
    <m/>
    <m/>
    <m/>
    <s v="si"/>
    <d v="2026-06-22T00:00:00"/>
    <n v="40.22"/>
    <x v="2"/>
    <m/>
    <x v="2"/>
    <x v="0"/>
    <s v="22/jun"/>
    <s v=""/>
    <s v=""/>
    <n v="1"/>
  </r>
  <r>
    <x v="20"/>
    <d v="2026-06-24T17:36:20"/>
    <x v="0"/>
    <n v="66834638"/>
    <n v="365075240000"/>
    <s v="E-8-76059"/>
    <s v="Fijo"/>
    <x v="2"/>
    <x v="5"/>
    <m/>
    <m/>
    <m/>
    <s v="si"/>
    <d v="2026-06-24T00:00:00"/>
    <n v="39.979999999999997"/>
    <x v="1"/>
    <m/>
    <x v="2"/>
    <x v="0"/>
    <s v="24/jun"/>
    <s v=""/>
    <s v=""/>
    <n v="1"/>
  </r>
  <r>
    <x v="20"/>
    <d v="2026-06-24T17:44:51"/>
    <x v="0"/>
    <n v="68199560"/>
    <n v="367078170000"/>
    <s v="4-827-380"/>
    <s v="Fijo"/>
    <x v="0"/>
    <x v="2"/>
    <m/>
    <m/>
    <m/>
    <s v="no"/>
    <m/>
    <m/>
    <x v="0"/>
    <m/>
    <x v="0"/>
    <x v="0"/>
    <s v=""/>
    <s v=""/>
    <s v=""/>
    <s v=""/>
  </r>
  <r>
    <x v="20"/>
    <d v="2026-06-24T17:48:14"/>
    <x v="0"/>
    <n v="63500084"/>
    <n v="176064840000"/>
    <s v="4-100-1496"/>
    <s v="Fijo"/>
    <x v="0"/>
    <x v="2"/>
    <m/>
    <m/>
    <m/>
    <s v="no"/>
    <m/>
    <m/>
    <x v="1"/>
    <m/>
    <x v="0"/>
    <x v="0"/>
    <s v=""/>
    <s v=""/>
    <s v=""/>
    <s v=""/>
  </r>
  <r>
    <x v="20"/>
    <d v="2026-06-24T17:57:31"/>
    <x v="0"/>
    <n v="64485537"/>
    <n v="365078470000"/>
    <s v="4-179-670"/>
    <s v="Fijo"/>
    <x v="0"/>
    <x v="1"/>
    <m/>
    <d v="2026-07-01T00:00:00"/>
    <n v="34.85"/>
    <s v="no"/>
    <m/>
    <m/>
    <x v="1"/>
    <m/>
    <x v="0"/>
    <x v="2"/>
    <s v=""/>
    <s v="01/jul"/>
    <n v="1"/>
    <s v=""/>
  </r>
  <r>
    <x v="20"/>
    <d v="2026-06-24T18:05:55"/>
    <x v="0"/>
    <n v="67977257"/>
    <n v="367079050000"/>
    <s v="4-96-2309"/>
    <s v="Fijo"/>
    <x v="0"/>
    <x v="3"/>
    <m/>
    <m/>
    <m/>
    <s v="no"/>
    <m/>
    <m/>
    <x v="1"/>
    <m/>
    <x v="0"/>
    <x v="0"/>
    <s v=""/>
    <s v=""/>
    <s v=""/>
    <s v=""/>
  </r>
  <r>
    <x v="21"/>
    <d v="2026-06-25T09:29:20"/>
    <x v="0"/>
    <n v="68958977"/>
    <n v="369072090000"/>
    <s v="9-740-639"/>
    <s v="Fijo"/>
    <x v="0"/>
    <x v="1"/>
    <m/>
    <d v="2026-06-30T00:00:00"/>
    <n v="50"/>
    <s v="no"/>
    <m/>
    <m/>
    <x v="1"/>
    <m/>
    <x v="0"/>
    <x v="1"/>
    <s v=""/>
    <s v="30/jun"/>
    <n v="1"/>
    <s v=""/>
  </r>
  <r>
    <x v="21"/>
    <d v="2026-06-25T09:32:40"/>
    <x v="0"/>
    <n v="63998792"/>
    <n v="364077990000"/>
    <s v="7-703-1927"/>
    <s v="Fijo"/>
    <x v="0"/>
    <x v="3"/>
    <m/>
    <m/>
    <m/>
    <s v="no"/>
    <m/>
    <m/>
    <x v="1"/>
    <m/>
    <x v="0"/>
    <x v="0"/>
    <s v=""/>
    <s v=""/>
    <s v=""/>
    <s v=""/>
  </r>
  <r>
    <x v="21"/>
    <d v="2026-06-25T09:37:01"/>
    <x v="0"/>
    <n v="60363808"/>
    <n v="361079500000"/>
    <s v="2-51-702"/>
    <s v="Fijo"/>
    <x v="0"/>
    <x v="7"/>
    <m/>
    <m/>
    <m/>
    <s v="no"/>
    <m/>
    <m/>
    <x v="1"/>
    <m/>
    <x v="0"/>
    <x v="0"/>
    <s v=""/>
    <s v=""/>
    <s v=""/>
    <s v=""/>
  </r>
  <r>
    <x v="21"/>
    <d v="2026-06-25T09:43:52"/>
    <x v="0"/>
    <n v="63165172"/>
    <n v="366079480000"/>
    <s v="2-725-612"/>
    <s v="Fijo"/>
    <x v="0"/>
    <x v="2"/>
    <m/>
    <m/>
    <m/>
    <s v="no"/>
    <m/>
    <m/>
    <x v="1"/>
    <m/>
    <x v="0"/>
    <x v="0"/>
    <s v=""/>
    <s v=""/>
    <s v=""/>
    <s v=""/>
  </r>
  <r>
    <x v="21"/>
    <d v="2026-06-25T09:48:46"/>
    <x v="0"/>
    <n v="64689457"/>
    <n v="367081470000"/>
    <s v="12-725-1688"/>
    <s v="Fijo"/>
    <x v="0"/>
    <x v="2"/>
    <m/>
    <m/>
    <m/>
    <s v="no"/>
    <m/>
    <m/>
    <x v="0"/>
    <m/>
    <x v="0"/>
    <x v="0"/>
    <s v=""/>
    <s v=""/>
    <s v=""/>
    <s v=""/>
  </r>
  <r>
    <x v="21"/>
    <d v="2026-06-25T09:54:19"/>
    <x v="0"/>
    <n v="64882414"/>
    <n v="369072050000"/>
    <s v="8-764-792"/>
    <s v="Fijo"/>
    <x v="0"/>
    <x v="2"/>
    <m/>
    <m/>
    <m/>
    <s v="no"/>
    <m/>
    <m/>
    <x v="1"/>
    <m/>
    <x v="0"/>
    <x v="0"/>
    <s v=""/>
    <s v=""/>
    <s v=""/>
    <s v=""/>
  </r>
  <r>
    <x v="21"/>
    <d v="2026-06-25T10:02:33"/>
    <x v="0"/>
    <n v="66749339"/>
    <n v="362068970000"/>
    <s v="8-1061-25"/>
    <s v="Fijo"/>
    <x v="0"/>
    <x v="2"/>
    <m/>
    <m/>
    <m/>
    <s v="no"/>
    <m/>
    <m/>
    <x v="1"/>
    <m/>
    <x v="0"/>
    <x v="0"/>
    <s v=""/>
    <s v=""/>
    <s v=""/>
    <s v=""/>
  </r>
  <r>
    <x v="21"/>
    <d v="2026-06-25T10:04:48"/>
    <x v="0"/>
    <n v="64377164"/>
    <n v="363067460000"/>
    <n v="298507315"/>
    <s v="Fijo"/>
    <x v="0"/>
    <x v="2"/>
    <m/>
    <m/>
    <m/>
    <s v="no"/>
    <m/>
    <m/>
    <x v="1"/>
    <m/>
    <x v="0"/>
    <x v="0"/>
    <s v=""/>
    <s v=""/>
    <s v=""/>
    <s v=""/>
  </r>
  <r>
    <x v="21"/>
    <d v="2026-06-25T10:25:15"/>
    <x v="0"/>
    <n v="67853676"/>
    <n v="369060970000"/>
    <s v="RD8232244"/>
    <s v="Fijo"/>
    <x v="0"/>
    <x v="1"/>
    <m/>
    <m/>
    <m/>
    <s v="no"/>
    <m/>
    <m/>
    <x v="1"/>
    <m/>
    <x v="0"/>
    <x v="0"/>
    <s v=""/>
    <s v=""/>
    <s v=""/>
    <s v=""/>
  </r>
  <r>
    <x v="21"/>
    <d v="2026-06-25T10:35:29"/>
    <x v="0"/>
    <n v="64130543"/>
    <n v="287016300000"/>
    <s v="8-796-981"/>
    <s v="Fijo"/>
    <x v="0"/>
    <x v="1"/>
    <m/>
    <m/>
    <m/>
    <s v="no"/>
    <m/>
    <m/>
    <x v="1"/>
    <s v="No brinda fecha."/>
    <x v="0"/>
    <x v="0"/>
    <s v=""/>
    <s v=""/>
    <s v=""/>
    <s v=""/>
  </r>
  <r>
    <x v="21"/>
    <d v="2026-06-25T10:38:42"/>
    <x v="0"/>
    <n v="67583930"/>
    <n v="364079800000"/>
    <s v="3-92-780"/>
    <s v="Fijo"/>
    <x v="0"/>
    <x v="1"/>
    <m/>
    <m/>
    <m/>
    <s v="no"/>
    <m/>
    <m/>
    <x v="1"/>
    <m/>
    <x v="0"/>
    <x v="0"/>
    <s v=""/>
    <s v=""/>
    <s v=""/>
    <s v=""/>
  </r>
  <r>
    <x v="21"/>
    <d v="2026-06-25T10:50:01"/>
    <x v="0"/>
    <n v="66241362"/>
    <n v="367037840000"/>
    <s v="E-8-179920"/>
    <s v="Fijo"/>
    <x v="0"/>
    <x v="2"/>
    <m/>
    <m/>
    <m/>
    <s v="no"/>
    <m/>
    <m/>
    <x v="0"/>
    <m/>
    <x v="0"/>
    <x v="0"/>
    <s v=""/>
    <s v=""/>
    <s v=""/>
    <s v=""/>
  </r>
  <r>
    <x v="21"/>
    <d v="2026-06-25T10:53:23"/>
    <x v="0"/>
    <n v="65579514"/>
    <n v="362080930000"/>
    <s v="3-706-893"/>
    <s v="Fijo"/>
    <x v="0"/>
    <x v="1"/>
    <m/>
    <d v="2026-07-01T00:00:00"/>
    <n v="30.44"/>
    <s v="no"/>
    <m/>
    <m/>
    <x v="1"/>
    <m/>
    <x v="0"/>
    <x v="2"/>
    <s v=""/>
    <s v="01/jul"/>
    <n v="1"/>
    <s v=""/>
  </r>
  <r>
    <x v="21"/>
    <d v="2026-06-25T10:58:53"/>
    <x v="0"/>
    <n v="63096925"/>
    <n v="358346740000"/>
    <s v="4-705-468"/>
    <s v="Fijo"/>
    <x v="0"/>
    <x v="0"/>
    <m/>
    <m/>
    <m/>
    <s v="no"/>
    <m/>
    <m/>
    <x v="0"/>
    <m/>
    <x v="0"/>
    <x v="0"/>
    <s v=""/>
    <s v=""/>
    <s v=""/>
    <s v=""/>
  </r>
  <r>
    <x v="21"/>
    <d v="2026-06-25T11:07:07"/>
    <x v="0"/>
    <n v="69102224"/>
    <n v="803775370000"/>
    <s v="8-816-190"/>
    <s v="Fijo"/>
    <x v="0"/>
    <x v="1"/>
    <m/>
    <m/>
    <m/>
    <s v="no"/>
    <m/>
    <m/>
    <x v="1"/>
    <s v="Indica solicito cesar servicio."/>
    <x v="0"/>
    <x v="0"/>
    <s v=""/>
    <s v=""/>
    <s v=""/>
    <s v=""/>
  </r>
  <r>
    <x v="21"/>
    <d v="2026-06-25T11:18:05"/>
    <x v="0"/>
    <n v="69794563"/>
    <n v="363080430000"/>
    <s v="2-117-578"/>
    <s v="Fijo"/>
    <x v="1"/>
    <x v="2"/>
    <m/>
    <m/>
    <m/>
    <s v="no"/>
    <m/>
    <m/>
    <x v="1"/>
    <m/>
    <x v="0"/>
    <x v="0"/>
    <s v=""/>
    <s v=""/>
    <s v=""/>
    <s v=""/>
  </r>
  <r>
    <x v="21"/>
    <d v="2026-06-25T11:26:16"/>
    <x v="0"/>
    <n v="65438382"/>
    <n v="365080170000"/>
    <s v="3-714-270"/>
    <s v="Fijo"/>
    <x v="0"/>
    <x v="2"/>
    <m/>
    <m/>
    <m/>
    <s v="no"/>
    <m/>
    <m/>
    <x v="1"/>
    <m/>
    <x v="0"/>
    <x v="0"/>
    <s v=""/>
    <s v=""/>
    <s v=""/>
    <s v=""/>
  </r>
  <r>
    <x v="21"/>
    <d v="2026-06-25T11:31:30"/>
    <x v="0"/>
    <n v="60793947"/>
    <n v="364074610000"/>
    <s v="4-841-1866"/>
    <s v="Fijo"/>
    <x v="0"/>
    <x v="2"/>
    <m/>
    <m/>
    <m/>
    <s v="no"/>
    <m/>
    <m/>
    <x v="1"/>
    <m/>
    <x v="0"/>
    <x v="0"/>
    <s v=""/>
    <s v=""/>
    <s v=""/>
    <s v=""/>
  </r>
  <r>
    <x v="21"/>
    <d v="2026-06-25T11:52:11"/>
    <x v="0"/>
    <n v="63581376"/>
    <n v="365073650000"/>
    <s v="8-850-1225"/>
    <s v="Fijo"/>
    <x v="2"/>
    <x v="7"/>
    <m/>
    <m/>
    <m/>
    <s v="no"/>
    <m/>
    <m/>
    <x v="1"/>
    <m/>
    <x v="0"/>
    <x v="0"/>
    <s v=""/>
    <s v=""/>
    <s v=""/>
    <s v=""/>
  </r>
  <r>
    <x v="21"/>
    <d v="2026-06-25T11:59:20"/>
    <x v="0"/>
    <n v="67081297"/>
    <n v="362074360000"/>
    <s v="8-827-1352"/>
    <s v="Fijo"/>
    <x v="2"/>
    <x v="1"/>
    <m/>
    <m/>
    <m/>
    <s v="no"/>
    <m/>
    <m/>
    <x v="0"/>
    <s v="No brinda fecha de pago."/>
    <x v="0"/>
    <x v="0"/>
    <s v=""/>
    <s v=""/>
    <s v=""/>
    <s v=""/>
  </r>
  <r>
    <x v="21"/>
    <d v="2026-06-25T12:07:15"/>
    <x v="0"/>
    <n v="68831080"/>
    <n v="368078520000"/>
    <s v="8-879-2307"/>
    <s v="Fijo"/>
    <x v="2"/>
    <x v="1"/>
    <m/>
    <m/>
    <m/>
    <s v="no"/>
    <m/>
    <m/>
    <x v="1"/>
    <s v="Cierra la llamada."/>
    <x v="0"/>
    <x v="0"/>
    <s v=""/>
    <s v=""/>
    <s v=""/>
    <s v=""/>
  </r>
  <r>
    <x v="21"/>
    <d v="2026-06-25T12:10:20"/>
    <x v="0"/>
    <n v="61067977"/>
    <n v="219000990000"/>
    <s v="8-842-1721"/>
    <s v="Fijo"/>
    <x v="0"/>
    <x v="1"/>
    <m/>
    <d v="2026-07-03T00:00:00"/>
    <n v="34.85"/>
    <s v="no"/>
    <m/>
    <m/>
    <x v="1"/>
    <m/>
    <x v="0"/>
    <x v="2"/>
    <s v=""/>
    <s v="03/jul"/>
    <n v="1"/>
    <s v=""/>
  </r>
  <r>
    <x v="21"/>
    <d v="2026-06-25T12:18:26"/>
    <x v="0"/>
    <n v="62459001"/>
    <n v="803290840000"/>
    <s v="1-21-1843"/>
    <s v="Fijo"/>
    <x v="0"/>
    <x v="0"/>
    <m/>
    <m/>
    <m/>
    <s v="no"/>
    <m/>
    <m/>
    <x v="1"/>
    <m/>
    <x v="0"/>
    <x v="0"/>
    <s v=""/>
    <s v=""/>
    <s v=""/>
    <s v=""/>
  </r>
  <r>
    <x v="21"/>
    <d v="2026-06-25T12:25:24"/>
    <x v="0"/>
    <n v="68861390"/>
    <n v="364064410000"/>
    <s v="8-98-345"/>
    <s v="Fijo"/>
    <x v="4"/>
    <x v="2"/>
    <m/>
    <m/>
    <m/>
    <s v="no"/>
    <m/>
    <m/>
    <x v="1"/>
    <m/>
    <x v="0"/>
    <x v="0"/>
    <s v=""/>
    <s v=""/>
    <s v=""/>
    <s v=""/>
  </r>
  <r>
    <x v="21"/>
    <d v="2026-06-25T12:37:25"/>
    <x v="0"/>
    <n v="60762499"/>
    <n v="368035160000"/>
    <s v="10-8-501"/>
    <s v="Fijo"/>
    <x v="0"/>
    <x v="2"/>
    <m/>
    <m/>
    <m/>
    <s v="no"/>
    <m/>
    <m/>
    <x v="1"/>
    <m/>
    <x v="0"/>
    <x v="0"/>
    <s v=""/>
    <s v=""/>
    <s v=""/>
    <s v=""/>
  </r>
  <r>
    <x v="21"/>
    <d v="2026-06-25T12:41:12"/>
    <x v="0"/>
    <n v="68134876"/>
    <n v="367081280000"/>
    <s v="8-798-938"/>
    <s v="Fijo"/>
    <x v="0"/>
    <x v="6"/>
    <m/>
    <m/>
    <m/>
    <s v="no"/>
    <m/>
    <m/>
    <x v="0"/>
    <m/>
    <x v="0"/>
    <x v="0"/>
    <s v=""/>
    <s v=""/>
    <s v=""/>
    <s v=""/>
  </r>
  <r>
    <x v="21"/>
    <d v="2026-06-25T12:47:24"/>
    <x v="0"/>
    <n v="69357084"/>
    <n v="365081220000"/>
    <s v="8-211-747"/>
    <s v="Fijo"/>
    <x v="0"/>
    <x v="0"/>
    <m/>
    <m/>
    <m/>
    <s v="no"/>
    <m/>
    <m/>
    <x v="1"/>
    <m/>
    <x v="0"/>
    <x v="0"/>
    <s v=""/>
    <s v=""/>
    <s v=""/>
    <s v=""/>
  </r>
  <r>
    <x v="21"/>
    <d v="2026-06-25T12:56:05"/>
    <x v="0"/>
    <n v="64928299"/>
    <n v="363081470000"/>
    <s v="4-706-2011"/>
    <s v="Fijo"/>
    <x v="0"/>
    <x v="1"/>
    <m/>
    <m/>
    <m/>
    <s v="no"/>
    <m/>
    <m/>
    <x v="0"/>
    <s v="Consultara con su esposo."/>
    <x v="0"/>
    <x v="0"/>
    <s v=""/>
    <s v=""/>
    <s v=""/>
    <s v=""/>
  </r>
  <r>
    <x v="21"/>
    <d v="2026-06-25T13:01:30"/>
    <x v="0"/>
    <n v="67574925"/>
    <n v="203065320000"/>
    <s v="8-782-2325"/>
    <s v="Fijo"/>
    <x v="0"/>
    <x v="1"/>
    <s v="Situación económica"/>
    <d v="2026-06-28T00:00:00"/>
    <n v="30.44"/>
    <s v="no"/>
    <m/>
    <m/>
    <x v="1"/>
    <m/>
    <x v="0"/>
    <x v="1"/>
    <s v=""/>
    <s v="28/jun"/>
    <n v="1"/>
    <s v=""/>
  </r>
  <r>
    <x v="21"/>
    <d v="2026-06-25T13:05:16"/>
    <x v="0"/>
    <n v="67666967"/>
    <n v="364075570000"/>
    <s v="4-231-854"/>
    <s v="Fijo"/>
    <x v="0"/>
    <x v="2"/>
    <m/>
    <m/>
    <m/>
    <s v="no"/>
    <m/>
    <m/>
    <x v="0"/>
    <m/>
    <x v="0"/>
    <x v="0"/>
    <s v=""/>
    <s v=""/>
    <s v=""/>
    <s v=""/>
  </r>
  <r>
    <x v="21"/>
    <d v="2026-06-25T13:09:04"/>
    <x v="0"/>
    <n v="69273150"/>
    <n v="368080790000"/>
    <s v="4-743-2227"/>
    <s v="Fijo"/>
    <x v="0"/>
    <x v="2"/>
    <m/>
    <m/>
    <m/>
    <s v="no"/>
    <m/>
    <m/>
    <x v="1"/>
    <m/>
    <x v="0"/>
    <x v="0"/>
    <s v=""/>
    <s v=""/>
    <s v=""/>
    <s v=""/>
  </r>
  <r>
    <x v="21"/>
    <d v="2026-06-25T13:11:32"/>
    <x v="0"/>
    <n v="63512807"/>
    <n v="355023730000"/>
    <s v="4-179-476"/>
    <s v="Fijo"/>
    <x v="0"/>
    <x v="2"/>
    <m/>
    <m/>
    <m/>
    <s v="no"/>
    <m/>
    <m/>
    <x v="0"/>
    <m/>
    <x v="0"/>
    <x v="0"/>
    <s v=""/>
    <s v=""/>
    <s v=""/>
    <s v=""/>
  </r>
  <r>
    <x v="21"/>
    <d v="2026-06-25T13:14:49"/>
    <x v="0"/>
    <n v="65493342"/>
    <n v="366079170000"/>
    <s v="4-84-289"/>
    <s v="Fijo"/>
    <x v="0"/>
    <x v="3"/>
    <m/>
    <m/>
    <m/>
    <s v="no"/>
    <m/>
    <m/>
    <x v="1"/>
    <m/>
    <x v="0"/>
    <x v="0"/>
    <s v=""/>
    <s v=""/>
    <s v=""/>
    <s v=""/>
  </r>
  <r>
    <x v="21"/>
    <d v="2026-06-25T14:24:53"/>
    <x v="0"/>
    <n v="65705594"/>
    <n v="369080020000"/>
    <s v="2-158-265"/>
    <s v="Fijo"/>
    <x v="0"/>
    <x v="2"/>
    <m/>
    <m/>
    <m/>
    <s v="no"/>
    <m/>
    <m/>
    <x v="1"/>
    <m/>
    <x v="0"/>
    <x v="0"/>
    <s v=""/>
    <s v=""/>
    <s v=""/>
    <s v=""/>
  </r>
  <r>
    <x v="21"/>
    <d v="2026-06-25T14:37:30"/>
    <x v="0"/>
    <n v="61308242"/>
    <n v="364080680000"/>
    <s v="E-8-84026"/>
    <s v="Fijo"/>
    <x v="2"/>
    <x v="1"/>
    <m/>
    <d v="2026-06-26T00:00:00"/>
    <n v="63.39"/>
    <s v="no"/>
    <m/>
    <m/>
    <x v="1"/>
    <m/>
    <x v="0"/>
    <x v="1"/>
    <s v=""/>
    <s v="26/jun"/>
    <n v="1"/>
    <s v=""/>
  </r>
  <r>
    <x v="21"/>
    <d v="2026-06-25T14:43:47"/>
    <x v="0"/>
    <n v="60116185"/>
    <n v="368080050000"/>
    <s v="3-719-881"/>
    <s v="Fijo"/>
    <x v="0"/>
    <x v="2"/>
    <m/>
    <m/>
    <m/>
    <s v="no"/>
    <m/>
    <m/>
    <x v="1"/>
    <m/>
    <x v="0"/>
    <x v="0"/>
    <s v=""/>
    <s v=""/>
    <s v=""/>
    <s v=""/>
  </r>
  <r>
    <x v="21"/>
    <d v="2026-06-25T14:54:19"/>
    <x v="0"/>
    <n v="68647113"/>
    <n v="172067580000"/>
    <s v="8-302-846"/>
    <s v="Fijo"/>
    <x v="0"/>
    <x v="1"/>
    <m/>
    <d v="2026-07-05T00:00:00"/>
    <n v="37.58"/>
    <s v="no"/>
    <m/>
    <m/>
    <x v="1"/>
    <m/>
    <x v="0"/>
    <x v="2"/>
    <s v=""/>
    <s v="05/jul"/>
    <n v="1"/>
    <s v=""/>
  </r>
  <r>
    <x v="21"/>
    <d v="2026-06-25T15:01:31"/>
    <x v="0"/>
    <n v="65303508"/>
    <n v="365073600000"/>
    <n v="179315006"/>
    <s v="Fijo"/>
    <x v="0"/>
    <x v="1"/>
    <m/>
    <m/>
    <m/>
    <s v="no"/>
    <m/>
    <m/>
    <x v="1"/>
    <m/>
    <x v="0"/>
    <x v="0"/>
    <s v=""/>
    <s v=""/>
    <s v=""/>
    <s v=""/>
  </r>
  <r>
    <x v="21"/>
    <d v="2026-06-25T15:08:59"/>
    <x v="0"/>
    <n v="67305133"/>
    <n v="369079060000"/>
    <s v="3-736-1000"/>
    <s v="Fijo"/>
    <x v="0"/>
    <x v="1"/>
    <m/>
    <m/>
    <m/>
    <s v="no"/>
    <m/>
    <m/>
    <x v="0"/>
    <s v="Desacuerdo con restricción."/>
    <x v="0"/>
    <x v="0"/>
    <s v=""/>
    <s v=""/>
    <s v=""/>
    <s v=""/>
  </r>
  <r>
    <x v="21"/>
    <d v="2026-06-25T15:16:14"/>
    <x v="0"/>
    <n v="67542342"/>
    <n v="361076860000"/>
    <s v="8-908-374"/>
    <s v="Fijo"/>
    <x v="0"/>
    <x v="2"/>
    <m/>
    <m/>
    <m/>
    <s v="no"/>
    <m/>
    <m/>
    <x v="1"/>
    <m/>
    <x v="0"/>
    <x v="0"/>
    <s v=""/>
    <s v=""/>
    <s v=""/>
    <s v=""/>
  </r>
  <r>
    <x v="21"/>
    <d v="2026-06-25T15:23:11"/>
    <x v="0"/>
    <n v="63319808"/>
    <n v="365065890000"/>
    <s v="5-725-446"/>
    <s v="Fijo"/>
    <x v="0"/>
    <x v="3"/>
    <m/>
    <m/>
    <m/>
    <s v="no"/>
    <m/>
    <m/>
    <x v="0"/>
    <m/>
    <x v="0"/>
    <x v="0"/>
    <s v=""/>
    <s v=""/>
    <s v=""/>
    <s v=""/>
  </r>
  <r>
    <x v="21"/>
    <d v="2026-06-25T15:26:33"/>
    <x v="0"/>
    <n v="67375803"/>
    <n v="369082560000"/>
    <s v="8-791-624"/>
    <s v="Fijo"/>
    <x v="0"/>
    <x v="6"/>
    <m/>
    <m/>
    <m/>
    <s v="no"/>
    <m/>
    <m/>
    <x v="1"/>
    <m/>
    <x v="0"/>
    <x v="0"/>
    <s v=""/>
    <s v=""/>
    <s v=""/>
    <s v=""/>
  </r>
  <r>
    <x v="21"/>
    <d v="2026-06-25T15:30:51"/>
    <x v="0"/>
    <n v="69505048"/>
    <n v="369069260000"/>
    <s v="5-716-802"/>
    <s v="Fijo"/>
    <x v="0"/>
    <x v="2"/>
    <m/>
    <m/>
    <m/>
    <s v="no"/>
    <m/>
    <m/>
    <x v="1"/>
    <m/>
    <x v="0"/>
    <x v="0"/>
    <s v=""/>
    <s v=""/>
    <s v=""/>
    <s v=""/>
  </r>
  <r>
    <x v="21"/>
    <d v="2026-06-25T15:38:40"/>
    <x v="0"/>
    <n v="68902344"/>
    <n v="368082820000"/>
    <s v="10-716-2088"/>
    <s v="Fijo"/>
    <x v="0"/>
    <x v="2"/>
    <m/>
    <m/>
    <m/>
    <s v="no"/>
    <m/>
    <m/>
    <x v="0"/>
    <m/>
    <x v="0"/>
    <x v="0"/>
    <s v=""/>
    <s v=""/>
    <s v=""/>
    <s v=""/>
  </r>
  <r>
    <x v="21"/>
    <d v="2026-06-25T15:45:06"/>
    <x v="0"/>
    <n v="69547874"/>
    <n v="359041980000"/>
    <s v="8-431-622"/>
    <s v="Fijo"/>
    <x v="0"/>
    <x v="2"/>
    <m/>
    <m/>
    <m/>
    <s v="no"/>
    <m/>
    <m/>
    <x v="0"/>
    <m/>
    <x v="0"/>
    <x v="0"/>
    <s v=""/>
    <s v=""/>
    <s v=""/>
    <s v=""/>
  </r>
  <r>
    <x v="21"/>
    <d v="2026-06-25T15:48:42"/>
    <x v="0"/>
    <n v="67726718"/>
    <n v="365081950000"/>
    <s v="8-915-445"/>
    <s v="Fijo"/>
    <x v="0"/>
    <x v="2"/>
    <m/>
    <m/>
    <m/>
    <s v="no"/>
    <m/>
    <m/>
    <x v="1"/>
    <m/>
    <x v="0"/>
    <x v="0"/>
    <s v=""/>
    <s v=""/>
    <s v=""/>
    <s v=""/>
  </r>
  <r>
    <x v="21"/>
    <d v="2026-06-25T15:52:49"/>
    <x v="0"/>
    <n v="63803218"/>
    <n v="363082670000"/>
    <s v="8-773-1454"/>
    <s v="Fijo"/>
    <x v="0"/>
    <x v="5"/>
    <m/>
    <m/>
    <m/>
    <s v="si"/>
    <d v="2026-06-19T00:00:00"/>
    <n v="35"/>
    <x v="1"/>
    <m/>
    <x v="2"/>
    <x v="0"/>
    <s v="19/jun"/>
    <s v=""/>
    <s v=""/>
    <n v="1"/>
  </r>
  <r>
    <x v="21"/>
    <d v="2026-06-25T15:57:38"/>
    <x v="0"/>
    <n v="63647653"/>
    <n v="282001560000"/>
    <s v="8-741-1693"/>
    <s v="Fijo"/>
    <x v="0"/>
    <x v="0"/>
    <m/>
    <m/>
    <m/>
    <s v="no"/>
    <m/>
    <m/>
    <x v="1"/>
    <m/>
    <x v="0"/>
    <x v="0"/>
    <s v=""/>
    <s v=""/>
    <s v=""/>
    <s v=""/>
  </r>
  <r>
    <x v="21"/>
    <d v="2026-06-25T16:07:58"/>
    <x v="0"/>
    <n v="68926334"/>
    <n v="361046610000"/>
    <s v="4-774-1797"/>
    <s v="Fijo"/>
    <x v="0"/>
    <x v="1"/>
    <m/>
    <m/>
    <m/>
    <s v="no"/>
    <m/>
    <m/>
    <x v="0"/>
    <s v="Celular activo."/>
    <x v="0"/>
    <x v="0"/>
    <s v=""/>
    <s v=""/>
    <s v=""/>
    <s v=""/>
  </r>
  <r>
    <x v="21"/>
    <d v="2026-06-25T16:10:52"/>
    <x v="0"/>
    <n v="69710973"/>
    <n v="369056820000"/>
    <n v="179147236"/>
    <s v="Fijo"/>
    <x v="1"/>
    <x v="1"/>
    <m/>
    <m/>
    <m/>
    <s v="si"/>
    <d v="2026-06-19T00:00:00"/>
    <n v="23.53"/>
    <x v="1"/>
    <s v="Cumple pago."/>
    <x v="2"/>
    <x v="0"/>
    <s v="19/jun"/>
    <s v=""/>
    <s v=""/>
    <n v="1"/>
  </r>
  <r>
    <x v="21"/>
    <d v="2026-06-25T16:15:32"/>
    <x v="0"/>
    <n v="65693719"/>
    <n v="369064280000"/>
    <s v="9-756-1691"/>
    <s v="Fijo"/>
    <x v="0"/>
    <x v="5"/>
    <m/>
    <m/>
    <m/>
    <s v="si"/>
    <d v="2026-06-25T00:00:00"/>
    <n v="30.44"/>
    <x v="1"/>
    <s v="Cumple pago."/>
    <x v="2"/>
    <x v="0"/>
    <s v="25/jun"/>
    <s v=""/>
    <s v=""/>
    <n v="1"/>
  </r>
  <r>
    <x v="21"/>
    <d v="2026-06-25T17:00:49"/>
    <x v="0"/>
    <n v="60705020"/>
    <n v="369078710000"/>
    <s v="8-744-1801"/>
    <s v="Fijo"/>
    <x v="1"/>
    <x v="5"/>
    <m/>
    <m/>
    <m/>
    <s v="si"/>
    <d v="2026-06-25T00:00:00"/>
    <n v="62.21"/>
    <x v="1"/>
    <s v="Cumple promesa."/>
    <x v="2"/>
    <x v="0"/>
    <s v="25/jun"/>
    <s v=""/>
    <s v=""/>
    <n v="1"/>
  </r>
  <r>
    <x v="21"/>
    <d v="2026-06-25T17:16:33"/>
    <x v="0"/>
    <n v="66196909"/>
    <n v="353001460000"/>
    <s v="E-8-215039"/>
    <s v="Fijo"/>
    <x v="0"/>
    <x v="1"/>
    <m/>
    <d v="2026-06-27T00:00:00"/>
    <n v="34.85"/>
    <s v="no"/>
    <m/>
    <m/>
    <x v="1"/>
    <m/>
    <x v="0"/>
    <x v="1"/>
    <s v=""/>
    <s v="27/jun"/>
    <n v="1"/>
    <s v=""/>
  </r>
  <r>
    <x v="22"/>
    <d v="2026-06-26T09:49:52"/>
    <x v="0"/>
    <n v="69030844"/>
    <n v="364075930000"/>
    <s v="8-1006-306"/>
    <s v="Fijo"/>
    <x v="0"/>
    <x v="2"/>
    <m/>
    <m/>
    <m/>
    <s v="no"/>
    <m/>
    <m/>
    <x v="1"/>
    <m/>
    <x v="0"/>
    <x v="0"/>
    <s v=""/>
    <s v=""/>
    <s v=""/>
    <s v=""/>
  </r>
  <r>
    <x v="22"/>
    <d v="2026-06-26T09:55:20"/>
    <x v="0"/>
    <n v="68820030"/>
    <n v="363082240000"/>
    <s v="5-708-399"/>
    <s v="Fijo"/>
    <x v="0"/>
    <x v="1"/>
    <m/>
    <d v="2026-07-01T00:00:00"/>
    <n v="34.85"/>
    <s v="no"/>
    <m/>
    <m/>
    <x v="1"/>
    <m/>
    <x v="0"/>
    <x v="2"/>
    <s v=""/>
    <s v="01/jul"/>
    <n v="1"/>
    <s v=""/>
  </r>
  <r>
    <x v="22"/>
    <d v="2026-06-26T10:03:00"/>
    <x v="0"/>
    <n v="64036067"/>
    <n v="365044050000"/>
    <s v="8-26-167"/>
    <s v="Fijo"/>
    <x v="2"/>
    <x v="1"/>
    <m/>
    <d v="2026-06-27T00:00:00"/>
    <n v="29.18"/>
    <s v="no"/>
    <m/>
    <m/>
    <x v="1"/>
    <m/>
    <x v="0"/>
    <x v="1"/>
    <s v=""/>
    <s v="27/jun"/>
    <n v="1"/>
    <s v=""/>
  </r>
  <r>
    <x v="22"/>
    <d v="2026-06-26T10:12:50"/>
    <x v="0"/>
    <n v="67260003"/>
    <n v="368074440000"/>
    <s v="E-8-90947"/>
    <s v="Fijo"/>
    <x v="2"/>
    <x v="5"/>
    <m/>
    <m/>
    <m/>
    <s v="si"/>
    <d v="2026-06-24T00:00:00"/>
    <n v="40.5"/>
    <x v="1"/>
    <m/>
    <x v="2"/>
    <x v="0"/>
    <s v="24/jun"/>
    <s v=""/>
    <s v=""/>
    <n v="1"/>
  </r>
  <r>
    <x v="22"/>
    <d v="2026-06-26T10:18:38"/>
    <x v="0"/>
    <n v="63409444"/>
    <n v="369081120000"/>
    <s v="N176272"/>
    <s v="Fijo"/>
    <x v="3"/>
    <x v="1"/>
    <m/>
    <d v="2026-06-26T00:00:00"/>
    <n v="40.909999999999997"/>
    <s v="no"/>
    <m/>
    <m/>
    <x v="1"/>
    <m/>
    <x v="0"/>
    <x v="1"/>
    <s v=""/>
    <s v="26/jun"/>
    <n v="1"/>
    <s v=""/>
  </r>
  <r>
    <x v="22"/>
    <d v="2026-06-26T10:33:04"/>
    <x v="0"/>
    <n v="65630074"/>
    <n v="362082270000"/>
    <s v="BH848806"/>
    <s v="Fijo"/>
    <x v="3"/>
    <x v="2"/>
    <m/>
    <m/>
    <m/>
    <s v="no"/>
    <m/>
    <m/>
    <x v="1"/>
    <m/>
    <x v="0"/>
    <x v="0"/>
    <s v=""/>
    <s v=""/>
    <s v=""/>
    <s v=""/>
  </r>
  <r>
    <x v="22"/>
    <d v="2026-06-26T10:51:40"/>
    <x v="0"/>
    <n v="62193807"/>
    <n v="369081740000"/>
    <s v="8-790-2127"/>
    <s v="Fijo"/>
    <x v="3"/>
    <x v="1"/>
    <m/>
    <d v="2026-06-26T00:00:00"/>
    <n v="34.85"/>
    <s v="no"/>
    <m/>
    <m/>
    <x v="1"/>
    <m/>
    <x v="0"/>
    <x v="1"/>
    <s v=""/>
    <s v="26/jun"/>
    <n v="1"/>
    <s v=""/>
  </r>
  <r>
    <x v="22"/>
    <d v="2026-06-26T10:57:43"/>
    <x v="0"/>
    <n v="65559595"/>
    <n v="369082590000"/>
    <s v="8-517-239"/>
    <s v="Fijo"/>
    <x v="0"/>
    <x v="2"/>
    <m/>
    <m/>
    <m/>
    <s v="no"/>
    <m/>
    <m/>
    <x v="1"/>
    <m/>
    <x v="0"/>
    <x v="0"/>
    <s v=""/>
    <s v=""/>
    <s v=""/>
    <s v=""/>
  </r>
  <r>
    <x v="22"/>
    <d v="2026-06-26T11:06:22"/>
    <x v="0"/>
    <n v="62726971"/>
    <n v="366081010000"/>
    <s v="4-828-394"/>
    <s v="Fijo"/>
    <x v="0"/>
    <x v="3"/>
    <m/>
    <m/>
    <m/>
    <s v="no"/>
    <m/>
    <m/>
    <x v="1"/>
    <m/>
    <x v="0"/>
    <x v="0"/>
    <s v=""/>
    <s v=""/>
    <s v=""/>
    <s v=""/>
  </r>
  <r>
    <x v="22"/>
    <d v="2026-06-26T11:12:26"/>
    <x v="0"/>
    <n v="68353164"/>
    <n v="365081160000"/>
    <s v="4-774-653"/>
    <s v="Fijo"/>
    <x v="0"/>
    <x v="2"/>
    <m/>
    <m/>
    <m/>
    <s v="no"/>
    <m/>
    <m/>
    <x v="1"/>
    <m/>
    <x v="0"/>
    <x v="0"/>
    <s v=""/>
    <s v=""/>
    <s v=""/>
    <s v=""/>
  </r>
  <r>
    <x v="22"/>
    <d v="2026-06-26T11:18:48"/>
    <x v="0"/>
    <s v="636946372-754-223"/>
    <n v="361081420000"/>
    <s v="2-754-223"/>
    <s v="Fijo"/>
    <x v="0"/>
    <x v="1"/>
    <m/>
    <m/>
    <m/>
    <s v="no"/>
    <m/>
    <m/>
    <x v="1"/>
    <s v="No brinda fecha."/>
    <x v="0"/>
    <x v="0"/>
    <s v=""/>
    <s v=""/>
    <s v=""/>
    <s v=""/>
  </r>
  <r>
    <x v="22"/>
    <d v="2026-06-26T11:22:14"/>
    <x v="0"/>
    <n v="67241317"/>
    <n v="368080310000"/>
    <s v="2111-859"/>
    <s v="Fijo"/>
    <x v="0"/>
    <x v="0"/>
    <m/>
    <m/>
    <m/>
    <s v="no"/>
    <m/>
    <m/>
    <x v="0"/>
    <m/>
    <x v="0"/>
    <x v="0"/>
    <s v=""/>
    <s v=""/>
    <s v=""/>
    <s v=""/>
  </r>
  <r>
    <x v="22"/>
    <d v="2026-06-26T11:26:59"/>
    <x v="0"/>
    <n v="60821053"/>
    <n v="361081930000"/>
    <s v="8-1038-1841"/>
    <s v="Fijo"/>
    <x v="0"/>
    <x v="2"/>
    <m/>
    <m/>
    <m/>
    <s v="no"/>
    <m/>
    <m/>
    <x v="1"/>
    <m/>
    <x v="0"/>
    <x v="0"/>
    <s v=""/>
    <s v=""/>
    <s v=""/>
    <s v=""/>
  </r>
  <r>
    <x v="22"/>
    <d v="2026-06-26T11:37:01"/>
    <x v="0"/>
    <n v="62071815"/>
    <n v="362080920000"/>
    <s v="8-880-539"/>
    <s v="Fijo"/>
    <x v="0"/>
    <x v="1"/>
    <m/>
    <m/>
    <m/>
    <s v="no"/>
    <m/>
    <m/>
    <x v="1"/>
    <s v="Molesta por la llamada."/>
    <x v="0"/>
    <x v="0"/>
    <s v=""/>
    <s v=""/>
    <s v=""/>
    <s v=""/>
  </r>
  <r>
    <x v="22"/>
    <d v="2026-06-26T11:46:19"/>
    <x v="0"/>
    <n v="66487305"/>
    <n v="362078180000"/>
    <s v="8-330-611"/>
    <s v="Fijo"/>
    <x v="0"/>
    <x v="1"/>
    <s v="Mala experiencia con el servicio"/>
    <m/>
    <m/>
    <s v="no"/>
    <m/>
    <m/>
    <x v="1"/>
    <m/>
    <x v="0"/>
    <x v="0"/>
    <s v=""/>
    <s v=""/>
    <s v=""/>
    <s v=""/>
  </r>
  <r>
    <x v="22"/>
    <d v="2026-06-26T11:54:52"/>
    <x v="0"/>
    <n v="65498046"/>
    <n v="341397900000"/>
    <s v="4-148-610"/>
    <s v="Fijo"/>
    <x v="0"/>
    <x v="1"/>
    <m/>
    <d v="2026-07-07T00:00:00"/>
    <n v="34.29"/>
    <s v="no"/>
    <m/>
    <m/>
    <x v="2"/>
    <m/>
    <x v="0"/>
    <x v="2"/>
    <s v=""/>
    <s v="07/jul"/>
    <n v="1"/>
    <s v=""/>
  </r>
  <r>
    <x v="22"/>
    <d v="2026-06-26T12:02:25"/>
    <x v="0"/>
    <n v="66607467"/>
    <n v="341168880000"/>
    <s v="8-1039-1283"/>
    <s v="Fijo"/>
    <x v="0"/>
    <x v="2"/>
    <m/>
    <m/>
    <m/>
    <s v="no"/>
    <m/>
    <m/>
    <x v="0"/>
    <m/>
    <x v="0"/>
    <x v="0"/>
    <s v=""/>
    <s v=""/>
    <s v=""/>
    <s v=""/>
  </r>
  <r>
    <x v="22"/>
    <d v="2026-06-26T12:07:19"/>
    <x v="0"/>
    <n v="67489669"/>
    <n v="312003050000"/>
    <s v="8-320-15"/>
    <s v="Fijo"/>
    <x v="0"/>
    <x v="2"/>
    <m/>
    <m/>
    <m/>
    <s v="no"/>
    <m/>
    <m/>
    <x v="0"/>
    <m/>
    <x v="0"/>
    <x v="0"/>
    <s v=""/>
    <s v=""/>
    <s v=""/>
    <s v=""/>
  </r>
  <r>
    <x v="22"/>
    <d v="2026-06-26T12:10:39"/>
    <x v="0"/>
    <n v="69302348"/>
    <n v="368083500000"/>
    <s v="1-45-109"/>
    <s v="Fijo"/>
    <x v="0"/>
    <x v="1"/>
    <m/>
    <m/>
    <m/>
    <s v="no"/>
    <m/>
    <m/>
    <x v="1"/>
    <m/>
    <x v="0"/>
    <x v="0"/>
    <s v=""/>
    <s v=""/>
    <s v=""/>
    <s v=""/>
  </r>
  <r>
    <x v="22"/>
    <d v="2026-06-26T12:15:33"/>
    <x v="0"/>
    <n v="67082890"/>
    <n v="368080850000"/>
    <s v="8-1029-149"/>
    <s v="Fijo"/>
    <x v="0"/>
    <x v="2"/>
    <m/>
    <m/>
    <m/>
    <s v="no"/>
    <m/>
    <m/>
    <x v="1"/>
    <m/>
    <x v="0"/>
    <x v="0"/>
    <s v=""/>
    <s v=""/>
    <s v=""/>
    <s v=""/>
  </r>
  <r>
    <x v="22"/>
    <d v="2026-06-26T12:21:04"/>
    <x v="0"/>
    <n v="69266816"/>
    <n v="365081390000"/>
    <n v="191541566"/>
    <s v="Fijo"/>
    <x v="4"/>
    <x v="2"/>
    <m/>
    <m/>
    <m/>
    <s v="no"/>
    <m/>
    <m/>
    <x v="1"/>
    <m/>
    <x v="0"/>
    <x v="0"/>
    <s v=""/>
    <s v=""/>
    <s v=""/>
    <s v=""/>
  </r>
  <r>
    <x v="22"/>
    <d v="2026-06-26T12:30:32"/>
    <x v="0"/>
    <n v="69907129"/>
    <n v="195082380000"/>
    <s v="8-851-1483"/>
    <s v="Fijo"/>
    <x v="0"/>
    <x v="1"/>
    <m/>
    <d v="2026-07-01T00:00:00"/>
    <n v="30.44"/>
    <s v="no"/>
    <m/>
    <m/>
    <x v="1"/>
    <m/>
    <x v="0"/>
    <x v="2"/>
    <s v=""/>
    <s v="01/jul"/>
    <n v="1"/>
    <s v=""/>
  </r>
  <r>
    <x v="22"/>
    <d v="2026-06-26T12:35:27"/>
    <x v="0"/>
    <n v="66213949"/>
    <n v="367080310000"/>
    <s v="8-256-991"/>
    <s v="Fijo"/>
    <x v="0"/>
    <x v="5"/>
    <m/>
    <m/>
    <m/>
    <s v="si"/>
    <d v="2026-06-24T00:00:00"/>
    <n v="32.69"/>
    <x v="2"/>
    <m/>
    <x v="2"/>
    <x v="0"/>
    <s v="24/jun"/>
    <s v=""/>
    <s v=""/>
    <n v="1"/>
  </r>
  <r>
    <x v="22"/>
    <d v="2026-06-26T12:39:13"/>
    <x v="0"/>
    <n v="64088514"/>
    <n v="331003480000"/>
    <s v="4-287-2670"/>
    <s v="Fijo"/>
    <x v="0"/>
    <x v="3"/>
    <m/>
    <m/>
    <m/>
    <s v="no"/>
    <m/>
    <m/>
    <x v="2"/>
    <m/>
    <x v="0"/>
    <x v="0"/>
    <s v=""/>
    <s v=""/>
    <s v=""/>
    <s v=""/>
  </r>
  <r>
    <x v="22"/>
    <d v="2026-06-26T12:41:41"/>
    <x v="0"/>
    <n v="65580024"/>
    <n v="364082590000"/>
    <s v="7-707-2294"/>
    <s v="Fijo"/>
    <x v="0"/>
    <x v="6"/>
    <m/>
    <m/>
    <m/>
    <s v="no"/>
    <m/>
    <m/>
    <x v="1"/>
    <m/>
    <x v="0"/>
    <x v="0"/>
    <s v=""/>
    <s v=""/>
    <s v=""/>
    <s v=""/>
  </r>
  <r>
    <x v="22"/>
    <d v="2026-06-26T12:47:07"/>
    <x v="0"/>
    <n v="66215750"/>
    <n v="366082550000"/>
    <s v="8-1005-465"/>
    <s v="Fijo"/>
    <x v="0"/>
    <x v="1"/>
    <m/>
    <d v="2026-07-01T00:00:00"/>
    <n v="22.84"/>
    <s v="no"/>
    <m/>
    <m/>
    <x v="1"/>
    <m/>
    <x v="0"/>
    <x v="2"/>
    <s v=""/>
    <s v="01/jul"/>
    <n v="1"/>
    <s v=""/>
  </r>
  <r>
    <x v="22"/>
    <d v="2026-06-26T12:57:23"/>
    <x v="0"/>
    <n v="65925235"/>
    <n v="361081810000"/>
    <s v="10-710-2389"/>
    <s v="Fijo"/>
    <x v="0"/>
    <x v="0"/>
    <m/>
    <m/>
    <m/>
    <s v="no"/>
    <m/>
    <m/>
    <x v="1"/>
    <m/>
    <x v="0"/>
    <x v="0"/>
    <s v=""/>
    <s v=""/>
    <s v=""/>
    <s v=""/>
  </r>
  <r>
    <x v="22"/>
    <d v="2026-06-26T13:02:48"/>
    <x v="0"/>
    <n v="60412301"/>
    <n v="367083300000"/>
    <s v="8-913-1108"/>
    <s v="Fijo"/>
    <x v="0"/>
    <x v="1"/>
    <m/>
    <d v="2026-07-04T00:00:00"/>
    <n v="41.71"/>
    <s v="no"/>
    <m/>
    <m/>
    <x v="1"/>
    <m/>
    <x v="0"/>
    <x v="2"/>
    <s v=""/>
    <s v="04/jul"/>
    <n v="1"/>
    <s v=""/>
  </r>
  <r>
    <x v="22"/>
    <d v="2026-06-26T13:05:29"/>
    <x v="0"/>
    <n v="62520858"/>
    <n v="364083710000"/>
    <s v="8-898-1052"/>
    <s v="Fijo"/>
    <x v="0"/>
    <x v="1"/>
    <m/>
    <m/>
    <m/>
    <s v="no"/>
    <m/>
    <m/>
    <x v="1"/>
    <s v="Cierra la llamada."/>
    <x v="0"/>
    <x v="0"/>
    <s v=""/>
    <s v=""/>
    <s v=""/>
    <s v=""/>
  </r>
  <r>
    <x v="22"/>
    <d v="2026-06-26T13:09:17"/>
    <x v="0"/>
    <n v="69290373"/>
    <n v="363081400000"/>
    <s v="8-825-207"/>
    <s v="Fijo"/>
    <x v="0"/>
    <x v="1"/>
    <m/>
    <d v="2026-07-01T00:00:00"/>
    <n v="48.38"/>
    <s v="no"/>
    <m/>
    <m/>
    <x v="1"/>
    <m/>
    <x v="0"/>
    <x v="2"/>
    <s v=""/>
    <s v="01/jul"/>
    <n v="1"/>
    <s v=""/>
  </r>
  <r>
    <x v="22"/>
    <d v="2026-06-26T13:14:40"/>
    <x v="0"/>
    <n v="64021764"/>
    <n v="368084270000"/>
    <s v="7-95-64"/>
    <s v="Fijo"/>
    <x v="0"/>
    <x v="1"/>
    <m/>
    <d v="2026-07-08T00:00:00"/>
    <n v="30.44"/>
    <s v="no"/>
    <m/>
    <m/>
    <x v="1"/>
    <m/>
    <x v="0"/>
    <x v="2"/>
    <s v=""/>
    <s v="08/jul"/>
    <n v="1"/>
    <s v=""/>
  </r>
  <r>
    <x v="22"/>
    <d v="2026-06-26T14:26:08"/>
    <x v="0"/>
    <n v="64837603"/>
    <n v="359328580000"/>
    <s v="8-878-952"/>
    <s v="Fijo"/>
    <x v="0"/>
    <x v="2"/>
    <m/>
    <m/>
    <m/>
    <s v="no"/>
    <m/>
    <m/>
    <x v="1"/>
    <m/>
    <x v="0"/>
    <x v="0"/>
    <s v=""/>
    <s v=""/>
    <s v=""/>
    <s v=""/>
  </r>
  <r>
    <x v="22"/>
    <d v="2026-06-26T14:37:18"/>
    <x v="0"/>
    <n v="66957965"/>
    <n v="365083630000"/>
    <s v="9-750-357"/>
    <s v="Fijo"/>
    <x v="0"/>
    <x v="2"/>
    <m/>
    <m/>
    <m/>
    <s v="no"/>
    <m/>
    <m/>
    <x v="1"/>
    <m/>
    <x v="0"/>
    <x v="0"/>
    <s v=""/>
    <s v=""/>
    <s v=""/>
    <s v=""/>
  </r>
  <r>
    <x v="22"/>
    <d v="2026-06-26T14:41:19"/>
    <x v="0"/>
    <n v="69730504"/>
    <n v="364082690000"/>
    <s v="8-895-155"/>
    <s v="Fijo"/>
    <x v="0"/>
    <x v="2"/>
    <m/>
    <m/>
    <m/>
    <s v="no"/>
    <m/>
    <m/>
    <x v="0"/>
    <m/>
    <x v="0"/>
    <x v="0"/>
    <s v=""/>
    <s v=""/>
    <s v=""/>
    <s v=""/>
  </r>
  <r>
    <x v="22"/>
    <d v="2026-06-26T14:46:13"/>
    <x v="0"/>
    <n v="68542080"/>
    <n v="369074010000"/>
    <s v="8-1029-1907"/>
    <s v="Fijo"/>
    <x v="0"/>
    <x v="5"/>
    <m/>
    <m/>
    <m/>
    <s v="si"/>
    <d v="2026-06-17T00:00:00"/>
    <n v="30.41"/>
    <x v="1"/>
    <m/>
    <x v="2"/>
    <x v="0"/>
    <s v="17/jun"/>
    <s v=""/>
    <s v=""/>
    <n v="1"/>
  </r>
  <r>
    <x v="22"/>
    <d v="2026-06-26T14:50:49"/>
    <x v="0"/>
    <n v="67857212"/>
    <n v="364083210000"/>
    <s v="8-807-2111"/>
    <s v="Fijo"/>
    <x v="0"/>
    <x v="5"/>
    <m/>
    <m/>
    <m/>
    <s v="si"/>
    <d v="2026-06-11T00:00:00"/>
    <n v="30.18"/>
    <x v="1"/>
    <m/>
    <x v="2"/>
    <x v="0"/>
    <s v="11/jun"/>
    <s v=""/>
    <s v=""/>
    <n v="1"/>
  </r>
  <r>
    <x v="22"/>
    <d v="2026-06-26T14:58:13"/>
    <x v="0"/>
    <n v="69791244"/>
    <n v="362082880000"/>
    <s v="1-720-494"/>
    <s v="Fijo"/>
    <x v="0"/>
    <x v="5"/>
    <m/>
    <m/>
    <m/>
    <s v="si"/>
    <d v="2026-06-15T00:00:00"/>
    <n v="34.799999999999997"/>
    <x v="1"/>
    <m/>
    <x v="2"/>
    <x v="0"/>
    <s v="15/jun"/>
    <s v=""/>
    <s v=""/>
    <n v="1"/>
  </r>
  <r>
    <x v="22"/>
    <d v="2026-06-26T15:03:25"/>
    <x v="0"/>
    <n v="67899021"/>
    <n v="365085270000"/>
    <s v="12-723-1579"/>
    <s v="Fijo"/>
    <x v="0"/>
    <x v="2"/>
    <m/>
    <m/>
    <m/>
    <s v="no"/>
    <m/>
    <m/>
    <x v="0"/>
    <m/>
    <x v="0"/>
    <x v="0"/>
    <s v=""/>
    <s v=""/>
    <s v=""/>
    <s v=""/>
  </r>
  <r>
    <x v="22"/>
    <d v="2026-06-26T15:05:37"/>
    <x v="0"/>
    <n v="65689230"/>
    <n v="359323710000"/>
    <s v="8-1034-1197"/>
    <s v="Fijo"/>
    <x v="0"/>
    <x v="6"/>
    <m/>
    <m/>
    <m/>
    <s v="no"/>
    <m/>
    <m/>
    <x v="1"/>
    <m/>
    <x v="0"/>
    <x v="0"/>
    <s v=""/>
    <s v=""/>
    <s v=""/>
    <s v=""/>
  </r>
  <r>
    <x v="22"/>
    <d v="2026-06-26T15:09:17"/>
    <x v="0"/>
    <n v="69756062"/>
    <n v="368084580000"/>
    <s v="8-963-595"/>
    <s v="Fijo"/>
    <x v="0"/>
    <x v="5"/>
    <m/>
    <m/>
    <m/>
    <s v="si"/>
    <d v="2026-06-14T00:00:00"/>
    <n v="30.44"/>
    <x v="1"/>
    <m/>
    <x v="2"/>
    <x v="0"/>
    <s v="14/jun"/>
    <s v=""/>
    <s v=""/>
    <n v="1"/>
  </r>
  <r>
    <x v="22"/>
    <d v="2026-06-26T15:17:15"/>
    <x v="0"/>
    <n v="64453028"/>
    <n v="362083770000"/>
    <s v="PA1332679"/>
    <s v="Fijo"/>
    <x v="0"/>
    <x v="7"/>
    <m/>
    <m/>
    <m/>
    <s v="no"/>
    <m/>
    <m/>
    <x v="0"/>
    <m/>
    <x v="0"/>
    <x v="0"/>
    <s v=""/>
    <s v=""/>
    <s v=""/>
    <s v=""/>
  </r>
  <r>
    <x v="22"/>
    <d v="2026-06-26T15:21:49"/>
    <x v="0"/>
    <n v="63473930"/>
    <n v="361082290000"/>
    <s v="8-1011-1860"/>
    <s v="Fijo"/>
    <x v="0"/>
    <x v="5"/>
    <m/>
    <m/>
    <m/>
    <s v="si"/>
    <d v="2026-06-11T00:00:00"/>
    <n v="29.78"/>
    <x v="1"/>
    <m/>
    <x v="2"/>
    <x v="0"/>
    <s v="11/jun"/>
    <s v=""/>
    <s v=""/>
    <n v="1"/>
  </r>
  <r>
    <x v="22"/>
    <d v="2026-06-26T15:27:13"/>
    <x v="0"/>
    <n v="66447039"/>
    <n v="364084660000"/>
    <s v="8-788-371"/>
    <s v="Fijo"/>
    <x v="0"/>
    <x v="0"/>
    <m/>
    <m/>
    <m/>
    <s v="no"/>
    <m/>
    <m/>
    <x v="0"/>
    <m/>
    <x v="0"/>
    <x v="0"/>
    <s v=""/>
    <s v=""/>
    <s v=""/>
    <s v=""/>
  </r>
  <r>
    <x v="22"/>
    <d v="2026-06-26T15:33:15"/>
    <x v="0"/>
    <n v="64577806"/>
    <n v="291060880000"/>
    <s v="8-814-204"/>
    <s v="Fijo"/>
    <x v="0"/>
    <x v="5"/>
    <m/>
    <m/>
    <m/>
    <s v="si"/>
    <d v="2026-06-01T00:00:00"/>
    <n v="30.99"/>
    <x v="2"/>
    <m/>
    <x v="2"/>
    <x v="0"/>
    <s v="01/jun"/>
    <s v=""/>
    <s v=""/>
    <n v="1"/>
  </r>
  <r>
    <x v="22"/>
    <d v="2026-06-26T15:43:47"/>
    <x v="0"/>
    <n v="62019681"/>
    <n v="368083990000"/>
    <s v="8-531-2336"/>
    <s v="Fijo"/>
    <x v="0"/>
    <x v="5"/>
    <m/>
    <m/>
    <m/>
    <s v="si"/>
    <d v="2026-06-18T00:00:00"/>
    <n v="30"/>
    <x v="1"/>
    <m/>
    <x v="2"/>
    <x v="0"/>
    <s v="18/jun"/>
    <s v=""/>
    <s v=""/>
    <n v="1"/>
  </r>
  <r>
    <x v="22"/>
    <d v="2026-06-26T15:55:01"/>
    <x v="0"/>
    <n v="67808630"/>
    <n v="365084760000"/>
    <s v="8-856-486"/>
    <s v="Fijo"/>
    <x v="0"/>
    <x v="5"/>
    <m/>
    <m/>
    <m/>
    <s v="si"/>
    <d v="2026-06-18T00:00:00"/>
    <n v="33.78"/>
    <x v="1"/>
    <m/>
    <x v="2"/>
    <x v="0"/>
    <s v="18/jun"/>
    <s v=""/>
    <s v=""/>
    <n v="1"/>
  </r>
  <r>
    <x v="22"/>
    <d v="2026-06-26T15:58:00"/>
    <x v="0"/>
    <n v="67940533"/>
    <n v="363083020000"/>
    <s v="4-843-1458"/>
    <s v="Fijo"/>
    <x v="0"/>
    <x v="0"/>
    <m/>
    <m/>
    <m/>
    <s v="no"/>
    <m/>
    <m/>
    <x v="0"/>
    <m/>
    <x v="0"/>
    <x v="0"/>
    <s v=""/>
    <s v=""/>
    <s v=""/>
    <s v=""/>
  </r>
  <r>
    <x v="22"/>
    <d v="2026-06-26T16:11:17"/>
    <x v="0"/>
    <n v="62749810"/>
    <n v="362084700000"/>
    <s v="8-823-1307"/>
    <s v="Fijo"/>
    <x v="0"/>
    <x v="5"/>
    <m/>
    <m/>
    <m/>
    <s v="si"/>
    <d v="2026-06-22T00:00:00"/>
    <n v="21.64"/>
    <x v="1"/>
    <m/>
    <x v="2"/>
    <x v="0"/>
    <s v="22/jun"/>
    <s v=""/>
    <s v=""/>
    <n v="1"/>
  </r>
  <r>
    <x v="22"/>
    <d v="2026-06-26T16:21:51"/>
    <x v="0"/>
    <n v="67923831"/>
    <n v="362079410000"/>
    <s v="8-923-945"/>
    <s v="Fijo"/>
    <x v="0"/>
    <x v="0"/>
    <m/>
    <m/>
    <m/>
    <s v="no"/>
    <m/>
    <m/>
    <x v="1"/>
    <m/>
    <x v="0"/>
    <x v="0"/>
    <s v=""/>
    <s v=""/>
    <s v=""/>
    <s v=""/>
  </r>
  <r>
    <x v="22"/>
    <d v="2026-06-26T16:25:54"/>
    <x v="0"/>
    <n v="67289475"/>
    <n v="365085000000"/>
    <s v="8-431-695"/>
    <s v="Fijo"/>
    <x v="0"/>
    <x v="5"/>
    <m/>
    <m/>
    <m/>
    <s v="si"/>
    <d v="2026-06-13T00:00:00"/>
    <n v="32.06"/>
    <x v="1"/>
    <m/>
    <x v="2"/>
    <x v="0"/>
    <s v="13/jun"/>
    <s v=""/>
    <s v=""/>
    <n v="1"/>
  </r>
  <r>
    <x v="22"/>
    <d v="2026-06-26T16:29:58"/>
    <x v="0"/>
    <n v="60020283"/>
    <n v="368084570000"/>
    <s v="8-205-1557"/>
    <s v="Fijo"/>
    <x v="0"/>
    <x v="5"/>
    <m/>
    <m/>
    <m/>
    <s v="si"/>
    <d v="2026-06-11T00:00:00"/>
    <n v="53.18"/>
    <x v="1"/>
    <m/>
    <x v="2"/>
    <x v="0"/>
    <s v="11/jun"/>
    <s v=""/>
    <s v=""/>
    <n v="1"/>
  </r>
  <r>
    <x v="22"/>
    <d v="2026-06-26T16:32:46"/>
    <x v="0"/>
    <n v="63093860"/>
    <n v="362083930000"/>
    <s v="8-951-1204"/>
    <s v="Fijo"/>
    <x v="0"/>
    <x v="5"/>
    <m/>
    <m/>
    <m/>
    <s v="si"/>
    <d v="2026-06-13T00:00:00"/>
    <n v="33.74"/>
    <x v="1"/>
    <m/>
    <x v="2"/>
    <x v="0"/>
    <s v="13/jun"/>
    <s v=""/>
    <s v=""/>
    <n v="1"/>
  </r>
  <r>
    <x v="22"/>
    <d v="2026-06-26T16:42:11"/>
    <x v="0"/>
    <n v="68437051"/>
    <n v="366082610000"/>
    <s v="9-759-1390"/>
    <s v="Fijo"/>
    <x v="2"/>
    <x v="2"/>
    <m/>
    <m/>
    <m/>
    <s v="no"/>
    <m/>
    <m/>
    <x v="1"/>
    <m/>
    <x v="0"/>
    <x v="0"/>
    <s v=""/>
    <s v=""/>
    <s v=""/>
    <s v=""/>
  </r>
  <r>
    <x v="22"/>
    <d v="2026-06-26T16:48:19"/>
    <x v="0"/>
    <n v="68334577"/>
    <n v="362081580000"/>
    <s v="9-204-856"/>
    <s v="Fijo"/>
    <x v="2"/>
    <x v="5"/>
    <m/>
    <m/>
    <m/>
    <s v="si"/>
    <d v="2026-06-04T00:00:00"/>
    <n v="54.04"/>
    <x v="1"/>
    <m/>
    <x v="2"/>
    <x v="0"/>
    <s v="04/jun"/>
    <s v=""/>
    <s v=""/>
    <n v="1"/>
  </r>
  <r>
    <x v="22"/>
    <d v="2026-06-26T16:51:47"/>
    <x v="0"/>
    <n v="63024290"/>
    <n v="366082840000"/>
    <s v="8-797-825"/>
    <s v="Fijo"/>
    <x v="3"/>
    <x v="5"/>
    <m/>
    <m/>
    <m/>
    <s v="si"/>
    <d v="2026-06-01T00:00:00"/>
    <n v="39.14"/>
    <x v="1"/>
    <m/>
    <x v="2"/>
    <x v="0"/>
    <s v="01/jun"/>
    <s v=""/>
    <s v=""/>
    <n v="1"/>
  </r>
  <r>
    <x v="22"/>
    <d v="2026-06-26T16:56:11"/>
    <x v="0"/>
    <n v="65379040"/>
    <n v="369083290000"/>
    <s v="10-712-1251"/>
    <s v="Fijo"/>
    <x v="3"/>
    <x v="5"/>
    <m/>
    <m/>
    <m/>
    <s v="si"/>
    <d v="2026-06-11T00:00:00"/>
    <n v="44.95"/>
    <x v="1"/>
    <m/>
    <x v="2"/>
    <x v="0"/>
    <s v="11/jun"/>
    <s v=""/>
    <s v=""/>
    <n v="1"/>
  </r>
  <r>
    <x v="22"/>
    <d v="2026-06-26T17:00:11"/>
    <x v="0"/>
    <n v="66993457"/>
    <n v="367082610000"/>
    <s v="1-715-1750"/>
    <s v="Fijo"/>
    <x v="3"/>
    <x v="5"/>
    <m/>
    <m/>
    <m/>
    <s v="si"/>
    <d v="2026-06-12T00:00:00"/>
    <n v="38.590000000000003"/>
    <x v="1"/>
    <m/>
    <x v="2"/>
    <x v="0"/>
    <s v="12/jun"/>
    <s v=""/>
    <s v=""/>
    <n v="1"/>
  </r>
  <r>
    <x v="22"/>
    <d v="2026-06-26T17:04:05"/>
    <x v="0"/>
    <n v="68768032"/>
    <n v="369084000000"/>
    <s v="E-8-134563"/>
    <s v="Fijo"/>
    <x v="4"/>
    <x v="5"/>
    <m/>
    <m/>
    <m/>
    <s v="si"/>
    <d v="2026-06-11T00:00:00"/>
    <n v="39.54"/>
    <x v="1"/>
    <m/>
    <x v="2"/>
    <x v="0"/>
    <s v="11/jun"/>
    <s v=""/>
    <s v=""/>
    <n v="1"/>
  </r>
  <r>
    <x v="22"/>
    <d v="2026-06-26T17:11:01"/>
    <x v="0"/>
    <n v="63197061"/>
    <n v="364084980000"/>
    <s v="8-971-2468"/>
    <s v="Fijo"/>
    <x v="4"/>
    <x v="5"/>
    <m/>
    <m/>
    <m/>
    <s v="si"/>
    <d v="2026-06-04T00:00:00"/>
    <n v="48.38"/>
    <x v="2"/>
    <m/>
    <x v="2"/>
    <x v="0"/>
    <s v="04/jun"/>
    <s v=""/>
    <s v=""/>
    <n v="1"/>
  </r>
  <r>
    <x v="22"/>
    <d v="2026-06-26T17:17:01"/>
    <x v="0"/>
    <n v="69762145"/>
    <n v="362067500000"/>
    <s v="N-21-2446"/>
    <s v="Fijo"/>
    <x v="2"/>
    <x v="5"/>
    <m/>
    <m/>
    <m/>
    <s v="si"/>
    <d v="2026-06-25T00:00:00"/>
    <n v="71.81"/>
    <x v="2"/>
    <m/>
    <x v="2"/>
    <x v="0"/>
    <s v="25/jun"/>
    <s v=""/>
    <s v=""/>
    <n v="1"/>
  </r>
  <r>
    <x v="22"/>
    <d v="2026-06-26T17:25:18"/>
    <x v="0"/>
    <n v="61308242"/>
    <n v="364080680000"/>
    <s v="E-8-84026"/>
    <s v="Fijo"/>
    <x v="2"/>
    <x v="5"/>
    <m/>
    <m/>
    <m/>
    <s v="si"/>
    <d v="2026-06-25T00:00:00"/>
    <n v="80"/>
    <x v="1"/>
    <m/>
    <x v="2"/>
    <x v="0"/>
    <s v="25/jun"/>
    <s v=""/>
    <s v=""/>
    <n v="1"/>
  </r>
  <r>
    <x v="22"/>
    <d v="2026-06-26T17:28:53"/>
    <x v="0"/>
    <n v="63409444"/>
    <n v="369081120000"/>
    <s v="N176272"/>
    <s v="Fijo"/>
    <x v="3"/>
    <x v="5"/>
    <m/>
    <m/>
    <m/>
    <s v="si"/>
    <d v="2026-06-26T00:00:00"/>
    <n v="40.909999999999997"/>
    <x v="1"/>
    <m/>
    <x v="2"/>
    <x v="0"/>
    <s v="26/jun"/>
    <s v=""/>
    <s v=""/>
    <n v="1"/>
  </r>
  <r>
    <x v="22"/>
    <d v="2026-06-26T17:33:36"/>
    <x v="0"/>
    <n v="62193807"/>
    <n v="369081740000"/>
    <s v="8-790-2127"/>
    <s v="Fijo"/>
    <x v="3"/>
    <x v="5"/>
    <m/>
    <m/>
    <m/>
    <s v="si"/>
    <d v="2026-06-26T00:00:00"/>
    <n v="34.85"/>
    <x v="1"/>
    <m/>
    <x v="2"/>
    <x v="0"/>
    <s v="26/jun"/>
    <s v=""/>
    <s v=""/>
    <n v="1"/>
  </r>
  <r>
    <x v="22"/>
    <d v="2026-06-26T17:39:03"/>
    <x v="0"/>
    <n v="64167382"/>
    <n v="308019740000"/>
    <s v="8-792-415"/>
    <s v="Fijo"/>
    <x v="0"/>
    <x v="1"/>
    <m/>
    <m/>
    <m/>
    <s v="no"/>
    <m/>
    <m/>
    <x v="0"/>
    <s v="No brinda fecha de pago."/>
    <x v="0"/>
    <x v="0"/>
    <s v=""/>
    <s v=""/>
    <s v=""/>
    <s v=""/>
  </r>
  <r>
    <x v="22"/>
    <d v="2026-06-26T17:42:38"/>
    <x v="0"/>
    <n v="69583015"/>
    <n v="362082810000"/>
    <s v="8-953-518"/>
    <s v="Fijo"/>
    <x v="0"/>
    <x v="5"/>
    <m/>
    <m/>
    <m/>
    <s v="si"/>
    <d v="2026-06-10T00:00:00"/>
    <n v="34.85"/>
    <x v="1"/>
    <m/>
    <x v="2"/>
    <x v="0"/>
    <s v="10/jun"/>
    <s v=""/>
    <s v=""/>
    <n v="1"/>
  </r>
  <r>
    <x v="22"/>
    <d v="2026-06-26T17:50:56"/>
    <x v="0"/>
    <n v="69029115"/>
    <n v="366084800000"/>
    <s v="8-368-882"/>
    <s v="Fijo"/>
    <x v="0"/>
    <x v="5"/>
    <m/>
    <m/>
    <m/>
    <s v="si"/>
    <d v="2026-06-10T00:00:00"/>
    <n v="41.37"/>
    <x v="1"/>
    <m/>
    <x v="2"/>
    <x v="0"/>
    <s v="10/jun"/>
    <s v=""/>
    <s v=""/>
    <n v="1"/>
  </r>
  <r>
    <x v="22"/>
    <d v="2026-06-26T17:54:55"/>
    <x v="0"/>
    <n v="65178852"/>
    <n v="368084450000"/>
    <s v="4-739-362"/>
    <s v="Fijo"/>
    <x v="0"/>
    <x v="5"/>
    <m/>
    <m/>
    <m/>
    <s v="si"/>
    <d v="2026-06-08T00:00:00"/>
    <n v="45.87"/>
    <x v="1"/>
    <m/>
    <x v="2"/>
    <x v="0"/>
    <s v="08/jun"/>
    <s v=""/>
    <s v=""/>
    <n v="1"/>
  </r>
  <r>
    <x v="22"/>
    <d v="2026-06-26T17:59:30"/>
    <x v="0"/>
    <n v="69825390"/>
    <n v="366085280000"/>
    <s v="8-367-406"/>
    <s v="Fijo"/>
    <x v="0"/>
    <x v="5"/>
    <m/>
    <m/>
    <m/>
    <s v="si"/>
    <d v="2026-05-30T00:00:00"/>
    <n v="64"/>
    <x v="1"/>
    <m/>
    <x v="1"/>
    <x v="0"/>
    <s v="30/may"/>
    <s v=""/>
    <s v=""/>
    <n v="1"/>
  </r>
  <r>
    <x v="22"/>
    <d v="2026-06-26T18:03:36"/>
    <x v="0"/>
    <n v="68571412"/>
    <n v="361085280000"/>
    <s v="10-713-1810"/>
    <s v="Fijo"/>
    <x v="0"/>
    <x v="5"/>
    <m/>
    <m/>
    <m/>
    <s v="si"/>
    <d v="2026-05-31T00:00:00"/>
    <n v="30.44"/>
    <x v="1"/>
    <m/>
    <x v="1"/>
    <x v="0"/>
    <s v="31/may"/>
    <s v=""/>
    <s v=""/>
    <n v="1"/>
  </r>
  <r>
    <x v="23"/>
    <d v="2026-06-27T09:13:53"/>
    <x v="0"/>
    <n v="65006784"/>
    <n v="365085110000"/>
    <s v="12-711-2159"/>
    <s v="Fijo"/>
    <x v="0"/>
    <x v="6"/>
    <m/>
    <m/>
    <m/>
    <s v="no"/>
    <m/>
    <m/>
    <x v="1"/>
    <m/>
    <x v="0"/>
    <x v="0"/>
    <s v=""/>
    <s v=""/>
    <s v=""/>
    <s v=""/>
  </r>
  <r>
    <x v="23"/>
    <d v="2026-06-27T09:24:55"/>
    <x v="0"/>
    <n v="69058564"/>
    <n v="365070270000"/>
    <s v="9-212-158"/>
    <s v="Fijo"/>
    <x v="0"/>
    <x v="5"/>
    <m/>
    <m/>
    <m/>
    <s v="si"/>
    <d v="2026-06-24T00:00:00"/>
    <n v="31"/>
    <x v="1"/>
    <s v="Cumple pago."/>
    <x v="2"/>
    <x v="0"/>
    <s v="24/jun"/>
    <s v=""/>
    <s v=""/>
    <n v="1"/>
  </r>
  <r>
    <x v="23"/>
    <d v="2026-06-27T09:32:36"/>
    <x v="0"/>
    <n v="62124414"/>
    <n v="362075640000"/>
    <s v="8-759-1155"/>
    <s v="Fijo"/>
    <x v="0"/>
    <x v="5"/>
    <m/>
    <m/>
    <m/>
    <s v="si"/>
    <d v="2026-06-27T00:00:00"/>
    <n v="47.58"/>
    <x v="1"/>
    <s v="Cumple."/>
    <x v="2"/>
    <x v="0"/>
    <s v="27/jun"/>
    <s v=""/>
    <s v=""/>
    <n v="1"/>
  </r>
  <r>
    <x v="23"/>
    <d v="2026-06-27T09:39:50"/>
    <x v="0"/>
    <n v="61070629"/>
    <n v="366078340000"/>
    <s v="8-824-1486"/>
    <s v="Fijo"/>
    <x v="0"/>
    <x v="5"/>
    <m/>
    <m/>
    <m/>
    <s v="si"/>
    <d v="2026-06-24T00:00:00"/>
    <n v="34.950000000000003"/>
    <x v="1"/>
    <m/>
    <x v="2"/>
    <x v="0"/>
    <s v="24/jun"/>
    <s v=""/>
    <s v=""/>
    <n v="1"/>
  </r>
  <r>
    <x v="23"/>
    <d v="2026-06-27T09:46:22"/>
    <x v="0"/>
    <n v="65702797"/>
    <n v="365084050000"/>
    <s v="4-728-1865"/>
    <s v="Fijo"/>
    <x v="0"/>
    <x v="6"/>
    <m/>
    <m/>
    <m/>
    <s v="no"/>
    <m/>
    <m/>
    <x v="0"/>
    <m/>
    <x v="0"/>
    <x v="0"/>
    <s v=""/>
    <s v=""/>
    <s v=""/>
    <s v=""/>
  </r>
  <r>
    <x v="23"/>
    <d v="2026-06-27T09:51:24"/>
    <x v="0"/>
    <n v="63706596"/>
    <n v="362083840000"/>
    <s v="4-102-1646"/>
    <s v="Fijo"/>
    <x v="0"/>
    <x v="5"/>
    <m/>
    <m/>
    <m/>
    <s v="si"/>
    <d v="2026-06-08T00:00:00"/>
    <n v="48.15"/>
    <x v="1"/>
    <m/>
    <x v="2"/>
    <x v="0"/>
    <s v="08/jun"/>
    <s v=""/>
    <s v=""/>
    <n v="1"/>
  </r>
  <r>
    <x v="23"/>
    <d v="2026-06-27T09:57:12"/>
    <x v="0"/>
    <n v="64279466"/>
    <n v="328076230000"/>
    <s v="4-100-1611"/>
    <s v="Fijo"/>
    <x v="0"/>
    <x v="6"/>
    <m/>
    <m/>
    <m/>
    <s v="no"/>
    <m/>
    <m/>
    <x v="0"/>
    <m/>
    <x v="0"/>
    <x v="0"/>
    <s v=""/>
    <s v=""/>
    <s v=""/>
    <s v=""/>
  </r>
  <r>
    <x v="23"/>
    <d v="2026-06-27T10:03:17"/>
    <x v="0"/>
    <n v="68317250"/>
    <n v="361083910000"/>
    <s v="4-125-1875"/>
    <s v="Fijo"/>
    <x v="0"/>
    <x v="5"/>
    <m/>
    <m/>
    <m/>
    <s v="si"/>
    <m/>
    <m/>
    <x v="1"/>
    <m/>
    <x v="0"/>
    <x v="0"/>
    <s v=""/>
    <s v=""/>
    <s v=""/>
    <s v=""/>
  </r>
  <r>
    <x v="23"/>
    <d v="2026-06-27T10:08:43"/>
    <x v="0"/>
    <n v="62622313"/>
    <n v="368075200000"/>
    <s v="4-775-824"/>
    <s v="Fijo"/>
    <x v="0"/>
    <x v="6"/>
    <m/>
    <m/>
    <m/>
    <s v="no"/>
    <m/>
    <m/>
    <x v="1"/>
    <m/>
    <x v="0"/>
    <x v="0"/>
    <s v=""/>
    <s v=""/>
    <s v=""/>
    <s v=""/>
  </r>
  <r>
    <x v="23"/>
    <d v="2026-06-27T10:21:19"/>
    <x v="0"/>
    <n v="64879272"/>
    <n v="365082580000"/>
    <s v="4-859-2187"/>
    <s v="Fijo"/>
    <x v="0"/>
    <x v="1"/>
    <m/>
    <m/>
    <m/>
    <s v="no"/>
    <m/>
    <m/>
    <x v="0"/>
    <s v="No brinda fecha de pago."/>
    <x v="0"/>
    <x v="0"/>
    <s v=""/>
    <s v=""/>
    <s v=""/>
    <s v=""/>
  </r>
  <r>
    <x v="23"/>
    <d v="2026-06-27T10:25:44"/>
    <x v="0"/>
    <n v="63026382"/>
    <n v="362083300000"/>
    <s v="6-78-699"/>
    <s v="Fijo"/>
    <x v="0"/>
    <x v="5"/>
    <m/>
    <m/>
    <m/>
    <s v="si"/>
    <d v="2026-06-12T00:00:00"/>
    <n v="39.880000000000003"/>
    <x v="1"/>
    <m/>
    <x v="2"/>
    <x v="0"/>
    <s v="12/jun"/>
    <s v=""/>
    <s v=""/>
    <n v="1"/>
  </r>
  <r>
    <x v="23"/>
    <d v="2026-06-27T10:29:20"/>
    <x v="0"/>
    <n v="69869167"/>
    <n v="366082530000"/>
    <s v="2-710-224"/>
    <s v="Fijo"/>
    <x v="0"/>
    <x v="5"/>
    <m/>
    <m/>
    <m/>
    <s v="si"/>
    <d v="2026-06-11T00:00:00"/>
    <n v="30.44"/>
    <x v="1"/>
    <m/>
    <x v="2"/>
    <x v="0"/>
    <s v="11/jun"/>
    <s v=""/>
    <s v=""/>
    <n v="1"/>
  </r>
  <r>
    <x v="23"/>
    <d v="2026-06-27T10:35:14"/>
    <x v="0"/>
    <n v="66913051"/>
    <n v="362083980000"/>
    <s v="9-700-2354"/>
    <s v="Fijo"/>
    <x v="0"/>
    <x v="5"/>
    <m/>
    <m/>
    <m/>
    <s v="si"/>
    <d v="2026-06-13T00:00:00"/>
    <n v="39.409999999999997"/>
    <x v="1"/>
    <m/>
    <x v="2"/>
    <x v="0"/>
    <s v="13/jun"/>
    <s v=""/>
    <s v=""/>
    <n v="1"/>
  </r>
  <r>
    <x v="23"/>
    <d v="2026-06-27T10:37:30"/>
    <x v="0"/>
    <n v="68498517"/>
    <n v="367084430000"/>
    <s v="E-8-216188"/>
    <s v="Fijo"/>
    <x v="0"/>
    <x v="5"/>
    <m/>
    <m/>
    <m/>
    <s v="si"/>
    <d v="2026-06-12T00:00:00"/>
    <n v="25.25"/>
    <x v="1"/>
    <m/>
    <x v="2"/>
    <x v="0"/>
    <s v="12/jun"/>
    <s v=""/>
    <s v=""/>
    <n v="1"/>
  </r>
  <r>
    <x v="23"/>
    <d v="2026-06-27T10:44:28"/>
    <x v="0"/>
    <n v="65205115"/>
    <n v="365085490000"/>
    <s v="3-73-2150"/>
    <s v="Fijo"/>
    <x v="0"/>
    <x v="5"/>
    <m/>
    <m/>
    <m/>
    <s v="si"/>
    <d v="2026-05-29T00:00:00"/>
    <n v="61.66"/>
    <x v="1"/>
    <m/>
    <x v="1"/>
    <x v="0"/>
    <s v="29/may"/>
    <s v=""/>
    <s v=""/>
    <n v="1"/>
  </r>
  <r>
    <x v="23"/>
    <d v="2026-06-27T11:00:48"/>
    <x v="0"/>
    <n v="67906485"/>
    <n v="363083890000"/>
    <s v="8-1059-1401"/>
    <s v="Fijo"/>
    <x v="0"/>
    <x v="2"/>
    <m/>
    <m/>
    <m/>
    <s v="no"/>
    <m/>
    <m/>
    <x v="0"/>
    <m/>
    <x v="0"/>
    <x v="0"/>
    <s v=""/>
    <s v=""/>
    <s v=""/>
    <s v=""/>
  </r>
  <r>
    <x v="23"/>
    <d v="2026-06-27T11:09:04"/>
    <x v="0"/>
    <n v="64575089"/>
    <n v="365083780000"/>
    <s v="8-93-652"/>
    <s v="Fijo"/>
    <x v="0"/>
    <x v="5"/>
    <m/>
    <m/>
    <m/>
    <s v="si"/>
    <d v="2026-05-31T00:00:00"/>
    <n v="39.799999999999997"/>
    <x v="1"/>
    <m/>
    <x v="1"/>
    <x v="0"/>
    <s v="31/may"/>
    <s v=""/>
    <s v=""/>
    <n v="1"/>
  </r>
  <r>
    <x v="23"/>
    <d v="2026-06-27T11:17:06"/>
    <x v="0"/>
    <n v="66416616"/>
    <n v="342252580000"/>
    <s v="3-720-1239"/>
    <s v="Fijo"/>
    <x v="0"/>
    <x v="1"/>
    <m/>
    <m/>
    <m/>
    <s v="no"/>
    <m/>
    <m/>
    <x v="0"/>
    <s v="Indica ya solicito el cese y no se lo realizan."/>
    <x v="0"/>
    <x v="0"/>
    <s v=""/>
    <s v=""/>
    <s v=""/>
    <s v=""/>
  </r>
  <r>
    <x v="23"/>
    <d v="2026-06-27T11:21:38"/>
    <x v="0"/>
    <n v="66923721"/>
    <n v="368044110000"/>
    <s v="4-768-133"/>
    <s v="Fijo"/>
    <x v="0"/>
    <x v="2"/>
    <m/>
    <m/>
    <m/>
    <s v="no"/>
    <m/>
    <m/>
    <x v="1"/>
    <m/>
    <x v="0"/>
    <x v="0"/>
    <s v=""/>
    <s v=""/>
    <s v=""/>
    <s v=""/>
  </r>
  <r>
    <x v="23"/>
    <d v="2026-06-27T11:30:20"/>
    <x v="0"/>
    <n v="65541453"/>
    <n v="363084380000"/>
    <s v="8-1031-1936"/>
    <s v="Fijo"/>
    <x v="0"/>
    <x v="2"/>
    <m/>
    <m/>
    <m/>
    <s v="si"/>
    <m/>
    <m/>
    <x v="1"/>
    <m/>
    <x v="0"/>
    <x v="0"/>
    <s v=""/>
    <s v=""/>
    <s v=""/>
    <s v=""/>
  </r>
  <r>
    <x v="23"/>
    <d v="2026-06-27T11:35:28"/>
    <x v="0"/>
    <n v="65223277"/>
    <n v="367035210000"/>
    <s v="E-8-242819"/>
    <s v="Fijo"/>
    <x v="0"/>
    <x v="6"/>
    <m/>
    <m/>
    <m/>
    <s v="no"/>
    <m/>
    <m/>
    <x v="1"/>
    <m/>
    <x v="0"/>
    <x v="0"/>
    <s v=""/>
    <s v=""/>
    <s v=""/>
    <s v=""/>
  </r>
  <r>
    <x v="23"/>
    <d v="2026-06-27T11:47:42"/>
    <x v="0"/>
    <n v="61985459"/>
    <n v="369085700000"/>
    <s v="8-172-613"/>
    <s v="Fijo"/>
    <x v="0"/>
    <x v="5"/>
    <m/>
    <m/>
    <m/>
    <s v="si"/>
    <d v="2026-06-10T00:00:00"/>
    <n v="38"/>
    <x v="1"/>
    <m/>
    <x v="2"/>
    <x v="0"/>
    <s v="10/jun"/>
    <s v=""/>
    <s v=""/>
    <n v="1"/>
  </r>
  <r>
    <x v="23"/>
    <d v="2026-06-27T11:52:28"/>
    <x v="0"/>
    <n v="60773779"/>
    <n v="368086130000"/>
    <s v="8-874-1535"/>
    <s v="Fijo"/>
    <x v="0"/>
    <x v="5"/>
    <m/>
    <m/>
    <m/>
    <s v="si"/>
    <d v="2026-06-18T00:00:00"/>
    <n v="34.85"/>
    <x v="1"/>
    <m/>
    <x v="2"/>
    <x v="0"/>
    <s v="18/jun"/>
    <s v=""/>
    <s v=""/>
    <n v="1"/>
  </r>
  <r>
    <x v="23"/>
    <d v="2026-06-27T11:57:00"/>
    <x v="0"/>
    <n v="65541154"/>
    <n v="366084680000"/>
    <s v="8-740-1151"/>
    <s v="Fijo"/>
    <x v="0"/>
    <x v="2"/>
    <m/>
    <m/>
    <m/>
    <s v="no"/>
    <m/>
    <m/>
    <x v="1"/>
    <m/>
    <x v="0"/>
    <x v="0"/>
    <s v=""/>
    <s v=""/>
    <s v=""/>
    <s v=""/>
  </r>
  <r>
    <x v="23"/>
    <d v="2026-06-27T12:06:33"/>
    <x v="0"/>
    <n v="62242562"/>
    <n v="347461920000"/>
    <s v="E-8-98511"/>
    <s v="Fijo"/>
    <x v="0"/>
    <x v="0"/>
    <m/>
    <m/>
    <m/>
    <s v="no"/>
    <m/>
    <m/>
    <x v="1"/>
    <m/>
    <x v="0"/>
    <x v="0"/>
    <s v=""/>
    <s v=""/>
    <s v=""/>
    <s v=""/>
  </r>
  <r>
    <x v="23"/>
    <d v="2026-06-27T12:14:43"/>
    <x v="0"/>
    <n v="61677514"/>
    <n v="363083180000"/>
    <s v="10-710-1339"/>
    <s v="Fijo"/>
    <x v="0"/>
    <x v="5"/>
    <m/>
    <m/>
    <m/>
    <s v="si"/>
    <d v="2026-06-17T00:00:00"/>
    <n v="30.44"/>
    <x v="1"/>
    <m/>
    <x v="2"/>
    <x v="0"/>
    <s v="17/jun"/>
    <s v=""/>
    <s v=""/>
    <n v="1"/>
  </r>
  <r>
    <x v="23"/>
    <d v="2026-06-27T12:22:30"/>
    <x v="0"/>
    <n v="68398221"/>
    <n v="367081650000"/>
    <n v="167093507"/>
    <s v="Fijo"/>
    <x v="2"/>
    <x v="5"/>
    <m/>
    <m/>
    <m/>
    <s v="si"/>
    <d v="2026-06-06T00:00:00"/>
    <n v="32.42"/>
    <x v="1"/>
    <m/>
    <x v="2"/>
    <x v="0"/>
    <s v="06/jun"/>
    <s v=""/>
    <s v=""/>
    <n v="1"/>
  </r>
  <r>
    <x v="23"/>
    <d v="2026-06-27T12:30:09"/>
    <x v="0"/>
    <n v="63852115"/>
    <n v="364085380000"/>
    <s v="9-724-41"/>
    <s v="Fijo"/>
    <x v="2"/>
    <x v="0"/>
    <m/>
    <m/>
    <m/>
    <s v="no"/>
    <m/>
    <m/>
    <x v="0"/>
    <m/>
    <x v="0"/>
    <x v="0"/>
    <s v=""/>
    <s v=""/>
    <s v=""/>
    <s v=""/>
  </r>
  <r>
    <x v="23"/>
    <d v="2026-06-27T12:37:51"/>
    <x v="0"/>
    <n v="62001144"/>
    <n v="273068280000"/>
    <s v="8-785-791"/>
    <s v="Fijo"/>
    <x v="3"/>
    <x v="2"/>
    <m/>
    <m/>
    <m/>
    <s v="no"/>
    <m/>
    <m/>
    <x v="1"/>
    <m/>
    <x v="0"/>
    <x v="0"/>
    <s v=""/>
    <s v=""/>
    <s v=""/>
    <s v=""/>
  </r>
  <r>
    <x v="23"/>
    <d v="2026-06-27T12:48:28"/>
    <x v="0"/>
    <n v="69651279"/>
    <n v="367047480000"/>
    <s v="8-873-1710"/>
    <s v="Fijo"/>
    <x v="3"/>
    <x v="1"/>
    <m/>
    <d v="2026-07-02T00:00:00"/>
    <n v="40.909999999999997"/>
    <s v="no"/>
    <m/>
    <m/>
    <x v="1"/>
    <m/>
    <x v="0"/>
    <x v="2"/>
    <s v=""/>
    <s v="02/jul"/>
    <n v="1"/>
    <s v=""/>
  </r>
  <r>
    <x v="23"/>
    <d v="2026-06-27T12:54:24"/>
    <x v="0"/>
    <n v="65996885"/>
    <n v="369085510000"/>
    <s v="8-1057-599"/>
    <s v="Fijo"/>
    <x v="0"/>
    <x v="6"/>
    <m/>
    <m/>
    <m/>
    <s v="no"/>
    <m/>
    <m/>
    <x v="1"/>
    <m/>
    <x v="0"/>
    <x v="0"/>
    <s v=""/>
    <s v=""/>
    <s v=""/>
    <s v=""/>
  </r>
  <r>
    <x v="23"/>
    <d v="2026-06-27T12:56:44"/>
    <x v="0"/>
    <n v="66985696"/>
    <n v="984012620000"/>
    <s v="4-154-4"/>
    <s v="Fijo"/>
    <x v="0"/>
    <x v="7"/>
    <m/>
    <m/>
    <m/>
    <s v="no"/>
    <m/>
    <m/>
    <x v="1"/>
    <m/>
    <x v="0"/>
    <x v="0"/>
    <s v=""/>
    <s v=""/>
    <s v=""/>
    <s v=""/>
  </r>
  <r>
    <x v="23"/>
    <d v="2026-06-27T13:02:58"/>
    <x v="0"/>
    <n v="68236996"/>
    <n v="998105050000"/>
    <s v="4-114-733"/>
    <s v="Fijo"/>
    <x v="0"/>
    <x v="6"/>
    <m/>
    <m/>
    <m/>
    <s v="no"/>
    <m/>
    <m/>
    <x v="1"/>
    <m/>
    <x v="0"/>
    <x v="0"/>
    <s v=""/>
    <s v=""/>
    <s v=""/>
    <s v=""/>
  </r>
  <r>
    <x v="23"/>
    <d v="2026-06-27T13:05:01"/>
    <x v="0"/>
    <n v="69050670"/>
    <n v="365083920000"/>
    <s v="4-763-128"/>
    <s v="Fijo"/>
    <x v="0"/>
    <x v="6"/>
    <m/>
    <m/>
    <m/>
    <s v="no"/>
    <m/>
    <m/>
    <x v="1"/>
    <m/>
    <x v="0"/>
    <x v="0"/>
    <s v=""/>
    <s v=""/>
    <s v=""/>
    <s v=""/>
  </r>
  <r>
    <x v="23"/>
    <d v="2026-06-27T13:08:53"/>
    <x v="0"/>
    <n v="67899021"/>
    <n v="364087190000"/>
    <s v="8-1015-165"/>
    <s v="Fijo"/>
    <x v="0"/>
    <x v="2"/>
    <m/>
    <m/>
    <m/>
    <s v="no"/>
    <m/>
    <m/>
    <x v="1"/>
    <m/>
    <x v="0"/>
    <x v="0"/>
    <s v=""/>
    <s v=""/>
    <s v=""/>
    <s v=""/>
  </r>
  <r>
    <x v="23"/>
    <d v="2026-06-27T14:26:40"/>
    <x v="0"/>
    <n v="69266370"/>
    <n v="365085700000"/>
    <s v="8-920-1333"/>
    <s v="Fijo"/>
    <x v="0"/>
    <x v="0"/>
    <m/>
    <m/>
    <m/>
    <s v="no"/>
    <m/>
    <m/>
    <x v="1"/>
    <m/>
    <x v="0"/>
    <x v="0"/>
    <s v=""/>
    <s v=""/>
    <s v=""/>
    <s v=""/>
  </r>
  <r>
    <x v="23"/>
    <d v="2026-06-27T14:35:42"/>
    <x v="0"/>
    <n v="68983321"/>
    <n v="367088130000"/>
    <s v="9-107-2688"/>
    <s v="Fijo"/>
    <x v="0"/>
    <x v="5"/>
    <m/>
    <m/>
    <m/>
    <s v="si"/>
    <d v="2026-06-04T00:00:00"/>
    <n v="35.86"/>
    <x v="1"/>
    <m/>
    <x v="2"/>
    <x v="0"/>
    <s v="04/jun"/>
    <s v=""/>
    <s v=""/>
    <n v="1"/>
  </r>
  <r>
    <x v="23"/>
    <d v="2026-06-27T14:42:36"/>
    <x v="0"/>
    <n v="65872342"/>
    <n v="367087770000"/>
    <s v="8-772-1639"/>
    <s v="Fijo"/>
    <x v="0"/>
    <x v="5"/>
    <m/>
    <m/>
    <m/>
    <s v="si"/>
    <d v="2026-06-17T00:00:00"/>
    <n v="35.86"/>
    <x v="1"/>
    <m/>
    <x v="2"/>
    <x v="0"/>
    <s v="17/jun"/>
    <s v=""/>
    <s v=""/>
    <n v="1"/>
  </r>
  <r>
    <x v="23"/>
    <d v="2026-06-27T14:47:27"/>
    <x v="0"/>
    <n v="64711376"/>
    <n v="367086990000"/>
    <s v="8-165-101"/>
    <s v="Fijo"/>
    <x v="0"/>
    <x v="5"/>
    <m/>
    <m/>
    <m/>
    <s v="si"/>
    <d v="2026-06-20T00:00:00"/>
    <n v="25.88"/>
    <x v="1"/>
    <m/>
    <x v="2"/>
    <x v="0"/>
    <s v="20/jun"/>
    <s v=""/>
    <s v=""/>
    <n v="1"/>
  </r>
  <r>
    <x v="23"/>
    <d v="2026-06-27T14:59:07"/>
    <x v="0"/>
    <n v="61592413"/>
    <n v="357222250000"/>
    <s v="8-1061-1805"/>
    <s v="Fijo"/>
    <x v="0"/>
    <x v="5"/>
    <m/>
    <m/>
    <m/>
    <s v="si"/>
    <d v="2026-06-11T00:00:00"/>
    <n v="30.99"/>
    <x v="1"/>
    <m/>
    <x v="2"/>
    <x v="0"/>
    <s v="11/jun"/>
    <s v=""/>
    <s v=""/>
    <n v="1"/>
  </r>
  <r>
    <x v="23"/>
    <d v="2026-06-27T15:12:43"/>
    <x v="0"/>
    <n v="65778075"/>
    <n v="352201400000"/>
    <s v="8-1008-1745"/>
    <s v="Fijo"/>
    <x v="0"/>
    <x v="1"/>
    <s v="Situación económica"/>
    <m/>
    <m/>
    <s v="no"/>
    <m/>
    <m/>
    <x v="1"/>
    <m/>
    <x v="0"/>
    <x v="0"/>
    <s v=""/>
    <s v=""/>
    <s v=""/>
    <s v=""/>
  </r>
  <r>
    <x v="23"/>
    <d v="2026-06-27T15:17:18"/>
    <x v="0"/>
    <n v="62746033"/>
    <n v="369057120000"/>
    <s v="8-113-601"/>
    <s v="Fijo"/>
    <x v="0"/>
    <x v="2"/>
    <m/>
    <m/>
    <m/>
    <s v="no"/>
    <m/>
    <m/>
    <x v="1"/>
    <m/>
    <x v="0"/>
    <x v="0"/>
    <s v=""/>
    <s v=""/>
    <s v=""/>
    <s v=""/>
  </r>
  <r>
    <x v="23"/>
    <d v="2026-06-27T15:22:29"/>
    <x v="0"/>
    <n v="68291444"/>
    <n v="365037850000"/>
    <s v="10-716-527"/>
    <s v="Fijo"/>
    <x v="0"/>
    <x v="1"/>
    <m/>
    <d v="2026-07-01T00:00:00"/>
    <n v="30.41"/>
    <s v="no"/>
    <m/>
    <m/>
    <x v="1"/>
    <m/>
    <x v="0"/>
    <x v="2"/>
    <s v=""/>
    <s v="01/jul"/>
    <n v="1"/>
    <s v=""/>
  </r>
  <r>
    <x v="23"/>
    <d v="2026-06-27T15:40:01"/>
    <x v="0"/>
    <n v="68114118"/>
    <n v="367074870000"/>
    <s v="8-1041-463"/>
    <s v="Fijo"/>
    <x v="0"/>
    <x v="5"/>
    <m/>
    <m/>
    <m/>
    <s v="si"/>
    <d v="2026-06-02T00:00:00"/>
    <n v="35.86"/>
    <x v="1"/>
    <m/>
    <x v="2"/>
    <x v="0"/>
    <s v="02/jun"/>
    <s v=""/>
    <s v=""/>
    <n v="1"/>
  </r>
  <r>
    <x v="24"/>
    <d v="2026-06-29T13:00:06"/>
    <x v="0"/>
    <n v="63419601"/>
    <n v="195012900000"/>
    <s v="4-79-540"/>
    <s v="Fijo"/>
    <x v="0"/>
    <x v="6"/>
    <m/>
    <m/>
    <m/>
    <s v="no"/>
    <m/>
    <m/>
    <x v="1"/>
    <m/>
    <x v="0"/>
    <x v="0"/>
    <s v=""/>
    <s v=""/>
    <s v=""/>
    <s v=""/>
  </r>
  <r>
    <x v="24"/>
    <d v="2026-06-29T13:05:28"/>
    <x v="0"/>
    <n v="67181048"/>
    <n v="368064920000"/>
    <s v="2-767-151"/>
    <s v="Fijo"/>
    <x v="2"/>
    <x v="5"/>
    <m/>
    <m/>
    <m/>
    <s v="si"/>
    <d v="2026-06-29T00:00:00"/>
    <n v="39.42"/>
    <x v="1"/>
    <s v="Cumple."/>
    <x v="2"/>
    <x v="0"/>
    <s v="29/jun"/>
    <s v=""/>
    <s v=""/>
    <n v="1"/>
  </r>
  <r>
    <x v="24"/>
    <d v="2026-06-29T13:10:30"/>
    <x v="0"/>
    <n v="69201936"/>
    <n v="363068570000"/>
    <s v="2-126-95"/>
    <s v="Fijo"/>
    <x v="6"/>
    <x v="5"/>
    <m/>
    <m/>
    <m/>
    <s v="si"/>
    <d v="2026-06-26T00:00:00"/>
    <n v="30.53"/>
    <x v="1"/>
    <m/>
    <x v="2"/>
    <x v="0"/>
    <s v="26/jun"/>
    <s v=""/>
    <s v=""/>
    <n v="1"/>
  </r>
  <r>
    <x v="24"/>
    <d v="2026-06-29T13:14:28"/>
    <x v="0"/>
    <n v="61817534"/>
    <n v="369065640000"/>
    <s v="8-852-1070"/>
    <s v="Fijo"/>
    <x v="0"/>
    <x v="5"/>
    <m/>
    <m/>
    <m/>
    <s v="si"/>
    <d v="2026-06-27T00:00:00"/>
    <n v="33.46"/>
    <x v="1"/>
    <s v="Pago."/>
    <x v="2"/>
    <x v="0"/>
    <s v="27/jun"/>
    <s v=""/>
    <s v=""/>
    <n v="1"/>
  </r>
  <r>
    <x v="24"/>
    <d v="2026-06-29T14:29:51"/>
    <x v="0"/>
    <n v="68522787"/>
    <n v="369068950000"/>
    <s v="8-437-817"/>
    <s v="Fijo"/>
    <x v="0"/>
    <x v="5"/>
    <m/>
    <m/>
    <m/>
    <s v="si"/>
    <d v="2026-06-27T00:00:00"/>
    <n v="62.52"/>
    <x v="1"/>
    <m/>
    <x v="2"/>
    <x v="0"/>
    <s v="27/jun"/>
    <s v=""/>
    <s v=""/>
    <n v="1"/>
  </r>
  <r>
    <x v="24"/>
    <d v="2026-06-29T14:51:48"/>
    <x v="0"/>
    <n v="61473926"/>
    <n v="363070380000"/>
    <s v="E-8-101141"/>
    <s v="Fijo"/>
    <x v="3"/>
    <x v="5"/>
    <m/>
    <m/>
    <m/>
    <s v="si"/>
    <d v="2026-06-27T00:00:00"/>
    <n v="30.44"/>
    <x v="1"/>
    <m/>
    <x v="2"/>
    <x v="0"/>
    <s v="27/jun"/>
    <s v=""/>
    <s v=""/>
    <n v="1"/>
  </r>
  <r>
    <x v="24"/>
    <d v="2026-06-29T14:57:24"/>
    <x v="0"/>
    <n v="64603953"/>
    <n v="367072920000"/>
    <s v="4-739-176"/>
    <s v="Fijo"/>
    <x v="4"/>
    <x v="5"/>
    <m/>
    <m/>
    <m/>
    <s v="si"/>
    <d v="2026-06-25T00:00:00"/>
    <n v="34.85"/>
    <x v="1"/>
    <s v="Cumple."/>
    <x v="2"/>
    <x v="0"/>
    <s v="25/jun"/>
    <s v=""/>
    <s v=""/>
    <n v="1"/>
  </r>
  <r>
    <x v="24"/>
    <d v="2026-06-29T15:01:52"/>
    <x v="0"/>
    <n v="66994651"/>
    <n v="368077440000"/>
    <s v="8-841-1844"/>
    <s v="Fijo"/>
    <x v="0"/>
    <x v="5"/>
    <m/>
    <m/>
    <m/>
    <s v="si"/>
    <d v="2026-06-25T00:00:00"/>
    <n v="28.85"/>
    <x v="1"/>
    <s v="Cumple."/>
    <x v="2"/>
    <x v="0"/>
    <s v="25/jun"/>
    <s v=""/>
    <s v=""/>
    <n v="1"/>
  </r>
  <r>
    <x v="24"/>
    <d v="2026-06-29T15:06:51"/>
    <x v="0"/>
    <n v="64323491"/>
    <n v="361072760000"/>
    <s v="8-889-694"/>
    <s v="Fijo"/>
    <x v="0"/>
    <x v="5"/>
    <m/>
    <m/>
    <m/>
    <s v="si"/>
    <d v="2026-06-28T00:00:00"/>
    <n v="38.340000000000003"/>
    <x v="1"/>
    <s v="Cumple promesa."/>
    <x v="2"/>
    <x v="0"/>
    <s v="28/jun"/>
    <s v=""/>
    <s v=""/>
    <n v="1"/>
  </r>
  <r>
    <x v="24"/>
    <d v="2026-06-29T15:11:36"/>
    <x v="0"/>
    <n v="67546593"/>
    <n v="363087400000"/>
    <s v="8-407-419"/>
    <s v="Fijo"/>
    <x v="0"/>
    <x v="1"/>
    <m/>
    <d v="2026-06-30T00:00:00"/>
    <n v="36.020000000000003"/>
    <s v="no"/>
    <m/>
    <m/>
    <x v="1"/>
    <m/>
    <x v="0"/>
    <x v="1"/>
    <s v=""/>
    <s v="30/jun"/>
    <n v="1"/>
    <s v=""/>
  </r>
  <r>
    <x v="24"/>
    <d v="2026-06-29T15:36:15"/>
    <x v="0"/>
    <n v="68260476"/>
    <n v="364087510000"/>
    <s v="8-836-1914"/>
    <s v="Fijo"/>
    <x v="0"/>
    <x v="1"/>
    <s v="Desempleada"/>
    <m/>
    <m/>
    <s v="no"/>
    <m/>
    <m/>
    <x v="1"/>
    <m/>
    <x v="0"/>
    <x v="0"/>
    <s v=""/>
    <s v=""/>
    <s v=""/>
    <s v=""/>
  </r>
  <r>
    <x v="24"/>
    <d v="2026-06-29T15:39:34"/>
    <x v="0"/>
    <n v="67335147"/>
    <n v="368086490000"/>
    <s v="8-370-949"/>
    <s v="Fijo"/>
    <x v="2"/>
    <x v="2"/>
    <m/>
    <m/>
    <m/>
    <s v="no"/>
    <m/>
    <m/>
    <x v="1"/>
    <m/>
    <x v="0"/>
    <x v="0"/>
    <s v=""/>
    <s v=""/>
    <s v=""/>
    <s v=""/>
  </r>
  <r>
    <x v="24"/>
    <d v="2026-06-29T15:45:42"/>
    <x v="0"/>
    <n v="60284434"/>
    <n v="361084410000"/>
    <s v="E-8-204662"/>
    <s v="Fijo"/>
    <x v="2"/>
    <x v="5"/>
    <m/>
    <m/>
    <m/>
    <s v="si"/>
    <d v="2026-06-19T00:00:00"/>
    <n v="32.42"/>
    <x v="1"/>
    <m/>
    <x v="2"/>
    <x v="0"/>
    <s v="19/jun"/>
    <s v=""/>
    <s v=""/>
    <n v="1"/>
  </r>
  <r>
    <x v="24"/>
    <d v="2026-06-29T15:49:31"/>
    <x v="0"/>
    <n v="62463361"/>
    <n v="365086320000"/>
    <s v="B00000247"/>
    <s v="Fijo"/>
    <x v="2"/>
    <x v="5"/>
    <m/>
    <m/>
    <m/>
    <s v="si"/>
    <d v="2026-06-02T00:00:00"/>
    <n v="42.52"/>
    <x v="1"/>
    <m/>
    <x v="2"/>
    <x v="0"/>
    <s v="02/jun"/>
    <s v=""/>
    <s v=""/>
    <n v="1"/>
  </r>
  <r>
    <x v="24"/>
    <d v="2026-06-29T15:55:40"/>
    <x v="0"/>
    <n v="61039253"/>
    <n v="193069630000"/>
    <s v="8-753-1773"/>
    <s v="Fijo"/>
    <x v="3"/>
    <x v="3"/>
    <m/>
    <m/>
    <m/>
    <s v="no"/>
    <m/>
    <m/>
    <x v="1"/>
    <m/>
    <x v="0"/>
    <x v="0"/>
    <s v=""/>
    <s v=""/>
    <s v=""/>
    <s v=""/>
  </r>
  <r>
    <x v="24"/>
    <d v="2026-06-29T16:02:38"/>
    <x v="0"/>
    <n v="62992687"/>
    <n v="303029540000"/>
    <s v="6-714-2021"/>
    <s v="Fijo"/>
    <x v="3"/>
    <x v="5"/>
    <m/>
    <m/>
    <m/>
    <s v="si"/>
    <d v="2026-06-25T00:00:00"/>
    <n v="36.450000000000003"/>
    <x v="1"/>
    <m/>
    <x v="2"/>
    <x v="0"/>
    <s v="25/jun"/>
    <s v=""/>
    <s v=""/>
    <n v="1"/>
  </r>
  <r>
    <x v="24"/>
    <d v="2026-06-29T16:06:26"/>
    <x v="0"/>
    <n v="65239456"/>
    <n v="363086040000"/>
    <s v="10-716-903"/>
    <s v="Fijo"/>
    <x v="4"/>
    <x v="2"/>
    <m/>
    <m/>
    <m/>
    <s v="no"/>
    <m/>
    <m/>
    <x v="1"/>
    <m/>
    <x v="0"/>
    <x v="0"/>
    <s v=""/>
    <s v=""/>
    <s v=""/>
    <s v=""/>
  </r>
  <r>
    <x v="24"/>
    <d v="2026-06-29T16:23:56"/>
    <x v="0"/>
    <n v="62038247"/>
    <n v="363086960000"/>
    <s v="4-737-2145"/>
    <s v="Fijo"/>
    <x v="3"/>
    <x v="1"/>
    <m/>
    <m/>
    <m/>
    <s v="no"/>
    <m/>
    <m/>
    <x v="1"/>
    <m/>
    <x v="0"/>
    <x v="0"/>
    <s v=""/>
    <s v=""/>
    <s v=""/>
    <s v=""/>
  </r>
  <r>
    <x v="24"/>
    <d v="2026-06-29T16:27:52"/>
    <x v="0"/>
    <n v="64808307"/>
    <n v="362086920000"/>
    <s v="8-1070-2463"/>
    <s v="Fijo"/>
    <x v="0"/>
    <x v="0"/>
    <m/>
    <m/>
    <m/>
    <s v="no"/>
    <m/>
    <m/>
    <x v="0"/>
    <m/>
    <x v="0"/>
    <x v="0"/>
    <s v=""/>
    <s v=""/>
    <s v=""/>
    <s v=""/>
  </r>
  <r>
    <x v="24"/>
    <d v="2026-06-29T16:31:07"/>
    <x v="0"/>
    <n v="66098436"/>
    <n v="368084770000"/>
    <s v="4-737-1560"/>
    <s v="Fijo"/>
    <x v="0"/>
    <x v="5"/>
    <m/>
    <m/>
    <m/>
    <s v="si"/>
    <d v="2026-06-29T00:00:00"/>
    <n v="35.96"/>
    <x v="1"/>
    <m/>
    <x v="2"/>
    <x v="0"/>
    <s v="29/jun"/>
    <s v=""/>
    <s v=""/>
    <n v="1"/>
  </r>
  <r>
    <x v="24"/>
    <d v="2026-06-29T16:36:50"/>
    <x v="0"/>
    <n v="64522054"/>
    <n v="362086720000"/>
    <s v="4-126-838"/>
    <s v="Fijo"/>
    <x v="0"/>
    <x v="1"/>
    <m/>
    <m/>
    <m/>
    <s v="no"/>
    <m/>
    <m/>
    <x v="0"/>
    <s v="Molesta por la llamada, dice ya habia solicitado el cese."/>
    <x v="0"/>
    <x v="0"/>
    <s v=""/>
    <s v=""/>
    <s v=""/>
    <s v=""/>
  </r>
  <r>
    <x v="24"/>
    <d v="2026-06-29T16:40:03"/>
    <x v="0"/>
    <n v="67827008"/>
    <n v="367087120000"/>
    <s v="8-901-2490"/>
    <s v="Fijo"/>
    <x v="0"/>
    <x v="6"/>
    <m/>
    <m/>
    <m/>
    <s v="no"/>
    <m/>
    <m/>
    <x v="1"/>
    <m/>
    <x v="0"/>
    <x v="0"/>
    <s v=""/>
    <s v=""/>
    <s v=""/>
    <s v=""/>
  </r>
  <r>
    <x v="24"/>
    <d v="2026-06-29T16:45:01"/>
    <x v="0"/>
    <n v="62845502"/>
    <n v="368077410000"/>
    <n v="36.68"/>
    <s v="Fijo"/>
    <x v="0"/>
    <x v="1"/>
    <m/>
    <d v="2026-07-11T00:00:00"/>
    <n v="36.68"/>
    <s v="no"/>
    <m/>
    <m/>
    <x v="1"/>
    <m/>
    <x v="0"/>
    <x v="2"/>
    <s v=""/>
    <s v="11/jul"/>
    <n v="1"/>
    <s v=""/>
  </r>
  <r>
    <x v="24"/>
    <d v="2026-06-29T16:53:10"/>
    <x v="0"/>
    <n v="65963710"/>
    <n v="363086360000"/>
    <s v="9-732-273"/>
    <s v="Fijo"/>
    <x v="0"/>
    <x v="1"/>
    <m/>
    <m/>
    <m/>
    <s v="no"/>
    <m/>
    <m/>
    <x v="1"/>
    <s v="Cliente indica hace mucho solicito el cese del servicio."/>
    <x v="0"/>
    <x v="0"/>
    <s v=""/>
    <s v=""/>
    <s v=""/>
    <s v=""/>
  </r>
  <r>
    <x v="24"/>
    <d v="2026-06-29T16:54:55"/>
    <x v="0"/>
    <n v="69292057"/>
    <n v="361086900000"/>
    <s v="9-752-506"/>
    <s v="Fijo"/>
    <x v="0"/>
    <x v="2"/>
    <m/>
    <m/>
    <m/>
    <s v="no"/>
    <m/>
    <m/>
    <x v="1"/>
    <m/>
    <x v="0"/>
    <x v="0"/>
    <s v=""/>
    <s v=""/>
    <s v=""/>
    <s v=""/>
  </r>
  <r>
    <x v="24"/>
    <d v="2026-06-29T17:08:17"/>
    <x v="0"/>
    <n v="61585801"/>
    <n v="368087060000"/>
    <s v="8-843-1586"/>
    <s v="Fijo"/>
    <x v="0"/>
    <x v="1"/>
    <m/>
    <d v="2026-06-11T00:00:00"/>
    <n v="39.35"/>
    <s v="no"/>
    <m/>
    <m/>
    <x v="1"/>
    <m/>
    <x v="0"/>
    <x v="1"/>
    <s v=""/>
    <s v="11/jun"/>
    <n v="1"/>
    <s v=""/>
  </r>
  <r>
    <x v="24"/>
    <d v="2026-06-29T17:22:36"/>
    <x v="0"/>
    <n v="60991112"/>
    <n v="361066190000"/>
    <s v="5-716-1077"/>
    <s v="Fijo"/>
    <x v="3"/>
    <x v="1"/>
    <m/>
    <d v="2026-06-30T00:00:00"/>
    <n v="25.25"/>
    <s v="no"/>
    <m/>
    <m/>
    <x v="2"/>
    <s v="Inconveniente aplicacion."/>
    <x v="0"/>
    <x v="1"/>
    <s v=""/>
    <s v="30/jun"/>
    <n v="1"/>
    <s v=""/>
  </r>
  <r>
    <x v="24"/>
    <d v="2026-06-29T17:29:11"/>
    <x v="0"/>
    <n v="68069534"/>
    <n v="367068930000"/>
    <s v="5-702-1277"/>
    <s v="Fijo"/>
    <x v="0"/>
    <x v="5"/>
    <m/>
    <m/>
    <m/>
    <s v="si"/>
    <d v="2026-06-29T00:00:00"/>
    <n v="30.44"/>
    <x v="1"/>
    <s v="Cumple promesa."/>
    <x v="2"/>
    <x v="0"/>
    <s v="29/jun"/>
    <s v=""/>
    <s v=""/>
    <n v="1"/>
  </r>
  <r>
    <x v="24"/>
    <d v="2026-06-29T17:35:13"/>
    <x v="0"/>
    <n v="63204227"/>
    <n v="365066500000"/>
    <s v="8-900-1419"/>
    <s v="Fijo"/>
    <x v="0"/>
    <x v="1"/>
    <m/>
    <d v="2026-06-30T00:00:00"/>
    <n v="35.74"/>
    <s v="no"/>
    <m/>
    <m/>
    <x v="1"/>
    <m/>
    <x v="0"/>
    <x v="1"/>
    <s v=""/>
    <s v="30/jun"/>
    <n v="1"/>
    <s v=""/>
  </r>
  <r>
    <x v="24"/>
    <d v="2026-06-29T17:41:22"/>
    <x v="0"/>
    <n v="63177143"/>
    <n v="329045210000"/>
    <s v="8-208-496"/>
    <s v="Fijo"/>
    <x v="0"/>
    <x v="2"/>
    <m/>
    <m/>
    <m/>
    <s v="no"/>
    <m/>
    <m/>
    <x v="1"/>
    <m/>
    <x v="0"/>
    <x v="0"/>
    <s v=""/>
    <s v=""/>
    <s v=""/>
    <s v=""/>
  </r>
  <r>
    <x v="24"/>
    <d v="2026-06-29T17:47:46"/>
    <x v="0"/>
    <n v="69713828"/>
    <n v="348078040000"/>
    <s v="8-933-2242"/>
    <s v="Fijo"/>
    <x v="0"/>
    <x v="1"/>
    <m/>
    <d v="2026-06-30T00:00:00"/>
    <n v="30.99"/>
    <s v="no"/>
    <m/>
    <m/>
    <x v="1"/>
    <m/>
    <x v="0"/>
    <x v="1"/>
    <s v=""/>
    <s v="30/jun"/>
    <n v="1"/>
    <s v=""/>
  </r>
  <r>
    <x v="24"/>
    <d v="2026-06-29T17:52:02"/>
    <x v="0"/>
    <n v="64655617"/>
    <n v="363070170000"/>
    <s v="8-967-849"/>
    <s v="Fijo"/>
    <x v="0"/>
    <x v="0"/>
    <m/>
    <m/>
    <m/>
    <s v="no"/>
    <m/>
    <m/>
    <x v="1"/>
    <m/>
    <x v="0"/>
    <x v="0"/>
    <s v=""/>
    <s v=""/>
    <s v=""/>
    <s v=""/>
  </r>
  <r>
    <x v="24"/>
    <d v="2026-06-29T17:57:25"/>
    <x v="0"/>
    <n v="62190408"/>
    <n v="314016950000"/>
    <s v="8-784-2455"/>
    <s v="Fijo"/>
    <x v="0"/>
    <x v="1"/>
    <s v="No brinda motivo"/>
    <d v="2026-06-30T00:00:00"/>
    <n v="30.8"/>
    <s v="no"/>
    <m/>
    <m/>
    <x v="1"/>
    <m/>
    <x v="0"/>
    <x v="1"/>
    <s v=""/>
    <s v="30/jun"/>
    <n v="1"/>
    <s v=""/>
  </r>
  <r>
    <x v="24"/>
    <d v="2026-06-29T18:01:06"/>
    <x v="0"/>
    <n v="65386254"/>
    <n v="321084830000"/>
    <s v="8-712-653"/>
    <s v="Fijo"/>
    <x v="0"/>
    <x v="2"/>
    <m/>
    <m/>
    <m/>
    <s v="no"/>
    <m/>
    <m/>
    <x v="1"/>
    <m/>
    <x v="0"/>
    <x v="0"/>
    <s v=""/>
    <s v=""/>
    <s v=""/>
    <s v=""/>
  </r>
  <r>
    <x v="24"/>
    <d v="2026-06-29T18:06:30"/>
    <x v="0"/>
    <n v="65504672"/>
    <n v="367072620000"/>
    <s v="2-83-1493"/>
    <s v="Fijo"/>
    <x v="0"/>
    <x v="1"/>
    <m/>
    <d v="2026-06-30T00:00:00"/>
    <n v="30.44"/>
    <s v="no"/>
    <m/>
    <m/>
    <x v="1"/>
    <m/>
    <x v="0"/>
    <x v="1"/>
    <s v=""/>
    <s v="30/jun"/>
    <n v="1"/>
    <s v=""/>
  </r>
  <r>
    <x v="24"/>
    <d v="2026-06-29T18:09:32"/>
    <x v="0"/>
    <n v="67574925"/>
    <n v="203065320000"/>
    <s v="8-782-2325"/>
    <s v="Fijo"/>
    <x v="0"/>
    <x v="0"/>
    <m/>
    <m/>
    <m/>
    <s v="no"/>
    <m/>
    <m/>
    <x v="1"/>
    <m/>
    <x v="0"/>
    <x v="0"/>
    <s v=""/>
    <s v=""/>
    <s v=""/>
    <s v=""/>
  </r>
  <r>
    <x v="25"/>
    <d v="2026-06-30T09:23:44"/>
    <x v="0"/>
    <n v="67709218"/>
    <n v="365087140000"/>
    <s v="8-515-2321"/>
    <s v="Fijo"/>
    <x v="0"/>
    <x v="3"/>
    <m/>
    <m/>
    <m/>
    <s v="no"/>
    <m/>
    <m/>
    <x v="1"/>
    <m/>
    <x v="0"/>
    <x v="0"/>
    <s v=""/>
    <s v=""/>
    <s v=""/>
    <s v=""/>
  </r>
  <r>
    <x v="25"/>
    <d v="2026-06-30T09:26:43"/>
    <x v="0"/>
    <n v="67156004"/>
    <n v="367054370000"/>
    <s v="8-1017-2478"/>
    <s v="Fijo"/>
    <x v="0"/>
    <x v="2"/>
    <m/>
    <m/>
    <m/>
    <s v="no"/>
    <m/>
    <m/>
    <x v="1"/>
    <m/>
    <x v="0"/>
    <x v="0"/>
    <s v=""/>
    <s v=""/>
    <s v=""/>
    <s v=""/>
  </r>
  <r>
    <x v="25"/>
    <d v="2026-06-30T09:31:57"/>
    <x v="0"/>
    <n v="69351752"/>
    <n v="363082820000"/>
    <s v="8-1006-631"/>
    <s v="Fijo"/>
    <x v="0"/>
    <x v="2"/>
    <m/>
    <m/>
    <m/>
    <s v="no"/>
    <m/>
    <m/>
    <x v="1"/>
    <m/>
    <x v="0"/>
    <x v="0"/>
    <s v=""/>
    <s v=""/>
    <s v=""/>
    <s v=""/>
  </r>
  <r>
    <x v="25"/>
    <d v="2026-06-30T09:36:28"/>
    <x v="0"/>
    <n v="67656612"/>
    <n v="359123260000"/>
    <s v="8-1044-1216"/>
    <s v="Fijo"/>
    <x v="0"/>
    <x v="2"/>
    <m/>
    <m/>
    <m/>
    <s v="no"/>
    <m/>
    <m/>
    <x v="1"/>
    <m/>
    <x v="0"/>
    <x v="0"/>
    <s v=""/>
    <s v=""/>
    <s v=""/>
    <s v=""/>
  </r>
  <r>
    <x v="25"/>
    <d v="2026-06-30T09:42:31"/>
    <x v="0"/>
    <n v="60271931"/>
    <n v="289007530000"/>
    <s v="2-101-340"/>
    <s v="Fijo"/>
    <x v="0"/>
    <x v="3"/>
    <m/>
    <m/>
    <m/>
    <s v="no"/>
    <m/>
    <m/>
    <x v="1"/>
    <m/>
    <x v="0"/>
    <x v="0"/>
    <s v=""/>
    <s v=""/>
    <s v=""/>
    <s v=""/>
  </r>
  <r>
    <x v="25"/>
    <d v="2026-06-30T09:46:01"/>
    <x v="0"/>
    <n v="69587979"/>
    <n v="365087750000"/>
    <s v="8-733-203"/>
    <s v="Fijo"/>
    <x v="0"/>
    <x v="2"/>
    <m/>
    <m/>
    <m/>
    <s v="no"/>
    <m/>
    <m/>
    <x v="1"/>
    <m/>
    <x v="0"/>
    <x v="0"/>
    <s v=""/>
    <s v=""/>
    <s v=""/>
    <s v=""/>
  </r>
  <r>
    <x v="25"/>
    <d v="2026-06-30T09:49:34"/>
    <x v="0"/>
    <n v="63727568"/>
    <n v="361088520000"/>
    <s v="8-50-66"/>
    <s v="Fijo"/>
    <x v="0"/>
    <x v="2"/>
    <m/>
    <m/>
    <m/>
    <s v="no"/>
    <m/>
    <m/>
    <x v="1"/>
    <m/>
    <x v="0"/>
    <x v="0"/>
    <s v=""/>
    <s v=""/>
    <s v=""/>
    <s v=""/>
  </r>
  <r>
    <x v="25"/>
    <d v="2026-06-30T09:52:29"/>
    <x v="0"/>
    <n v="64411353"/>
    <n v="368089170000"/>
    <s v="4-206-693"/>
    <s v="Fijo"/>
    <x v="0"/>
    <x v="2"/>
    <m/>
    <m/>
    <m/>
    <s v="no"/>
    <m/>
    <m/>
    <x v="0"/>
    <m/>
    <x v="0"/>
    <x v="0"/>
    <s v=""/>
    <s v=""/>
    <s v=""/>
    <s v=""/>
  </r>
  <r>
    <x v="25"/>
    <d v="2026-06-30T10:09:03"/>
    <x v="0"/>
    <n v="62664509"/>
    <n v="335277560000"/>
    <s v="8-468-854"/>
    <s v="Fijo"/>
    <x v="0"/>
    <x v="1"/>
    <m/>
    <d v="2026-06-11T00:00:00"/>
    <n v="34.369999999999997"/>
    <s v="no"/>
    <m/>
    <m/>
    <x v="1"/>
    <m/>
    <x v="0"/>
    <x v="1"/>
    <s v=""/>
    <s v="11/jun"/>
    <n v="1"/>
    <s v=""/>
  </r>
  <r>
    <x v="25"/>
    <d v="2026-06-30T10:17:40"/>
    <x v="0"/>
    <n v="67944507"/>
    <n v="366087520000"/>
    <s v="8-455-130"/>
    <s v="Fijo"/>
    <x v="0"/>
    <x v="0"/>
    <m/>
    <m/>
    <m/>
    <s v="no"/>
    <m/>
    <m/>
    <x v="0"/>
    <m/>
    <x v="0"/>
    <x v="0"/>
    <s v=""/>
    <s v=""/>
    <s v=""/>
    <s v=""/>
  </r>
  <r>
    <x v="25"/>
    <d v="2026-06-30T10:33:48"/>
    <x v="0"/>
    <n v="66568425"/>
    <n v="341271570000"/>
    <n v="167081780"/>
    <s v="Fijo"/>
    <x v="0"/>
    <x v="1"/>
    <m/>
    <m/>
    <m/>
    <s v="no"/>
    <m/>
    <m/>
    <x v="1"/>
    <m/>
    <x v="0"/>
    <x v="0"/>
    <s v=""/>
    <s v=""/>
    <s v=""/>
    <s v=""/>
  </r>
  <r>
    <x v="25"/>
    <d v="2026-06-30T10:42:06"/>
    <x v="0"/>
    <n v="65086364"/>
    <n v="369087090000"/>
    <s v="7-74-310"/>
    <s v="Fijo"/>
    <x v="0"/>
    <x v="1"/>
    <m/>
    <d v="2026-07-13T00:00:00"/>
    <n v="34.96"/>
    <s v="no"/>
    <m/>
    <m/>
    <x v="1"/>
    <m/>
    <x v="0"/>
    <x v="2"/>
    <s v=""/>
    <s v="13/jul"/>
    <n v="1"/>
    <s v=""/>
  </r>
  <r>
    <x v="25"/>
    <d v="2026-06-30T10:44:41"/>
    <x v="0"/>
    <n v="69100559"/>
    <n v="362084080000"/>
    <s v="8-752-2376"/>
    <s v="Fijo"/>
    <x v="2"/>
    <x v="2"/>
    <m/>
    <m/>
    <m/>
    <s v="no"/>
    <m/>
    <m/>
    <x v="0"/>
    <m/>
    <x v="0"/>
    <x v="0"/>
    <s v=""/>
    <s v=""/>
    <s v=""/>
    <s v=""/>
  </r>
  <r>
    <x v="25"/>
    <d v="2026-06-30T10:55:24"/>
    <x v="0"/>
    <n v="66172191"/>
    <n v="363088320000"/>
    <s v="8-826-676"/>
    <s v="Fijo"/>
    <x v="0"/>
    <x v="2"/>
    <m/>
    <m/>
    <m/>
    <s v="no"/>
    <m/>
    <m/>
    <x v="1"/>
    <m/>
    <x v="0"/>
    <x v="0"/>
    <s v=""/>
    <s v=""/>
    <s v=""/>
    <s v=""/>
  </r>
  <r>
    <x v="25"/>
    <d v="2026-06-30T10:57:29"/>
    <x v="0"/>
    <n v="68802679"/>
    <n v="361057910000"/>
    <s v="8-466-958"/>
    <s v="Fijo"/>
    <x v="0"/>
    <x v="5"/>
    <m/>
    <m/>
    <m/>
    <s v="si"/>
    <d v="2026-06-17T00:00:00"/>
    <n v="26.16"/>
    <x v="1"/>
    <m/>
    <x v="2"/>
    <x v="0"/>
    <s v="17/jun"/>
    <s v=""/>
    <s v=""/>
    <n v="1"/>
  </r>
  <r>
    <x v="25"/>
    <d v="2026-06-30T11:02:14"/>
    <x v="0"/>
    <n v="63681191"/>
    <n v="367087190000"/>
    <s v="4-806-2112"/>
    <s v="Fijo"/>
    <x v="0"/>
    <x v="1"/>
    <s v="Desempleada"/>
    <m/>
    <m/>
    <s v="no"/>
    <m/>
    <m/>
    <x v="0"/>
    <m/>
    <x v="0"/>
    <x v="0"/>
    <s v=""/>
    <s v=""/>
    <s v=""/>
    <s v=""/>
  </r>
  <r>
    <x v="25"/>
    <d v="2026-06-30T11:14:19"/>
    <x v="0"/>
    <n v="64116969"/>
    <n v="361081290000"/>
    <s v="8-1060-1070"/>
    <s v="Fijo"/>
    <x v="0"/>
    <x v="1"/>
    <m/>
    <d v="2026-06-13T00:00:00"/>
    <n v="41.03"/>
    <s v="no"/>
    <m/>
    <m/>
    <x v="1"/>
    <m/>
    <x v="0"/>
    <x v="1"/>
    <s v=""/>
    <s v="13/jun"/>
    <n v="1"/>
    <s v=""/>
  </r>
  <r>
    <x v="25"/>
    <d v="2026-06-30T11:18:51"/>
    <x v="0"/>
    <n v="63275548"/>
    <n v="364082950000"/>
    <s v="4-202-486"/>
    <s v="Fijo"/>
    <x v="0"/>
    <x v="2"/>
    <m/>
    <m/>
    <m/>
    <s v="no"/>
    <m/>
    <m/>
    <x v="1"/>
    <m/>
    <x v="0"/>
    <x v="0"/>
    <s v=""/>
    <s v=""/>
    <s v=""/>
    <s v=""/>
  </r>
  <r>
    <x v="25"/>
    <d v="2026-06-30T11:22:01"/>
    <x v="0"/>
    <n v="69673404"/>
    <n v="368087860000"/>
    <s v="4-734-1953"/>
    <s v="Fijo"/>
    <x v="0"/>
    <x v="2"/>
    <m/>
    <m/>
    <m/>
    <s v="no"/>
    <m/>
    <m/>
    <x v="1"/>
    <m/>
    <x v="0"/>
    <x v="0"/>
    <s v=""/>
    <s v=""/>
    <s v=""/>
    <s v=""/>
  </r>
  <r>
    <x v="25"/>
    <d v="2026-06-30T11:27:41"/>
    <x v="0"/>
    <n v="69610059"/>
    <n v="367086720000"/>
    <s v="1-737-172"/>
    <s v="Fijo"/>
    <x v="0"/>
    <x v="2"/>
    <m/>
    <m/>
    <m/>
    <s v="no"/>
    <m/>
    <m/>
    <x v="1"/>
    <m/>
    <x v="0"/>
    <x v="0"/>
    <s v=""/>
    <s v=""/>
    <s v=""/>
    <s v=""/>
  </r>
  <r>
    <x v="25"/>
    <d v="2026-06-30T11:33:11"/>
    <x v="0"/>
    <n v="66377244"/>
    <n v="366087200000"/>
    <s v="4-93-544"/>
    <s v="Fijo"/>
    <x v="0"/>
    <x v="2"/>
    <m/>
    <m/>
    <m/>
    <s v="no"/>
    <m/>
    <m/>
    <x v="1"/>
    <m/>
    <x v="0"/>
    <x v="0"/>
    <s v=""/>
    <s v=""/>
    <s v=""/>
    <s v=""/>
  </r>
  <r>
    <x v="25"/>
    <d v="2026-06-30T11:37:30"/>
    <x v="0"/>
    <n v="60671625"/>
    <n v="367084500000"/>
    <s v="8-367-528"/>
    <s v="Fijo"/>
    <x v="0"/>
    <x v="3"/>
    <m/>
    <d v="2026-07-11T00:00:00"/>
    <n v="30"/>
    <s v="no"/>
    <m/>
    <m/>
    <x v="1"/>
    <m/>
    <x v="0"/>
    <x v="2"/>
    <s v=""/>
    <s v="11/jul"/>
    <n v="1"/>
    <s v=""/>
  </r>
  <r>
    <x v="25"/>
    <d v="2026-06-30T11:44:56"/>
    <x v="0"/>
    <n v="61417398"/>
    <n v="361088230000"/>
    <s v="8-894-968"/>
    <s v="Fijo"/>
    <x v="0"/>
    <x v="5"/>
    <m/>
    <m/>
    <m/>
    <s v="si"/>
    <d v="2026-06-16T00:00:00"/>
    <n v="30.44"/>
    <x v="1"/>
    <m/>
    <x v="2"/>
    <x v="0"/>
    <s v="16/jun"/>
    <s v=""/>
    <s v=""/>
    <n v="1"/>
  </r>
  <r>
    <x v="25"/>
    <d v="2026-06-30T11:49:28"/>
    <x v="0"/>
    <n v="68504378"/>
    <n v="297005750000"/>
    <s v="9-198-677"/>
    <s v="Fijo"/>
    <x v="0"/>
    <x v="1"/>
    <m/>
    <d v="2026-07-15T00:00:00"/>
    <n v="30.44"/>
    <s v="no"/>
    <m/>
    <m/>
    <x v="1"/>
    <m/>
    <x v="0"/>
    <x v="2"/>
    <s v=""/>
    <s v="15/jul"/>
    <n v="1"/>
    <s v=""/>
  </r>
  <r>
    <x v="25"/>
    <d v="2026-06-30T13:01:24"/>
    <x v="0"/>
    <n v="66975549"/>
    <n v="367089590000"/>
    <s v="077174440"/>
    <s v="Fijo"/>
    <x v="0"/>
    <x v="7"/>
    <m/>
    <m/>
    <m/>
    <s v="no"/>
    <m/>
    <m/>
    <x v="0"/>
    <m/>
    <x v="0"/>
    <x v="0"/>
    <s v=""/>
    <s v=""/>
    <s v=""/>
    <s v=""/>
  </r>
  <r>
    <x v="25"/>
    <d v="2026-06-30T13:03:26"/>
    <x v="0"/>
    <n v="67899021"/>
    <n v="356066760000"/>
    <s v="8-832-2017"/>
    <s v="Fijo"/>
    <x v="0"/>
    <x v="2"/>
    <m/>
    <m/>
    <m/>
    <s v="no"/>
    <m/>
    <m/>
    <x v="1"/>
    <m/>
    <x v="0"/>
    <x v="0"/>
    <s v=""/>
    <s v=""/>
    <s v=""/>
    <s v=""/>
  </r>
  <r>
    <x v="25"/>
    <d v="2026-06-30T14:22:31"/>
    <x v="0"/>
    <n v="66433210"/>
    <n v="362085620000"/>
    <s v="8-998-1337"/>
    <s v="Fijo"/>
    <x v="0"/>
    <x v="1"/>
    <m/>
    <m/>
    <m/>
    <s v="no"/>
    <m/>
    <m/>
    <x v="1"/>
    <m/>
    <x v="0"/>
    <x v="0"/>
    <s v=""/>
    <s v=""/>
    <s v=""/>
    <s v=""/>
  </r>
  <r>
    <x v="25"/>
    <d v="2026-06-30T14:30:17"/>
    <x v="0"/>
    <n v="65590531"/>
    <n v="363086480000"/>
    <s v="8-523-1886"/>
    <s v="Fijo"/>
    <x v="0"/>
    <x v="5"/>
    <m/>
    <m/>
    <m/>
    <s v="si"/>
    <d v="2026-06-17T00:00:00"/>
    <n v="42.41"/>
    <x v="1"/>
    <m/>
    <x v="2"/>
    <x v="0"/>
    <s v="17/jun"/>
    <s v=""/>
    <s v=""/>
    <n v="1"/>
  </r>
  <r>
    <x v="25"/>
    <d v="2026-06-30T14:32:10"/>
    <x v="0"/>
    <n v="65138270"/>
    <n v="368087510000"/>
    <s v="_x0009_8-855-2111"/>
    <s v="Fijo"/>
    <x v="0"/>
    <x v="2"/>
    <m/>
    <m/>
    <m/>
    <s v="no"/>
    <m/>
    <m/>
    <x v="1"/>
    <m/>
    <x v="0"/>
    <x v="0"/>
    <s v=""/>
    <s v=""/>
    <s v=""/>
    <s v=""/>
  </r>
  <r>
    <x v="25"/>
    <d v="2026-06-30T14:40:19"/>
    <x v="0"/>
    <n v="64796456"/>
    <n v="341308460000"/>
    <s v="8-529-577"/>
    <s v="Fijo"/>
    <x v="0"/>
    <x v="1"/>
    <m/>
    <m/>
    <m/>
    <s v="no"/>
    <m/>
    <m/>
    <x v="1"/>
    <m/>
    <x v="0"/>
    <x v="0"/>
    <s v=""/>
    <s v=""/>
    <s v=""/>
    <s v=""/>
  </r>
  <r>
    <x v="25"/>
    <d v="2026-06-30T14:43:04"/>
    <x v="0"/>
    <n v="60255440"/>
    <n v="366087720000"/>
    <s v="8-962-2142"/>
    <s v="Fijo"/>
    <x v="0"/>
    <x v="2"/>
    <m/>
    <m/>
    <m/>
    <s v="no"/>
    <m/>
    <m/>
    <x v="0"/>
    <m/>
    <x v="0"/>
    <x v="0"/>
    <s v=""/>
    <s v=""/>
    <s v=""/>
    <s v=""/>
  </r>
  <r>
    <x v="25"/>
    <d v="2026-06-30T14:46:49"/>
    <x v="0"/>
    <n v="62888265"/>
    <n v="364086480000"/>
    <s v="8-968-2417"/>
    <s v="Fijo"/>
    <x v="0"/>
    <x v="2"/>
    <m/>
    <m/>
    <m/>
    <s v="no"/>
    <m/>
    <m/>
    <x v="1"/>
    <m/>
    <x v="0"/>
    <x v="0"/>
    <s v=""/>
    <s v=""/>
    <s v=""/>
    <s v=""/>
  </r>
  <r>
    <x v="25"/>
    <d v="2026-06-30T14:52:58"/>
    <x v="0"/>
    <n v="63655403"/>
    <n v="357332780000"/>
    <s v="2-716-1633"/>
    <s v="Fijo"/>
    <x v="0"/>
    <x v="1"/>
    <m/>
    <m/>
    <m/>
    <s v="no"/>
    <m/>
    <m/>
    <x v="1"/>
    <m/>
    <x v="0"/>
    <x v="0"/>
    <s v=""/>
    <s v=""/>
    <s v=""/>
    <s v=""/>
  </r>
  <r>
    <x v="25"/>
    <d v="2026-06-30T14:56:28"/>
    <x v="0"/>
    <n v="66012040"/>
    <n v="365086980000"/>
    <s v="8-968-983"/>
    <s v="Fijo"/>
    <x v="0"/>
    <x v="0"/>
    <m/>
    <m/>
    <m/>
    <s v="no"/>
    <m/>
    <m/>
    <x v="1"/>
    <m/>
    <x v="0"/>
    <x v="0"/>
    <s v=""/>
    <s v=""/>
    <s v=""/>
    <s v=""/>
  </r>
  <r>
    <x v="25"/>
    <d v="2026-06-30T15:02:06"/>
    <x v="0"/>
    <n v="65754521"/>
    <n v="366087030000"/>
    <s v="C02251306"/>
    <s v="Fijo"/>
    <x v="2"/>
    <x v="5"/>
    <m/>
    <m/>
    <m/>
    <s v="si"/>
    <d v="2026-06-22T00:00:00"/>
    <n v="40.5"/>
    <x v="1"/>
    <m/>
    <x v="2"/>
    <x v="0"/>
    <s v="22/jun"/>
    <s v=""/>
    <s v=""/>
    <n v="1"/>
  </r>
  <r>
    <x v="25"/>
    <d v="2026-06-30T15:07:32"/>
    <x v="0"/>
    <n v="68661093"/>
    <n v="367089510000"/>
    <s v="8-740-1983"/>
    <s v="Fijo"/>
    <x v="2"/>
    <x v="5"/>
    <m/>
    <m/>
    <m/>
    <s v="si"/>
    <d v="2026-06-23T00:00:00"/>
    <n v="41"/>
    <x v="1"/>
    <m/>
    <x v="2"/>
    <x v="0"/>
    <s v="23/jun"/>
    <s v=""/>
    <s v=""/>
    <n v="1"/>
  </r>
  <r>
    <x v="25"/>
    <d v="2026-06-30T15:16:36"/>
    <x v="0"/>
    <n v="68261639"/>
    <n v="365088970000"/>
    <s v="9-717-333"/>
    <s v="Fijo"/>
    <x v="2"/>
    <x v="5"/>
    <m/>
    <m/>
    <m/>
    <s v="si"/>
    <d v="2026-06-25T00:00:00"/>
    <n v="61.9"/>
    <x v="1"/>
    <m/>
    <x v="2"/>
    <x v="0"/>
    <s v="25/jun"/>
    <s v=""/>
    <s v=""/>
    <n v="1"/>
  </r>
  <r>
    <x v="25"/>
    <d v="2026-06-30T15:19:23"/>
    <x v="0"/>
    <n v="63243215"/>
    <n v="363089020000"/>
    <n v="125430843"/>
    <s v="Fijo"/>
    <x v="0"/>
    <x v="2"/>
    <m/>
    <m/>
    <m/>
    <s v="no"/>
    <m/>
    <m/>
    <x v="1"/>
    <m/>
    <x v="0"/>
    <x v="0"/>
    <s v=""/>
    <s v=""/>
    <s v=""/>
    <s v=""/>
  </r>
  <r>
    <x v="25"/>
    <d v="2026-06-30T15:21:52"/>
    <x v="0"/>
    <n v="64329400"/>
    <n v="308071710000"/>
    <s v="8-771-655"/>
    <s v="Fijo"/>
    <x v="0"/>
    <x v="2"/>
    <m/>
    <m/>
    <m/>
    <s v="no"/>
    <m/>
    <m/>
    <x v="1"/>
    <m/>
    <x v="0"/>
    <x v="0"/>
    <s v=""/>
    <s v=""/>
    <s v=""/>
    <s v=""/>
  </r>
  <r>
    <x v="25"/>
    <d v="2026-06-30T15:26:02"/>
    <x v="0"/>
    <n v="66828323"/>
    <n v="365088610000"/>
    <s v="8-916-2147"/>
    <s v="Fijo"/>
    <x v="3"/>
    <x v="1"/>
    <m/>
    <d v="2026-07-03T00:00:00"/>
    <n v="25.25"/>
    <s v="no"/>
    <m/>
    <m/>
    <x v="1"/>
    <m/>
    <x v="0"/>
    <x v="2"/>
    <s v=""/>
    <s v="03/jul"/>
    <n v="1"/>
    <s v=""/>
  </r>
  <r>
    <x v="25"/>
    <d v="2026-06-30T15:28:57"/>
    <x v="0"/>
    <n v="67718075"/>
    <n v="367089020000"/>
    <s v="7-105-486"/>
    <s v="Fijo"/>
    <x v="3"/>
    <x v="1"/>
    <m/>
    <m/>
    <m/>
    <s v="no"/>
    <m/>
    <m/>
    <x v="1"/>
    <m/>
    <x v="0"/>
    <x v="0"/>
    <s v=""/>
    <s v=""/>
    <s v=""/>
    <s v=""/>
  </r>
  <r>
    <x v="25"/>
    <d v="2026-06-30T16:56:59"/>
    <x v="0"/>
    <n v="68905432"/>
    <n v="365087870000"/>
    <s v="8-1043-1841"/>
    <s v="Fijo"/>
    <x v="0"/>
    <x v="2"/>
    <m/>
    <m/>
    <m/>
    <s v="no"/>
    <m/>
    <m/>
    <x v="1"/>
    <m/>
    <x v="0"/>
    <x v="0"/>
    <s v=""/>
    <s v=""/>
    <s v=""/>
    <s v=""/>
  </r>
  <r>
    <x v="25"/>
    <d v="2026-06-30T17:00:09"/>
    <x v="0"/>
    <n v="63899038"/>
    <n v="368087310000"/>
    <s v="8-230-922"/>
    <s v="Fijo"/>
    <x v="0"/>
    <x v="2"/>
    <m/>
    <m/>
    <m/>
    <s v="no"/>
    <m/>
    <m/>
    <x v="1"/>
    <m/>
    <x v="0"/>
    <x v="0"/>
    <s v=""/>
    <s v=""/>
    <s v=""/>
    <s v=""/>
  </r>
  <r>
    <x v="25"/>
    <d v="2026-06-30T17:02:50"/>
    <x v="0"/>
    <n v="66449124"/>
    <n v="364089980000"/>
    <s v="7-72-1250"/>
    <s v="Fijo"/>
    <x v="0"/>
    <x v="0"/>
    <m/>
    <m/>
    <m/>
    <s v="no"/>
    <m/>
    <m/>
    <x v="1"/>
    <m/>
    <x v="0"/>
    <x v="0"/>
    <s v=""/>
    <s v=""/>
    <s v=""/>
    <s v=""/>
  </r>
  <r>
    <x v="25"/>
    <d v="2026-06-30T17:10:47"/>
    <x v="0"/>
    <n v="64129598"/>
    <n v="362087540000"/>
    <s v="4-808-763"/>
    <s v="Fijo"/>
    <x v="0"/>
    <x v="1"/>
    <m/>
    <m/>
    <m/>
    <s v="no"/>
    <m/>
    <m/>
    <x v="1"/>
    <s v="Vence factura el 13 de Julio."/>
    <x v="0"/>
    <x v="0"/>
    <s v=""/>
    <s v=""/>
    <s v=""/>
    <s v=""/>
  </r>
  <r>
    <x v="25"/>
    <d v="2026-06-30T17:18:59"/>
    <x v="0"/>
    <n v="60052404"/>
    <n v="343431870000"/>
    <s v="8-902-837"/>
    <s v="Fijo"/>
    <x v="4"/>
    <x v="5"/>
    <m/>
    <m/>
    <m/>
    <s v="si"/>
    <d v="2026-06-30T00:00:00"/>
    <n v="59.84"/>
    <x v="1"/>
    <s v="Cumple."/>
    <x v="2"/>
    <x v="0"/>
    <s v="30/jun"/>
    <s v=""/>
    <s v=""/>
    <n v="1"/>
  </r>
  <r>
    <x v="25"/>
    <d v="2026-06-30T17:25:16"/>
    <x v="0"/>
    <n v="67174056"/>
    <n v="361068780000"/>
    <s v="8-528-1807"/>
    <s v="Fijo"/>
    <x v="0"/>
    <x v="0"/>
    <m/>
    <m/>
    <m/>
    <s v="no"/>
    <m/>
    <m/>
    <x v="1"/>
    <m/>
    <x v="0"/>
    <x v="0"/>
    <s v=""/>
    <s v=""/>
    <s v=""/>
    <s v=""/>
  </r>
  <r>
    <x v="25"/>
    <d v="2026-06-30T17:31:31"/>
    <x v="0"/>
    <n v="69571449"/>
    <n v="364068650000"/>
    <s v="8-526-153"/>
    <s v="Fijo"/>
    <x v="0"/>
    <x v="0"/>
    <m/>
    <m/>
    <m/>
    <s v="no"/>
    <m/>
    <m/>
    <x v="1"/>
    <m/>
    <x v="0"/>
    <x v="0"/>
    <s v=""/>
    <s v=""/>
    <s v=""/>
    <s v=""/>
  </r>
  <r>
    <x v="25"/>
    <d v="2026-06-30T17:36:30"/>
    <x v="0"/>
    <n v="68485408"/>
    <n v="358071830000"/>
    <s v="8-918-1847"/>
    <s v="Fijo"/>
    <x v="0"/>
    <x v="5"/>
    <m/>
    <m/>
    <m/>
    <s v="si"/>
    <d v="2026-06-30T00:00:00"/>
    <n v="28.09"/>
    <x v="1"/>
    <s v="Cumple promesa."/>
    <x v="2"/>
    <x v="0"/>
    <s v="30/jun"/>
    <s v=""/>
    <s v=""/>
    <n v="1"/>
  </r>
  <r>
    <x v="25"/>
    <d v="2026-06-30T17:44:54"/>
    <x v="0"/>
    <n v="65726372"/>
    <n v="361076360000"/>
    <s v="4-265-175"/>
    <s v="Fijo"/>
    <x v="0"/>
    <x v="5"/>
    <m/>
    <m/>
    <m/>
    <s v="si"/>
    <d v="2026-06-30T00:00:00"/>
    <n v="39.75"/>
    <x v="1"/>
    <s v="Cumple pago. (Se cerro form)."/>
    <x v="2"/>
    <x v="0"/>
    <s v="30/jun"/>
    <s v=""/>
    <s v=""/>
    <n v="1"/>
  </r>
  <r>
    <x v="25"/>
    <d v="2026-06-30T17:49:59"/>
    <x v="0"/>
    <n v="67546593"/>
    <n v="363087400000"/>
    <s v="8-407-419"/>
    <s v="Fijo"/>
    <x v="0"/>
    <x v="5"/>
    <m/>
    <m/>
    <m/>
    <s v="si"/>
    <d v="2026-06-29T00:00:00"/>
    <n v="36.020000000000003"/>
    <x v="1"/>
    <s v="Cumple promesa."/>
    <x v="2"/>
    <x v="0"/>
    <s v="29/jun"/>
    <s v=""/>
    <s v=""/>
    <n v="1"/>
  </r>
  <r>
    <x v="25"/>
    <d v="2026-06-30T17:54:32"/>
    <x v="0"/>
    <n v="60991112"/>
    <n v="361066190000"/>
    <s v="5-716-1077"/>
    <s v="Fijo"/>
    <x v="3"/>
    <x v="5"/>
    <m/>
    <m/>
    <m/>
    <s v="si"/>
    <d v="2026-06-29T00:00:00"/>
    <n v="25.25"/>
    <x v="2"/>
    <m/>
    <x v="2"/>
    <x v="0"/>
    <s v="29/jun"/>
    <s v=""/>
    <s v=""/>
    <n v="1"/>
  </r>
  <r>
    <x v="25"/>
    <d v="2026-06-30T17:59:51"/>
    <x v="0"/>
    <n v="69713828"/>
    <n v="348078040000"/>
    <s v="8-933-2242"/>
    <s v="Fijo"/>
    <x v="0"/>
    <x v="5"/>
    <m/>
    <m/>
    <m/>
    <s v="si"/>
    <d v="2026-06-30T00:00:00"/>
    <n v="30.99"/>
    <x v="1"/>
    <s v="Cumple promesa."/>
    <x v="2"/>
    <x v="0"/>
    <s v="30/jun"/>
    <s v=""/>
    <s v=""/>
    <n v="1"/>
  </r>
  <r>
    <x v="25"/>
    <d v="2026-06-30T18:06:36"/>
    <x v="0"/>
    <n v="68599182"/>
    <n v="363084830000"/>
    <s v="8-852-1681"/>
    <s v="Fijo"/>
    <x v="0"/>
    <x v="2"/>
    <m/>
    <m/>
    <m/>
    <s v="no"/>
    <m/>
    <m/>
    <x v="1"/>
    <m/>
    <x v="0"/>
    <x v="0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0E7D6-BD5F-4CF3-8D99-6BE721E8EB04}" name="TablaDinámica11" cacheId="113" applyNumberFormats="0" applyBorderFormats="0" applyFontFormats="0" applyPatternFormats="0" applyAlignmentFormats="0" applyWidthHeightFormats="1" dataCaption="Valores" showMissing="0" updatedVersion="7" minRefreshableVersion="3" useAutoFormatting="1" itemPrintTitles="1" createdVersion="7" indent="0" outline="1" outlineData="1" multipleFieldFilters="0" rowHeaderCaption="Canal">
  <location ref="A16:C24" firstHeaderRow="0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4"/>
        <item m="1" x="9"/>
        <item x="0"/>
        <item m="1" x="8"/>
        <item x="5"/>
        <item x="6"/>
        <item x="2"/>
        <item x="1"/>
        <item m="1"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 Promesa de Pago" fld="11" baseField="0" baseItem="0" numFmtId="165"/>
    <dataField name=" Monto Recuperado" fld="14" baseField="0" baseItem="0"/>
  </dataFields>
  <formats count="13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dataOnly="0" labelOnly="1" outline="0" axis="axisValues" fieldPosition="0"/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6CD2-0E90-4FAE-A481-12F2463A2D12}">
  <sheetPr>
    <tabColor rgb="FF48CAE4"/>
  </sheetPr>
  <dimension ref="A1:I51"/>
  <sheetViews>
    <sheetView showGridLines="0" tabSelected="1" zoomScale="70" zoomScaleNormal="70" workbookViewId="0">
      <selection activeCell="P34" sqref="P34"/>
    </sheetView>
  </sheetViews>
  <sheetFormatPr baseColWidth="10" defaultRowHeight="14.5"/>
  <cols>
    <col min="1" max="1" width="22.90625" bestFit="1" customWidth="1"/>
    <col min="2" max="2" width="21.54296875" customWidth="1"/>
    <col min="3" max="3" width="23.90625" customWidth="1"/>
    <col min="4" max="4" width="23.08984375" customWidth="1"/>
    <col min="5" max="5" width="22.54296875" customWidth="1"/>
    <col min="6" max="6" width="19.6328125" customWidth="1"/>
    <col min="7" max="7" width="21.36328125" customWidth="1"/>
    <col min="8" max="8" width="25" customWidth="1"/>
    <col min="9" max="9" width="33.36328125" customWidth="1"/>
    <col min="10" max="10" width="22" customWidth="1"/>
  </cols>
  <sheetData>
    <row r="1" spans="1:9" ht="15" thickBot="1">
      <c r="A1" s="1"/>
      <c r="B1" s="1"/>
      <c r="C1" s="1"/>
      <c r="D1" s="1"/>
    </row>
    <row r="2" spans="1:9" ht="24" customHeight="1" thickBot="1">
      <c r="A2" s="2" t="s">
        <v>0</v>
      </c>
      <c r="B2" s="3"/>
      <c r="C2" s="3"/>
      <c r="D2" s="3"/>
      <c r="E2" s="3"/>
      <c r="F2" s="3"/>
      <c r="G2" s="4"/>
      <c r="H2" s="5" t="s">
        <v>1</v>
      </c>
      <c r="I2" s="6"/>
    </row>
    <row r="3" spans="1:9" ht="15" thickBot="1">
      <c r="A3" s="7"/>
      <c r="B3" s="8"/>
      <c r="C3" s="8"/>
      <c r="D3" s="8"/>
      <c r="E3" s="8"/>
      <c r="F3" s="8"/>
      <c r="G3" s="9"/>
      <c r="H3" s="10" t="s">
        <v>2</v>
      </c>
      <c r="I3" s="11" t="s">
        <v>3</v>
      </c>
    </row>
    <row r="4" spans="1:9">
      <c r="A4" s="12"/>
      <c r="B4" s="12"/>
      <c r="C4" s="12"/>
      <c r="D4" s="12"/>
      <c r="E4" s="12"/>
      <c r="F4" s="12"/>
      <c r="G4" s="13"/>
      <c r="H4" s="14" t="s">
        <v>4</v>
      </c>
      <c r="I4" s="15">
        <f>datos!B33</f>
        <v>3566</v>
      </c>
    </row>
    <row r="5" spans="1:9">
      <c r="A5" s="16"/>
      <c r="B5" s="16"/>
      <c r="C5" s="16"/>
      <c r="D5" s="16"/>
      <c r="E5" s="16"/>
      <c r="F5" s="16"/>
      <c r="G5" s="17"/>
      <c r="H5" s="18" t="s">
        <v>5</v>
      </c>
      <c r="I5" s="15">
        <f>datos!B34</f>
        <v>831</v>
      </c>
    </row>
    <row r="6" spans="1:9">
      <c r="A6" s="16"/>
      <c r="B6" s="16"/>
      <c r="C6" s="16"/>
      <c r="D6" s="16"/>
      <c r="E6" s="16"/>
      <c r="F6" s="16"/>
      <c r="G6" s="17"/>
      <c r="H6" s="18" t="s">
        <v>6</v>
      </c>
      <c r="I6" s="15">
        <f>datos!B35</f>
        <v>940</v>
      </c>
    </row>
    <row r="7" spans="1:9">
      <c r="A7" s="16"/>
      <c r="B7" s="16"/>
      <c r="C7" s="16"/>
      <c r="D7" s="16"/>
      <c r="E7" s="16"/>
      <c r="F7" s="16"/>
      <c r="G7" s="17"/>
      <c r="H7" s="18" t="s">
        <v>7</v>
      </c>
      <c r="I7" s="15">
        <f>datos!B36</f>
        <v>181</v>
      </c>
    </row>
    <row r="8" spans="1:9" ht="15" thickBot="1">
      <c r="A8" s="16"/>
      <c r="B8" s="16"/>
      <c r="C8" s="16"/>
      <c r="D8" s="16"/>
      <c r="E8" s="16"/>
      <c r="F8" s="16"/>
      <c r="G8" s="17"/>
      <c r="H8" s="19" t="s">
        <v>8</v>
      </c>
      <c r="I8" s="20">
        <f>datos!B37</f>
        <v>100</v>
      </c>
    </row>
    <row r="9" spans="1:9">
      <c r="A9" s="16"/>
      <c r="B9" s="16"/>
      <c r="C9" s="16"/>
      <c r="D9" s="16"/>
      <c r="E9" s="16"/>
      <c r="F9" s="16"/>
      <c r="G9" s="17"/>
      <c r="H9" s="21"/>
      <c r="I9" s="22"/>
    </row>
    <row r="10" spans="1:9">
      <c r="A10" s="16"/>
      <c r="B10" s="16"/>
      <c r="C10" s="16"/>
      <c r="D10" s="16"/>
      <c r="E10" s="16"/>
      <c r="F10" s="16"/>
      <c r="G10" s="17"/>
      <c r="H10" s="23"/>
      <c r="I10" s="24"/>
    </row>
    <row r="11" spans="1:9" ht="15" thickBot="1">
      <c r="A11" s="25"/>
      <c r="B11" s="25"/>
      <c r="C11" s="25"/>
      <c r="D11" s="25"/>
      <c r="E11" s="25"/>
      <c r="F11" s="25"/>
      <c r="G11" s="26"/>
      <c r="H11" s="23"/>
      <c r="I11" s="20"/>
    </row>
    <row r="12" spans="1:9" ht="21.5" thickBot="1">
      <c r="A12" s="27" t="s">
        <v>9</v>
      </c>
      <c r="B12" s="28"/>
      <c r="C12" s="29" t="s">
        <v>10</v>
      </c>
      <c r="D12" s="30"/>
      <c r="E12" s="31"/>
      <c r="F12" s="32" t="s">
        <v>11</v>
      </c>
      <c r="G12" s="32"/>
      <c r="H12" s="33"/>
      <c r="I12" s="17"/>
    </row>
    <row r="13" spans="1:9" ht="15" customHeight="1" thickBot="1">
      <c r="A13" s="34" t="s">
        <v>12</v>
      </c>
      <c r="B13" s="35">
        <v>1</v>
      </c>
      <c r="C13" s="36" t="s">
        <v>13</v>
      </c>
      <c r="D13" s="36" t="s">
        <v>14</v>
      </c>
      <c r="E13" s="37" t="s">
        <v>15</v>
      </c>
      <c r="F13" s="38">
        <f>B20/B14</f>
        <v>5.0757150869321366E-2</v>
      </c>
      <c r="G13" s="38"/>
      <c r="H13" s="33"/>
      <c r="I13" s="17"/>
    </row>
    <row r="14" spans="1:9" ht="15" customHeight="1">
      <c r="A14" s="39" t="s">
        <v>16</v>
      </c>
      <c r="B14" s="40">
        <f>datos!B4</f>
        <v>3566</v>
      </c>
      <c r="C14" s="41" t="s">
        <v>17</v>
      </c>
      <c r="D14" s="42">
        <f>+IFERROR(_xlfn.XLOOKUP(C14,datos!A16:A23,datos!B16:B23,,0),0)</f>
        <v>831.1</v>
      </c>
      <c r="E14" s="43">
        <f>+IFERROR(_xlfn.XLOOKUP(C14,datos!A16:A23,datos!C16:C23,,0),0)</f>
        <v>788.27000000000021</v>
      </c>
      <c r="F14" s="44"/>
      <c r="G14" s="44"/>
      <c r="H14" s="33"/>
      <c r="I14" s="17"/>
    </row>
    <row r="15" spans="1:9" ht="15" customHeight="1">
      <c r="A15" s="39" t="s">
        <v>18</v>
      </c>
      <c r="B15" s="45">
        <f>datos!B5</f>
        <v>6890.0400000000009</v>
      </c>
      <c r="C15" s="46" t="s">
        <v>19</v>
      </c>
      <c r="D15" s="42">
        <f>+IFERROR(_xlfn.XLOOKUP(C15,datos!A17:A24,datos!B17:B24,,0),0)</f>
        <v>511.71000000000004</v>
      </c>
      <c r="E15" s="43">
        <f>+IFERROR(_xlfn.XLOOKUP(C15,datos!A17:A24,datos!C17:C24,,0),0)</f>
        <v>482.34000000000003</v>
      </c>
      <c r="F15" s="44"/>
      <c r="G15" s="44"/>
      <c r="H15" s="33"/>
      <c r="I15" s="17"/>
    </row>
    <row r="16" spans="1:9" ht="15" customHeight="1">
      <c r="A16" s="39" t="s">
        <v>20</v>
      </c>
      <c r="B16" s="45">
        <f>datos!B6</f>
        <v>8084.35</v>
      </c>
      <c r="C16" s="46" t="s">
        <v>21</v>
      </c>
      <c r="D16" s="42">
        <f>+IFERROR(_xlfn.XLOOKUP(C16,datos!A18:A25,datos!B18:B25,,0),0)</f>
        <v>0</v>
      </c>
      <c r="E16" s="43">
        <f>+IFERROR(_xlfn.XLOOKUP(C16,datos!A18:A25,datos!C18:C25,,0),0)</f>
        <v>0</v>
      </c>
      <c r="F16" s="44"/>
      <c r="G16" s="44"/>
      <c r="H16" s="33"/>
      <c r="I16" s="17"/>
    </row>
    <row r="17" spans="1:9" ht="15" customHeight="1">
      <c r="A17" s="39" t="s">
        <v>22</v>
      </c>
      <c r="B17" s="47">
        <f>datos!B7</f>
        <v>1.1733386163215307</v>
      </c>
      <c r="C17" s="46" t="s">
        <v>23</v>
      </c>
      <c r="D17" s="42">
        <f>+IFERROR(_xlfn.XLOOKUP(C17,datos!A19:A26,datos!B19:B26,,0),0)</f>
        <v>4552.24</v>
      </c>
      <c r="E17" s="43">
        <f>+IFERROR(_xlfn.XLOOKUP(C17,datos!A19:A26,datos!C19:C26,,0),0)</f>
        <v>4881.6100000000006</v>
      </c>
      <c r="F17" s="44"/>
      <c r="G17" s="44"/>
      <c r="H17" s="33"/>
      <c r="I17" s="17"/>
    </row>
    <row r="18" spans="1:9" ht="15.75" customHeight="1" thickBot="1">
      <c r="A18" s="39" t="s">
        <v>24</v>
      </c>
      <c r="B18" s="47">
        <f>datos!B8</f>
        <v>0.43538675312644742</v>
      </c>
      <c r="C18" s="46" t="s">
        <v>25</v>
      </c>
      <c r="D18" s="42">
        <f>+IFERROR(_xlfn.XLOOKUP(C18,datos!A20:A27,datos!B20:B27,,0),0)</f>
        <v>0</v>
      </c>
      <c r="E18" s="43">
        <f>+IFERROR(_xlfn.XLOOKUP(C18,datos!A20:A27,datos!C20:C27,,0),0)</f>
        <v>0</v>
      </c>
      <c r="F18" s="48"/>
      <c r="G18" s="48"/>
      <c r="H18" s="33"/>
      <c r="I18" s="17"/>
    </row>
    <row r="19" spans="1:9" ht="19.5" customHeight="1" thickBot="1">
      <c r="A19" s="39" t="s">
        <v>26</v>
      </c>
      <c r="B19" s="47">
        <f>datos!B9</f>
        <v>0.84893617021276591</v>
      </c>
      <c r="C19" s="46" t="s">
        <v>27</v>
      </c>
      <c r="D19" s="42">
        <f>+IFERROR(_xlfn.XLOOKUP(C19,datos!A21:A28,datos!B21:B28,,0),0)</f>
        <v>0</v>
      </c>
      <c r="E19" s="43">
        <f>+IFERROR(_xlfn.XLOOKUP(C19,datos!A21:A28,datos!C21:C28,,0),0)</f>
        <v>0</v>
      </c>
      <c r="F19" s="32" t="s">
        <v>28</v>
      </c>
      <c r="G19" s="32"/>
      <c r="H19" s="33"/>
      <c r="I19" s="17"/>
    </row>
    <row r="20" spans="1:9" ht="15" customHeight="1">
      <c r="A20" s="39" t="s">
        <v>7</v>
      </c>
      <c r="B20" s="49">
        <f>datos!B10</f>
        <v>181</v>
      </c>
      <c r="C20" s="46" t="s">
        <v>29</v>
      </c>
      <c r="D20" s="42">
        <f>+IFERROR(_xlfn.XLOOKUP(C20,datos!A21:A29,datos!B21:B29,,0),0)</f>
        <v>30.53</v>
      </c>
      <c r="E20" s="43">
        <f>+IFERROR(_xlfn.XLOOKUP(C20,datos!A21:A29,datos!C21:C29,,0),0)</f>
        <v>61.47</v>
      </c>
      <c r="F20" s="50">
        <f>B21/B14</f>
        <v>2.8042624789680313E-2</v>
      </c>
      <c r="G20" s="50"/>
      <c r="H20" s="33"/>
      <c r="I20" s="17"/>
    </row>
    <row r="21" spans="1:9" ht="15" customHeight="1">
      <c r="A21" s="39" t="s">
        <v>30</v>
      </c>
      <c r="B21" s="40">
        <f>datos!B11</f>
        <v>100</v>
      </c>
      <c r="C21" s="51" t="s">
        <v>31</v>
      </c>
      <c r="D21" s="42">
        <f>GETPIVOTDATA(" Promesa de Pago",datos!$A$16,"Canal","Soho")</f>
        <v>855.18999999999994</v>
      </c>
      <c r="E21" s="43">
        <f>GETPIVOTDATA(" Monto Recuperado",datos!$A$16,"Canal","Soho")</f>
        <v>1604.6900000000003</v>
      </c>
      <c r="F21" s="52"/>
      <c r="G21" s="52"/>
      <c r="H21" s="33"/>
      <c r="I21" s="17"/>
    </row>
    <row r="22" spans="1:9" ht="15" customHeight="1">
      <c r="A22" s="39" t="s">
        <v>32</v>
      </c>
      <c r="B22" s="47">
        <f>datos!B12</f>
        <v>0.5524861878453039</v>
      </c>
      <c r="C22" s="51" t="s">
        <v>33</v>
      </c>
      <c r="D22" s="42">
        <f>GETPIVOTDATA(" Promesa de Pago",datos!$A$16,"Canal","Soho -Callcenter")</f>
        <v>109.27000000000001</v>
      </c>
      <c r="E22" s="43">
        <f>+IFERROR(_xlfn.XLOOKUP(C22,datos!A23:A31,datos!C23:C31,,0),0)</f>
        <v>265.96999999999997</v>
      </c>
      <c r="F22" s="52"/>
      <c r="G22" s="52"/>
      <c r="H22" s="33"/>
      <c r="I22" s="17"/>
    </row>
    <row r="23" spans="1:9" ht="15.75" customHeight="1" thickBot="1">
      <c r="A23" s="53"/>
      <c r="B23" s="54"/>
      <c r="C23" s="55" t="s">
        <v>34</v>
      </c>
      <c r="D23" s="56">
        <f>SUM(D14:D22)</f>
        <v>6890.0399999999991</v>
      </c>
      <c r="E23" s="57">
        <f>SUM(E14:E22)</f>
        <v>8084.3500000000022</v>
      </c>
      <c r="F23" s="58"/>
      <c r="G23" s="58"/>
      <c r="H23" s="59"/>
      <c r="I23" s="26"/>
    </row>
    <row r="24" spans="1:9" ht="5.25" customHeight="1" thickBot="1">
      <c r="A24" s="60"/>
      <c r="B24" s="61"/>
      <c r="C24" s="62"/>
      <c r="D24" s="62"/>
      <c r="E24" s="62"/>
      <c r="F24" s="63"/>
      <c r="G24" s="63"/>
      <c r="H24" s="64"/>
      <c r="I24" s="64"/>
    </row>
    <row r="25" spans="1:9" ht="24" thickBot="1">
      <c r="A25" s="65" t="s">
        <v>35</v>
      </c>
      <c r="B25" s="66"/>
      <c r="C25" s="66"/>
      <c r="D25" s="66"/>
      <c r="E25" s="66"/>
      <c r="F25" s="66"/>
      <c r="G25" s="67"/>
    </row>
    <row r="26" spans="1:9" ht="18" customHeight="1" thickBot="1">
      <c r="A26" s="68" t="s">
        <v>36</v>
      </c>
      <c r="B26" s="69" t="s">
        <v>37</v>
      </c>
      <c r="C26" s="69" t="s">
        <v>38</v>
      </c>
      <c r="D26" s="69" t="s">
        <v>22</v>
      </c>
      <c r="E26" s="69" t="s">
        <v>7</v>
      </c>
      <c r="F26" s="69" t="s">
        <v>39</v>
      </c>
      <c r="G26" s="70" t="s">
        <v>40</v>
      </c>
    </row>
    <row r="27" spans="1:9" ht="15" customHeight="1">
      <c r="A27" s="71" t="s">
        <v>41</v>
      </c>
      <c r="B27" s="72">
        <f>datos!B27</f>
        <v>3566</v>
      </c>
      <c r="C27" s="73">
        <f>datos!C27</f>
        <v>298</v>
      </c>
      <c r="D27" s="74">
        <f>datos!D27</f>
        <v>8.3567021873247341E-2</v>
      </c>
      <c r="E27" s="75">
        <f>datos!E27</f>
        <v>6890.0400000000009</v>
      </c>
      <c r="F27" s="75">
        <f>datos!F27</f>
        <v>8084.35</v>
      </c>
      <c r="G27" s="76">
        <f>datos!G27</f>
        <v>1.1733386163215307</v>
      </c>
    </row>
    <row r="28" spans="1:9" ht="15.75" customHeight="1" thickBot="1">
      <c r="A28" s="77" t="s">
        <v>42</v>
      </c>
      <c r="B28" s="78">
        <f>+SUM(B27:B27)</f>
        <v>3566</v>
      </c>
      <c r="C28" s="79">
        <f>+SUM(C27:C27)</f>
        <v>298</v>
      </c>
      <c r="D28" s="80">
        <f>+SUM(D27:D27)</f>
        <v>8.3567021873247341E-2</v>
      </c>
      <c r="E28" s="81">
        <f>+SUM(E27:E27)</f>
        <v>6890.0400000000009</v>
      </c>
      <c r="F28" s="81">
        <f>+SUM(F27:F27)</f>
        <v>8084.35</v>
      </c>
      <c r="G28" s="82">
        <f>AVERAGE(G27:G27)</f>
        <v>1.1733386163215307</v>
      </c>
    </row>
    <row r="29" spans="1:9" ht="24" thickBot="1">
      <c r="A29" s="83" t="s">
        <v>43</v>
      </c>
      <c r="B29" s="84"/>
      <c r="C29" s="84"/>
      <c r="D29" s="84"/>
      <c r="E29" s="84"/>
      <c r="F29" s="84"/>
      <c r="G29" s="84"/>
      <c r="H29" s="65" t="s">
        <v>44</v>
      </c>
      <c r="I29" s="67"/>
    </row>
    <row r="30" spans="1:9" ht="15.75" customHeight="1" thickBot="1">
      <c r="A30" s="85" t="s">
        <v>36</v>
      </c>
      <c r="B30" s="69" t="s">
        <v>45</v>
      </c>
      <c r="C30" s="69" t="s">
        <v>46</v>
      </c>
      <c r="D30" s="69" t="s">
        <v>26</v>
      </c>
      <c r="E30" s="86" t="s">
        <v>47</v>
      </c>
      <c r="F30" s="86" t="s">
        <v>48</v>
      </c>
      <c r="G30" s="87" t="s">
        <v>49</v>
      </c>
      <c r="H30" s="88"/>
      <c r="I30" s="89"/>
    </row>
    <row r="31" spans="1:9" ht="15" customHeight="1">
      <c r="A31" s="90" t="s">
        <v>41</v>
      </c>
      <c r="B31" s="91">
        <f>GETPIVOTDATA("Intentos",[1]analisis!$A$11,"full_name","Lili Velez")</f>
        <v>1814</v>
      </c>
      <c r="C31" s="35">
        <f>GETPIVOTDATA(" Connect",[1]analisis!$A$21,"full_name","Lili Velez")</f>
        <v>940</v>
      </c>
      <c r="D31" s="35">
        <f>GETPIVOTDATA(" RPC",[1]analisis!$A$21,"full_name","Lili Velez")</f>
        <v>798</v>
      </c>
      <c r="E31" s="35">
        <f>GETPIVOTDATA("Suma de Intentos de Promesas",[1]analisis!$G$34,"Agente ","Lili Velez")</f>
        <v>181</v>
      </c>
      <c r="F31" s="92">
        <f t="shared" ref="F31:F32" si="0">D31/C31</f>
        <v>0.84893617021276591</v>
      </c>
      <c r="G31" s="93">
        <f t="shared" ref="G31:G32" si="1">C31/B31</f>
        <v>0.51819184123484008</v>
      </c>
      <c r="H31" s="88"/>
      <c r="I31" s="89"/>
    </row>
    <row r="32" spans="1:9" ht="15.75" customHeight="1" thickBot="1">
      <c r="A32" s="77" t="s">
        <v>42</v>
      </c>
      <c r="B32" s="94">
        <f>+SUM(B31:B31)</f>
        <v>1814</v>
      </c>
      <c r="C32" s="95">
        <f>+SUM(C31:C31)</f>
        <v>940</v>
      </c>
      <c r="D32" s="95">
        <f>+SUM(D31:D31)</f>
        <v>798</v>
      </c>
      <c r="E32" s="95">
        <f>+SUM(E31:E31)</f>
        <v>181</v>
      </c>
      <c r="F32" s="96">
        <f t="shared" si="0"/>
        <v>0.84893617021276591</v>
      </c>
      <c r="G32" s="97">
        <f t="shared" si="1"/>
        <v>0.51819184123484008</v>
      </c>
      <c r="H32" s="88"/>
      <c r="I32" s="89"/>
    </row>
    <row r="33" spans="1:9" ht="21.75" customHeight="1" thickBot="1">
      <c r="A33" s="98" t="s">
        <v>50</v>
      </c>
      <c r="B33" s="99"/>
      <c r="C33" s="100"/>
      <c r="D33" s="101"/>
      <c r="E33" s="98" t="s">
        <v>51</v>
      </c>
      <c r="F33" s="100"/>
      <c r="G33" s="102"/>
      <c r="H33" s="88"/>
      <c r="I33" s="89"/>
    </row>
    <row r="34" spans="1:9" ht="15.9" customHeight="1" thickBot="1">
      <c r="A34" s="85" t="s">
        <v>52</v>
      </c>
      <c r="B34" s="85" t="s">
        <v>53</v>
      </c>
      <c r="C34" s="103" t="s">
        <v>54</v>
      </c>
      <c r="D34" s="101"/>
      <c r="E34" s="104" t="s">
        <v>55</v>
      </c>
      <c r="F34" s="103" t="s">
        <v>56</v>
      </c>
      <c r="H34" s="88"/>
      <c r="I34" s="89"/>
    </row>
    <row r="35" spans="1:9" ht="15.9" customHeight="1" thickBot="1">
      <c r="A35" s="105" t="s">
        <v>57</v>
      </c>
      <c r="B35" s="106">
        <f>datos!B57</f>
        <v>176</v>
      </c>
      <c r="C35" s="107">
        <f>datos!C57</f>
        <v>71</v>
      </c>
      <c r="E35" s="108">
        <f>GETPIVOTDATA("Contacto1",[1]analisis!$Z$21,"_Producto_Linea","Cliente al dia")</f>
        <v>77</v>
      </c>
      <c r="F35" s="109">
        <f>GETPIVOTDATA("Contacto1",[1]analisis!$Z$21,"_Producto_Linea","Cuenta cesada")</f>
        <v>358</v>
      </c>
      <c r="H35" s="88"/>
      <c r="I35" s="89"/>
    </row>
    <row r="36" spans="1:9" ht="15.9" customHeight="1">
      <c r="A36" s="39" t="s">
        <v>58</v>
      </c>
      <c r="B36" s="106">
        <f>datos!B58</f>
        <v>641</v>
      </c>
      <c r="C36" s="107">
        <f>datos!C58</f>
        <v>117</v>
      </c>
      <c r="H36" s="88"/>
      <c r="I36" s="89"/>
    </row>
    <row r="37" spans="1:9" ht="15.9" customHeight="1">
      <c r="A37" s="39" t="s">
        <v>59</v>
      </c>
      <c r="B37" s="106">
        <f>datos!B59</f>
        <v>155</v>
      </c>
      <c r="C37" s="107">
        <f>datos!C59</f>
        <v>2</v>
      </c>
      <c r="H37" s="88"/>
      <c r="I37" s="89"/>
    </row>
    <row r="38" spans="1:9" ht="15.9" customHeight="1">
      <c r="A38" s="39" t="s">
        <v>60</v>
      </c>
      <c r="B38" s="106">
        <f>datos!B60</f>
        <v>0</v>
      </c>
      <c r="C38" s="107">
        <f>datos!C60</f>
        <v>0</v>
      </c>
      <c r="H38" s="88"/>
      <c r="I38" s="89"/>
    </row>
    <row r="39" spans="1:9" ht="15.9" customHeight="1" thickBot="1">
      <c r="A39" s="110" t="s">
        <v>61</v>
      </c>
      <c r="B39" s="106">
        <f>datos!B61</f>
        <v>178</v>
      </c>
      <c r="C39" s="107">
        <f>datos!C61</f>
        <v>8</v>
      </c>
      <c r="H39" s="111"/>
      <c r="I39" s="112"/>
    </row>
    <row r="40" spans="1:9" ht="5.25" customHeight="1" thickBot="1"/>
    <row r="41" spans="1:9" ht="24" thickBot="1">
      <c r="A41" s="65" t="s">
        <v>62</v>
      </c>
      <c r="B41" s="66"/>
      <c r="C41" s="66"/>
      <c r="D41" s="66"/>
      <c r="E41" s="66"/>
      <c r="F41" s="66"/>
      <c r="G41" s="66"/>
      <c r="H41" s="66"/>
      <c r="I41" s="67"/>
    </row>
    <row r="42" spans="1:9">
      <c r="A42" s="113"/>
      <c r="B42" s="113"/>
      <c r="C42" s="113"/>
      <c r="D42" s="113"/>
      <c r="E42" s="113"/>
      <c r="F42" s="113"/>
      <c r="G42" s="113"/>
      <c r="H42" s="113"/>
      <c r="I42" s="113"/>
    </row>
    <row r="43" spans="1:9">
      <c r="A43" s="113"/>
      <c r="B43" s="113"/>
      <c r="C43" s="113"/>
      <c r="D43" s="113"/>
      <c r="E43" s="113"/>
      <c r="F43" s="113"/>
      <c r="G43" s="113"/>
      <c r="H43" s="113"/>
      <c r="I43" s="113"/>
    </row>
    <row r="44" spans="1:9">
      <c r="A44" s="113"/>
      <c r="B44" s="113"/>
      <c r="C44" s="113"/>
      <c r="D44" s="113"/>
      <c r="E44" s="113"/>
      <c r="F44" s="113"/>
      <c r="G44" s="113"/>
      <c r="H44" s="113"/>
      <c r="I44" s="113"/>
    </row>
    <row r="45" spans="1:9">
      <c r="A45" s="113"/>
      <c r="B45" s="113"/>
      <c r="C45" s="113"/>
      <c r="D45" s="113"/>
      <c r="E45" s="113"/>
      <c r="F45" s="113"/>
      <c r="G45" s="113"/>
      <c r="H45" s="113"/>
      <c r="I45" s="113"/>
    </row>
    <row r="46" spans="1:9">
      <c r="A46" s="113"/>
      <c r="B46" s="113"/>
      <c r="C46" s="113"/>
      <c r="D46" s="113"/>
      <c r="E46" s="113"/>
      <c r="F46" s="113"/>
      <c r="G46" s="113"/>
      <c r="H46" s="113"/>
      <c r="I46" s="113"/>
    </row>
    <row r="47" spans="1:9">
      <c r="A47" s="113"/>
      <c r="B47" s="113"/>
      <c r="C47" s="113"/>
      <c r="D47" s="113"/>
      <c r="E47" s="113"/>
      <c r="F47" s="113"/>
      <c r="G47" s="113"/>
      <c r="H47" s="113"/>
      <c r="I47" s="113"/>
    </row>
    <row r="48" spans="1:9">
      <c r="A48" s="113"/>
      <c r="B48" s="113"/>
      <c r="C48" s="113"/>
      <c r="D48" s="113"/>
      <c r="E48" s="113"/>
      <c r="F48" s="113"/>
      <c r="G48" s="113"/>
      <c r="H48" s="113"/>
      <c r="I48" s="113"/>
    </row>
    <row r="49" spans="1:9">
      <c r="A49" s="113"/>
      <c r="B49" s="113"/>
      <c r="C49" s="113"/>
      <c r="D49" s="113"/>
      <c r="E49" s="113"/>
      <c r="F49" s="113"/>
      <c r="G49" s="113"/>
      <c r="H49" s="113"/>
      <c r="I49" s="113"/>
    </row>
    <row r="50" spans="1:9">
      <c r="A50" s="113"/>
      <c r="B50" s="113"/>
      <c r="C50" s="113"/>
      <c r="D50" s="113"/>
      <c r="E50" s="113"/>
      <c r="F50" s="113"/>
      <c r="G50" s="113"/>
      <c r="H50" s="113"/>
      <c r="I50" s="113"/>
    </row>
    <row r="51" spans="1:9">
      <c r="A51" s="113"/>
      <c r="B51" s="113"/>
      <c r="C51" s="113"/>
      <c r="D51" s="113"/>
      <c r="E51" s="113"/>
      <c r="F51" s="113"/>
      <c r="G51" s="113"/>
      <c r="H51" s="113"/>
      <c r="I51" s="113"/>
    </row>
  </sheetData>
  <mergeCells count="16">
    <mergeCell ref="A25:G25"/>
    <mergeCell ref="A29:G29"/>
    <mergeCell ref="H29:I29"/>
    <mergeCell ref="A33:C33"/>
    <mergeCell ref="E33:F33"/>
    <mergeCell ref="A41:I41"/>
    <mergeCell ref="A2:G3"/>
    <mergeCell ref="H2:I2"/>
    <mergeCell ref="A4:G11"/>
    <mergeCell ref="A12:B12"/>
    <mergeCell ref="C12:E12"/>
    <mergeCell ref="F12:G12"/>
    <mergeCell ref="H12:I23"/>
    <mergeCell ref="F13:G18"/>
    <mergeCell ref="F19:G19"/>
    <mergeCell ref="F20:G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DEC0-3017-4048-836F-D5F7E2324A43}">
  <sheetPr>
    <tabColor rgb="FFFF0000"/>
  </sheetPr>
  <dimension ref="A1:I62"/>
  <sheetViews>
    <sheetView showGridLines="0" topLeftCell="A43" zoomScale="85" zoomScaleNormal="85" workbookViewId="0">
      <selection activeCell="P34" sqref="P34"/>
    </sheetView>
  </sheetViews>
  <sheetFormatPr baseColWidth="10" defaultColWidth="8.90625" defaultRowHeight="14.5"/>
  <cols>
    <col min="1" max="1" width="20.26953125" bestFit="1" customWidth="1"/>
    <col min="2" max="2" width="15.7265625" bestFit="1" customWidth="1"/>
    <col min="3" max="3" width="17.54296875" bestFit="1" customWidth="1"/>
    <col min="4" max="4" width="22.36328125" bestFit="1" customWidth="1"/>
    <col min="5" max="5" width="25.54296875" customWidth="1"/>
    <col min="6" max="6" width="17.6328125" customWidth="1"/>
    <col min="7" max="7" width="15.54296875" customWidth="1"/>
    <col min="8" max="8" width="21" bestFit="1" customWidth="1"/>
    <col min="9" max="9" width="22.90625" bestFit="1" customWidth="1"/>
  </cols>
  <sheetData>
    <row r="1" spans="1:9" ht="15" thickBot="1"/>
    <row r="2" spans="1:9" ht="16" thickBot="1">
      <c r="A2" s="114" t="s">
        <v>63</v>
      </c>
      <c r="B2" s="115"/>
      <c r="E2" s="116" t="s">
        <v>64</v>
      </c>
    </row>
    <row r="3" spans="1:9">
      <c r="A3" s="117" t="s">
        <v>12</v>
      </c>
      <c r="B3" s="117">
        <v>1</v>
      </c>
      <c r="E3" s="118" t="s">
        <v>65</v>
      </c>
      <c r="F3" s="118" t="s">
        <v>66</v>
      </c>
      <c r="I3" s="119"/>
    </row>
    <row r="4" spans="1:9">
      <c r="A4" s="120" t="s">
        <v>16</v>
      </c>
      <c r="B4" s="121">
        <f>[1]analisis!L17</f>
        <v>3566</v>
      </c>
      <c r="E4" s="122" t="s">
        <v>45</v>
      </c>
      <c r="F4" s="122" t="s">
        <v>46</v>
      </c>
      <c r="G4" s="122" t="s">
        <v>26</v>
      </c>
      <c r="H4" s="122" t="s">
        <v>47</v>
      </c>
      <c r="I4" s="122" t="s">
        <v>48</v>
      </c>
    </row>
    <row r="5" spans="1:9">
      <c r="A5" s="120" t="s">
        <v>18</v>
      </c>
      <c r="B5" s="123">
        <f>GETPIVOTDATA(" Monto de Promesa de Pago",[1]analisis!$G$34)</f>
        <v>6890.0400000000009</v>
      </c>
      <c r="E5" s="124">
        <f>GETPIVOTDATA("Intentos",[1]analisis!$A$11)</f>
        <v>2159</v>
      </c>
      <c r="F5" s="124">
        <f>GETPIVOTDATA(" Connect",[1]analisis!$A$21)</f>
        <v>940</v>
      </c>
      <c r="G5" s="124">
        <f>GETPIVOTDATA(" RPC",[1]analisis!$A$21)</f>
        <v>798</v>
      </c>
      <c r="H5" s="124">
        <f>[1]analisis!J33</f>
        <v>181</v>
      </c>
      <c r="I5" s="125">
        <f>G5/F5</f>
        <v>0.84893617021276591</v>
      </c>
    </row>
    <row r="6" spans="1:9">
      <c r="A6" s="120" t="s">
        <v>20</v>
      </c>
      <c r="B6" s="123">
        <f>GETPIVOTDATA("Suma de Monto pagado",[1]analisis!$G$34)</f>
        <v>8084.35</v>
      </c>
    </row>
    <row r="7" spans="1:9">
      <c r="A7" s="120" t="s">
        <v>22</v>
      </c>
      <c r="B7" s="126">
        <f>B6/B5</f>
        <v>1.1733386163215307</v>
      </c>
    </row>
    <row r="8" spans="1:9">
      <c r="A8" s="120" t="s">
        <v>24</v>
      </c>
      <c r="B8" s="126">
        <f>F5/E5</f>
        <v>0.43538675312644742</v>
      </c>
    </row>
    <row r="9" spans="1:9">
      <c r="A9" s="120" t="s">
        <v>26</v>
      </c>
      <c r="B9" s="126">
        <f>G5/F5</f>
        <v>0.84893617021276591</v>
      </c>
    </row>
    <row r="10" spans="1:9">
      <c r="A10" s="120" t="s">
        <v>7</v>
      </c>
      <c r="B10" s="120">
        <f>H5</f>
        <v>181</v>
      </c>
    </row>
    <row r="11" spans="1:9">
      <c r="A11" s="120" t="s">
        <v>30</v>
      </c>
      <c r="B11" s="121">
        <f>B37</f>
        <v>100</v>
      </c>
      <c r="E11" s="127"/>
      <c r="F11" s="127"/>
      <c r="G11" s="127"/>
      <c r="H11" s="127"/>
      <c r="I11" s="127"/>
    </row>
    <row r="12" spans="1:9">
      <c r="A12" s="120" t="s">
        <v>32</v>
      </c>
      <c r="B12" s="126">
        <f>B11/B10</f>
        <v>0.5524861878453039</v>
      </c>
      <c r="E12" s="119"/>
      <c r="F12" s="119"/>
      <c r="G12" s="119"/>
      <c r="H12" s="119"/>
      <c r="I12" s="119"/>
    </row>
    <row r="13" spans="1:9">
      <c r="E13" s="119"/>
      <c r="F13" s="119"/>
      <c r="G13" s="119"/>
      <c r="H13" s="119"/>
      <c r="I13" s="119"/>
    </row>
    <row r="14" spans="1:9" ht="15" thickBot="1"/>
    <row r="15" spans="1:9" ht="16.25" customHeight="1" thickBot="1">
      <c r="A15" s="128" t="s">
        <v>10</v>
      </c>
      <c r="B15" s="129"/>
    </row>
    <row r="16" spans="1:9" ht="15" thickBot="1">
      <c r="A16" s="130" t="s">
        <v>67</v>
      </c>
      <c r="B16" s="131" t="s">
        <v>14</v>
      </c>
      <c r="C16" s="132" t="s">
        <v>15</v>
      </c>
    </row>
    <row r="17" spans="1:7">
      <c r="A17" s="133" t="s">
        <v>17</v>
      </c>
      <c r="B17" s="134">
        <v>831.1</v>
      </c>
      <c r="C17" s="135">
        <v>788.27000000000021</v>
      </c>
    </row>
    <row r="18" spans="1:7">
      <c r="A18" s="136" t="s">
        <v>19</v>
      </c>
      <c r="B18" s="137">
        <v>511.71000000000004</v>
      </c>
      <c r="C18" s="138">
        <v>482.34000000000003</v>
      </c>
    </row>
    <row r="19" spans="1:7">
      <c r="A19" s="136" t="s">
        <v>23</v>
      </c>
      <c r="B19" s="137">
        <v>4552.24</v>
      </c>
      <c r="C19" s="138">
        <v>4881.6100000000006</v>
      </c>
    </row>
    <row r="20" spans="1:7">
      <c r="A20" s="136" t="s">
        <v>27</v>
      </c>
      <c r="B20" s="137">
        <v>0</v>
      </c>
      <c r="C20" s="138">
        <v>0</v>
      </c>
    </row>
    <row r="21" spans="1:7">
      <c r="A21" s="136" t="s">
        <v>29</v>
      </c>
      <c r="B21" s="137">
        <v>30.53</v>
      </c>
      <c r="C21" s="138">
        <v>61.47</v>
      </c>
    </row>
    <row r="22" spans="1:7">
      <c r="A22" s="136" t="s">
        <v>31</v>
      </c>
      <c r="B22" s="137">
        <v>855.18999999999994</v>
      </c>
      <c r="C22" s="138">
        <v>1604.6900000000003</v>
      </c>
    </row>
    <row r="23" spans="1:7" ht="15" thickBot="1">
      <c r="A23" s="139" t="s">
        <v>33</v>
      </c>
      <c r="B23" s="137">
        <v>109.27000000000001</v>
      </c>
      <c r="C23" s="138">
        <v>265.96999999999997</v>
      </c>
    </row>
    <row r="24" spans="1:7" ht="15" thickBot="1">
      <c r="A24" s="140" t="s">
        <v>34</v>
      </c>
      <c r="B24" s="141">
        <v>6890.0399999999991</v>
      </c>
      <c r="C24" s="142">
        <v>8084.3500000000022</v>
      </c>
    </row>
    <row r="25" spans="1:7" ht="16" thickBot="1">
      <c r="A25" s="116" t="s">
        <v>68</v>
      </c>
    </row>
    <row r="26" spans="1:7" ht="15" thickBot="1">
      <c r="A26" s="143" t="s">
        <v>69</v>
      </c>
      <c r="B26" s="144" t="s">
        <v>37</v>
      </c>
      <c r="C26" s="144" t="s">
        <v>38</v>
      </c>
      <c r="D26" s="144" t="s">
        <v>22</v>
      </c>
      <c r="E26" s="144" t="s">
        <v>7</v>
      </c>
      <c r="F26" s="144" t="s">
        <v>39</v>
      </c>
      <c r="G26" s="145" t="s">
        <v>40</v>
      </c>
    </row>
    <row r="27" spans="1:7" ht="15" thickBot="1">
      <c r="A27" s="146" t="s">
        <v>41</v>
      </c>
      <c r="B27" s="147">
        <f>[1]analisis!C57</f>
        <v>3566</v>
      </c>
      <c r="C27" s="147">
        <f>GETPIVOTDATA("Suma de Intentos de pago",[1]analisis!$G$34,"Agente ","Lili Velez")</f>
        <v>298</v>
      </c>
      <c r="D27" s="148">
        <f>C27/B27</f>
        <v>8.3567021873247341E-2</v>
      </c>
      <c r="E27" s="149">
        <f>GETPIVOTDATA(" Monto de Promesa de Pago",[1]analisis!$G$34,"Agente ","Lili Velez")</f>
        <v>6890.0400000000009</v>
      </c>
      <c r="F27" s="149">
        <f>GETPIVOTDATA("Suma de Monto pagado",[1]analisis!$G$34,"Agente ","Lili Velez")</f>
        <v>8084.35</v>
      </c>
      <c r="G27" s="150">
        <f>F27/E27</f>
        <v>1.1733386163215307</v>
      </c>
    </row>
    <row r="31" spans="1:7" ht="16" thickBot="1">
      <c r="A31" s="116" t="s">
        <v>70</v>
      </c>
    </row>
    <row r="32" spans="1:7" ht="15" thickBot="1">
      <c r="A32" s="143" t="s">
        <v>71</v>
      </c>
      <c r="B32" s="151" t="s">
        <v>72</v>
      </c>
    </row>
    <row r="33" spans="1:3">
      <c r="A33" s="152" t="s">
        <v>4</v>
      </c>
      <c r="B33" s="153">
        <f>B4</f>
        <v>3566</v>
      </c>
    </row>
    <row r="34" spans="1:3">
      <c r="A34" s="152" t="s">
        <v>5</v>
      </c>
      <c r="B34" s="153">
        <f>[1]analisis!I17</f>
        <v>831</v>
      </c>
    </row>
    <row r="35" spans="1:3">
      <c r="A35" s="152" t="s">
        <v>6</v>
      </c>
      <c r="B35" s="153">
        <f>F5</f>
        <v>940</v>
      </c>
    </row>
    <row r="36" spans="1:3">
      <c r="A36" s="152" t="s">
        <v>7</v>
      </c>
      <c r="B36" s="153">
        <f>[1]analisis!J33</f>
        <v>181</v>
      </c>
    </row>
    <row r="37" spans="1:3" ht="15" thickBot="1">
      <c r="A37" s="146" t="s">
        <v>8</v>
      </c>
      <c r="B37" s="154">
        <f>[1]analisis!K33</f>
        <v>100</v>
      </c>
    </row>
    <row r="40" spans="1:3" ht="16" thickBot="1">
      <c r="A40" s="116" t="s">
        <v>73</v>
      </c>
    </row>
    <row r="41" spans="1:3" ht="15" thickBot="1">
      <c r="A41" s="143" t="s">
        <v>65</v>
      </c>
      <c r="B41" s="143" t="s">
        <v>66</v>
      </c>
      <c r="C41" s="143" t="s">
        <v>74</v>
      </c>
    </row>
    <row r="42" spans="1:3">
      <c r="A42" s="152" t="s">
        <v>7</v>
      </c>
      <c r="B42" s="119">
        <f>H5</f>
        <v>181</v>
      </c>
      <c r="C42" s="155">
        <f>B42/$B$4</f>
        <v>5.0757150869321366E-2</v>
      </c>
    </row>
    <row r="43" spans="1:3" ht="15" thickBot="1">
      <c r="A43" s="146" t="s">
        <v>8</v>
      </c>
      <c r="B43" s="156">
        <f>B11</f>
        <v>100</v>
      </c>
      <c r="C43" s="157">
        <f>B43/$B$4</f>
        <v>2.8042624789680313E-2</v>
      </c>
    </row>
    <row r="44" spans="1:3">
      <c r="A44" t="s">
        <v>32</v>
      </c>
      <c r="B44" s="158">
        <f>(B43/B42)</f>
        <v>0.5524861878453039</v>
      </c>
    </row>
    <row r="47" spans="1:3" ht="16" thickBot="1">
      <c r="A47" s="116" t="s">
        <v>75</v>
      </c>
    </row>
    <row r="48" spans="1:3" ht="15" thickBot="1">
      <c r="A48" s="143" t="s">
        <v>65</v>
      </c>
      <c r="B48" s="151" t="s">
        <v>66</v>
      </c>
    </row>
    <row r="49" spans="1:3">
      <c r="A49" s="152" t="s">
        <v>76</v>
      </c>
      <c r="B49" s="159">
        <f>[1]analisis!L17</f>
        <v>3566</v>
      </c>
    </row>
    <row r="50" spans="1:3">
      <c r="A50" s="152" t="s">
        <v>77</v>
      </c>
      <c r="B50" s="159">
        <f>[1]analisis!I17</f>
        <v>831</v>
      </c>
    </row>
    <row r="51" spans="1:3" ht="15" thickBot="1">
      <c r="A51" s="146" t="s">
        <v>40</v>
      </c>
      <c r="B51" s="157">
        <f>B50/B49</f>
        <v>0.23303421200224342</v>
      </c>
    </row>
    <row r="55" spans="1:3" ht="15" thickBot="1"/>
    <row r="56" spans="1:3" ht="15" thickBot="1">
      <c r="A56" s="143" t="s">
        <v>52</v>
      </c>
      <c r="B56" s="143" t="s">
        <v>53</v>
      </c>
      <c r="C56" s="151" t="s">
        <v>54</v>
      </c>
    </row>
    <row r="57" spans="1:3" ht="13.75" customHeight="1">
      <c r="A57" s="160" t="s">
        <v>57</v>
      </c>
      <c r="B57" s="161">
        <f>_xlfn.XLOOKUP($A$57,[1]analisis!T14:T18,[1]analisis!U14:U18,,0)</f>
        <v>176</v>
      </c>
      <c r="C57" s="162">
        <f>IFERROR(_xlfn.XLOOKUP($A$57,[1]analisis!T26:T30,[1]analisis!U26:U30,,0),0)</f>
        <v>71</v>
      </c>
    </row>
    <row r="58" spans="1:3">
      <c r="A58" s="88" t="s">
        <v>58</v>
      </c>
      <c r="B58" s="119">
        <f>_xlfn.XLOOKUP($A$58,[1]analisis!T14:T19,[1]analisis!U14:U19,,0)</f>
        <v>641</v>
      </c>
      <c r="C58" s="159">
        <f>IFERROR(_xlfn.XLOOKUP($A$58,[1]analisis!T26:T31,[1]analisis!U26:U31,,0),0)</f>
        <v>117</v>
      </c>
    </row>
    <row r="59" spans="1:3">
      <c r="A59" s="88" t="s">
        <v>59</v>
      </c>
      <c r="B59" s="119">
        <f>_xlfn.XLOOKUP($A$59,[1]analisis!T14:T20,[1]analisis!U14:U20,,0)</f>
        <v>155</v>
      </c>
      <c r="C59" s="159">
        <f>IFERROR(_xlfn.XLOOKUP(A59,[1]analisis!T26:T32,[1]analisis!U26:U32,,0),0)</f>
        <v>2</v>
      </c>
    </row>
    <row r="60" spans="1:3">
      <c r="A60" s="88" t="s">
        <v>60</v>
      </c>
      <c r="B60" s="119">
        <f>_xlfn.XLOOKUP($A$60,[1]analisis!T16:T21,[1]analisis!U16:U21,0)</f>
        <v>0</v>
      </c>
      <c r="C60" s="159">
        <f>IFERROR(_xlfn.XLOOKUP($A$60,[1]analisis!T26:T33,[1]analisis!U26:U33,,0),0)</f>
        <v>0</v>
      </c>
    </row>
    <row r="61" spans="1:3" ht="15" thickBot="1">
      <c r="A61" s="163" t="s">
        <v>61</v>
      </c>
      <c r="B61" s="164">
        <f>_xlfn.XLOOKUP($A$61,[1]analisis!T17:T22,[1]analisis!U17:U22,,0)</f>
        <v>178</v>
      </c>
      <c r="C61" s="165">
        <f>GETPIVOTDATA("Mes Pago",[1]analisis!$T$25,"Tiempo de mora (días)","NPN")</f>
        <v>8</v>
      </c>
    </row>
    <row r="62" spans="1:3" ht="15.5" thickTop="1" thickBot="1">
      <c r="A62" s="111" t="s">
        <v>78</v>
      </c>
      <c r="B62" s="166">
        <f>SUM(B57:B61)</f>
        <v>1150</v>
      </c>
      <c r="C62" s="167">
        <f>SUM(C57:C61)</f>
        <v>198</v>
      </c>
    </row>
  </sheetData>
  <mergeCells count="1">
    <mergeCell ref="A2:B2"/>
  </mergeCells>
  <pageMargins left="0.75" right="0.75" top="1" bottom="1" header="0.5" footer="0.5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DASHBOARD2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2026-07-01T17:11:15Z</dcterms:created>
  <dcterms:modified xsi:type="dcterms:W3CDTF">2026-07-01T17:12:02Z</dcterms:modified>
</cp:coreProperties>
</file>