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Chamba Panama\Amir\soho\hojacalculo\"/>
    </mc:Choice>
  </mc:AlternateContent>
  <xr:revisionPtr revIDLastSave="0" documentId="13_ncr:1_{1BB24490-914B-4773-9BF0-88749D7C300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Base" sheetId="1" r:id="rId1"/>
    <sheet name="Supuestos" sheetId="2" r:id="rId2"/>
    <sheet name="Result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3" l="1"/>
  <c r="B10" i="3"/>
  <c r="A6" i="3"/>
  <c r="A5" i="3"/>
  <c r="A4" i="3"/>
  <c r="A3" i="3"/>
  <c r="F6" i="2"/>
  <c r="C6" i="3" s="1"/>
  <c r="E6" i="2"/>
  <c r="B6" i="3" s="1"/>
  <c r="B6" i="2"/>
  <c r="E5" i="2"/>
  <c r="B5" i="3" s="1"/>
  <c r="D5" i="2"/>
  <c r="F5" i="2" s="1"/>
  <c r="C5" i="3" s="1"/>
  <c r="B5" i="2"/>
  <c r="B4" i="2"/>
  <c r="F4" i="2" s="1"/>
  <c r="C4" i="3" s="1"/>
  <c r="D3" i="2"/>
  <c r="B3" i="2"/>
  <c r="F3" i="2" s="1"/>
  <c r="F7" i="2" l="1"/>
  <c r="C3" i="3"/>
  <c r="C7" i="3" s="1"/>
  <c r="E4" i="2"/>
  <c r="B4" i="3" s="1"/>
  <c r="E3" i="2"/>
  <c r="E7" i="2" l="1"/>
  <c r="B14" i="3" s="1"/>
  <c r="B3" i="3"/>
  <c r="B7" i="3" s="1"/>
  <c r="B12" i="3"/>
  <c r="B15" i="3"/>
  <c r="B11" i="3"/>
  <c r="D6" i="3"/>
  <c r="D5" i="3"/>
  <c r="D4" i="3"/>
  <c r="D3" i="3"/>
  <c r="B13" i="3"/>
</calcChain>
</file>

<file path=xl/sharedStrings.xml><?xml version="1.0" encoding="utf-8"?>
<sst xmlns="http://schemas.openxmlformats.org/spreadsheetml/2006/main" count="48" uniqueCount="38">
  <si>
    <t>BASE DEL CRUCE (cruce.xlsx)</t>
  </si>
  <si>
    <t>Parámetro</t>
  </si>
  <si>
    <t>Valor</t>
  </si>
  <si>
    <t>Fuente</t>
  </si>
  <si>
    <t>SOLO MÓVIL</t>
  </si>
  <si>
    <t>Hoja Cruce</t>
  </si>
  <si>
    <t>SOLO FIJO / INTERNET</t>
  </si>
  <si>
    <t>SIN SERVICIOS</t>
  </si>
  <si>
    <t>CONVERGENTE</t>
  </si>
  <si>
    <t>WINBACK (no activos)</t>
  </si>
  <si>
    <t>MRC actual consolidado</t>
  </si>
  <si>
    <t>MRC winback en riesgo</t>
  </si>
  <si>
    <t>MRC promedio línea móvil (NP)</t>
  </si>
  <si>
    <t>Cruce.xlsx / Registros</t>
  </si>
  <si>
    <t>MRC promedio winback</t>
  </si>
  <si>
    <t>Cruce.xlsx / Winback</t>
  </si>
  <si>
    <t>SUPUESTOS (celdas amarillas editables)</t>
  </si>
  <si>
    <t>INICIATIVA</t>
  </si>
  <si>
    <t>BASE (CLIENTES)</t>
  </si>
  <si>
    <t>TASA %</t>
  </si>
  <si>
    <t>MRC UNITARIO $</t>
  </si>
  <si>
    <t>CLIENTES PROYECTADOS</t>
  </si>
  <si>
    <t>NUEVO MRC $/MES</t>
  </si>
  <si>
    <t>Cross-sell Móvil</t>
  </si>
  <si>
    <t>Cross-sell FLBBTV</t>
  </si>
  <si>
    <t>Winback</t>
  </si>
  <si>
    <t>Upgrade Convergente</t>
  </si>
  <si>
    <t>TOTAL</t>
  </si>
  <si>
    <t>RESULTADOS DEL ESCENARIO (vínculos a Supuestos)</t>
  </si>
  <si>
    <t>% DEL UPSIDE</t>
  </si>
  <si>
    <t>KPI</t>
  </si>
  <si>
    <t>MRC ACTUAL</t>
  </si>
  <si>
    <t>NUEVO MRC / MES</t>
  </si>
  <si>
    <t>MRC PROYECTADO</t>
  </si>
  <si>
    <t>CRECIMIENTO %</t>
  </si>
  <si>
    <t>CLIENTES NUEVOS / MES</t>
  </si>
  <si>
    <t>UPSIDE ANUALIZADO</t>
  </si>
  <si>
    <t>WINBACK MRC EN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</si>
</sst>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4" fontId="0" fillId="0" borderId="0" xfId="0" applyNumberFormat="1"/>
    <xf numFmtId="0" fontId="0" fillId="3" borderId="0" xfId="0" applyFill="1"/>
    <xf numFmtId="4" fontId="0" fillId="3" borderId="0" xfId="0" applyNumberFormat="1" applyFill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Nuevo MRC por iniciativa ($/mes)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Resultados!$C$2</c:f>
              <c:strCache>
                <c:ptCount val="1"/>
                <c:pt idx="0">
                  <c:v>NUEVO MRC $/MES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Resultados!$A$3:$A$6</c:f>
              <c:strCache>
                <c:ptCount val="4"/>
                <c:pt idx="0">
                  <c:v>Cross-sell Móvil</c:v>
                </c:pt>
                <c:pt idx="1">
                  <c:v>Cross-sell FLBBTV</c:v>
                </c:pt>
                <c:pt idx="2">
                  <c:v>Winback</c:v>
                </c:pt>
                <c:pt idx="3">
                  <c:v>Upgrade Convergente</c:v>
                </c:pt>
              </c:strCache>
            </c:strRef>
          </c:cat>
          <c:val>
            <c:numRef>
              <c:f>Resultados!$C$3:$C$6</c:f>
              <c:numCache>
                <c:formatCode>General</c:formatCode>
                <c:ptCount val="4"/>
                <c:pt idx="0">
                  <c:v>411.18</c:v>
                </c:pt>
                <c:pt idx="1">
                  <c:v>2904</c:v>
                </c:pt>
                <c:pt idx="2">
                  <c:v>1187.97</c:v>
                </c:pt>
                <c:pt idx="3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9-4749-A43D-5C331D0C5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.5" x14ac:dyDescent="0.35"/>
  <cols>
    <col min="1" max="1" width="34" customWidth="1"/>
    <col min="2" max="2" width="14" customWidth="1"/>
    <col min="3" max="3" width="46" customWidth="1"/>
  </cols>
  <sheetData>
    <row r="1" spans="1:3" ht="18.5" x14ac:dyDescent="0.45">
      <c r="A1" s="1" t="s">
        <v>0</v>
      </c>
    </row>
    <row r="2" spans="1:3" x14ac:dyDescent="0.35">
      <c r="A2" s="2" t="s">
        <v>1</v>
      </c>
      <c r="B2" s="2" t="s">
        <v>2</v>
      </c>
      <c r="C2" s="2" t="s">
        <v>3</v>
      </c>
    </row>
    <row r="3" spans="1:3" x14ac:dyDescent="0.35">
      <c r="A3" t="s">
        <v>4</v>
      </c>
      <c r="B3" s="3">
        <v>3872</v>
      </c>
      <c r="C3" t="s">
        <v>5</v>
      </c>
    </row>
    <row r="4" spans="1:3" x14ac:dyDescent="0.35">
      <c r="A4" t="s">
        <v>6</v>
      </c>
      <c r="B4" s="3">
        <v>2</v>
      </c>
      <c r="C4" t="s">
        <v>5</v>
      </c>
    </row>
    <row r="5" spans="1:3" x14ac:dyDescent="0.35">
      <c r="A5" t="s">
        <v>7</v>
      </c>
      <c r="B5" s="3">
        <v>53</v>
      </c>
      <c r="C5" t="s">
        <v>5</v>
      </c>
    </row>
    <row r="6" spans="1:3" x14ac:dyDescent="0.35">
      <c r="A6" t="s">
        <v>8</v>
      </c>
      <c r="B6" s="3">
        <v>1012</v>
      </c>
      <c r="C6" t="s">
        <v>5</v>
      </c>
    </row>
    <row r="7" spans="1:3" x14ac:dyDescent="0.35">
      <c r="A7" t="s">
        <v>9</v>
      </c>
      <c r="B7" s="3">
        <v>140</v>
      </c>
      <c r="C7" t="s">
        <v>5</v>
      </c>
    </row>
    <row r="8" spans="1:3" x14ac:dyDescent="0.35">
      <c r="A8" t="s">
        <v>10</v>
      </c>
      <c r="B8" s="3">
        <v>166262.89000000001</v>
      </c>
      <c r="C8" t="s">
        <v>5</v>
      </c>
    </row>
    <row r="9" spans="1:3" x14ac:dyDescent="0.35">
      <c r="A9" t="s">
        <v>11</v>
      </c>
      <c r="B9" s="3">
        <v>7919.15</v>
      </c>
      <c r="C9" t="s">
        <v>5</v>
      </c>
    </row>
    <row r="10" spans="1:3" x14ac:dyDescent="0.35">
      <c r="A10" t="s">
        <v>12</v>
      </c>
      <c r="B10" s="3">
        <v>49.84</v>
      </c>
      <c r="C10" t="s">
        <v>13</v>
      </c>
    </row>
    <row r="11" spans="1:3" x14ac:dyDescent="0.35">
      <c r="A11" t="s">
        <v>14</v>
      </c>
      <c r="B11" s="3">
        <v>56.57</v>
      </c>
      <c r="C1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5" x14ac:dyDescent="0.35"/>
  <cols>
    <col min="1" max="1" width="26" customWidth="1"/>
    <col min="2" max="2" width="14" customWidth="1"/>
    <col min="3" max="3" width="10" customWidth="1"/>
    <col min="4" max="4" width="14" customWidth="1"/>
    <col min="5" max="6" width="18" customWidth="1"/>
  </cols>
  <sheetData>
    <row r="1" spans="1:6" ht="18.5" x14ac:dyDescent="0.45">
      <c r="A1" s="1" t="s">
        <v>16</v>
      </c>
    </row>
    <row r="2" spans="1:6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</row>
    <row r="3" spans="1:6" x14ac:dyDescent="0.35">
      <c r="A3" t="s">
        <v>23</v>
      </c>
      <c r="B3">
        <f>Base!B4+Base!B5</f>
        <v>55</v>
      </c>
      <c r="C3" s="4">
        <v>15</v>
      </c>
      <c r="D3" s="4">
        <f>Base!B10</f>
        <v>49.84</v>
      </c>
      <c r="E3">
        <f>ROUND($B3*$C3/100,0)</f>
        <v>8</v>
      </c>
      <c r="F3">
        <f>$B3*$C3/100*$D3</f>
        <v>411.18</v>
      </c>
    </row>
    <row r="4" spans="1:6" x14ac:dyDescent="0.35">
      <c r="A4" t="s">
        <v>24</v>
      </c>
      <c r="B4">
        <f>Base!B3</f>
        <v>3872</v>
      </c>
      <c r="C4" s="4">
        <v>3</v>
      </c>
      <c r="D4" s="5">
        <v>25</v>
      </c>
      <c r="E4">
        <f>ROUND($B4*$C4/100,0)</f>
        <v>116</v>
      </c>
      <c r="F4">
        <f>$B4*$C4/100*$D4</f>
        <v>2904</v>
      </c>
    </row>
    <row r="5" spans="1:6" x14ac:dyDescent="0.35">
      <c r="A5" t="s">
        <v>25</v>
      </c>
      <c r="B5">
        <f>Base!B7</f>
        <v>140</v>
      </c>
      <c r="C5" s="4">
        <v>15</v>
      </c>
      <c r="D5" s="4">
        <f>Base!B11</f>
        <v>56.57</v>
      </c>
      <c r="E5">
        <f>ROUND($B5*$C5/100,0)</f>
        <v>21</v>
      </c>
      <c r="F5">
        <f>$B5*$C5/100*$D5</f>
        <v>1187.97</v>
      </c>
    </row>
    <row r="6" spans="1:6" x14ac:dyDescent="0.35">
      <c r="A6" t="s">
        <v>26</v>
      </c>
      <c r="B6">
        <f>Base!B6</f>
        <v>1012</v>
      </c>
      <c r="C6" s="4">
        <v>10</v>
      </c>
      <c r="D6" s="5">
        <v>5</v>
      </c>
      <c r="E6">
        <f>ROUND($B6*$C6/100,0)</f>
        <v>101</v>
      </c>
      <c r="F6">
        <f>$B6*$C6/100*$D6</f>
        <v>506</v>
      </c>
    </row>
    <row r="7" spans="1:6" x14ac:dyDescent="0.35">
      <c r="A7" s="6" t="s">
        <v>27</v>
      </c>
      <c r="E7" s="6">
        <f>SUM(E3:E6)</f>
        <v>246</v>
      </c>
      <c r="F7" s="6">
        <f>SUM(F3:F6)</f>
        <v>5009.1499999999996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4.5" x14ac:dyDescent="0.35"/>
  <cols>
    <col min="1" max="1" width="26" customWidth="1"/>
    <col min="2" max="3" width="18" customWidth="1"/>
    <col min="4" max="4" width="14" customWidth="1"/>
    <col min="5" max="5" width="26" customWidth="1"/>
    <col min="6" max="6" width="18" customWidth="1"/>
  </cols>
  <sheetData>
    <row r="1" spans="1:4" ht="18.5" x14ac:dyDescent="0.45">
      <c r="A1" s="1" t="s">
        <v>28</v>
      </c>
    </row>
    <row r="2" spans="1:4" x14ac:dyDescent="0.35">
      <c r="A2" s="2" t="s">
        <v>17</v>
      </c>
      <c r="B2" s="2" t="s">
        <v>21</v>
      </c>
      <c r="C2" s="2" t="s">
        <v>22</v>
      </c>
      <c r="D2" s="2" t="s">
        <v>29</v>
      </c>
    </row>
    <row r="3" spans="1:4" x14ac:dyDescent="0.35">
      <c r="A3" t="str">
        <f>Supuestos!A3</f>
        <v>Cross-sell Móvil</v>
      </c>
      <c r="B3">
        <f>Supuestos!E3</f>
        <v>8</v>
      </c>
      <c r="C3">
        <f>Supuestos!F3</f>
        <v>411.18</v>
      </c>
      <c r="D3">
        <f>IF(Supuestos!$F$7=0,0,Supuestos!F3/Supuestos!$F$7)</f>
        <v>8.2085783017078751E-2</v>
      </c>
    </row>
    <row r="4" spans="1:4" x14ac:dyDescent="0.35">
      <c r="A4" t="str">
        <f>Supuestos!A4</f>
        <v>Cross-sell FLBBTV</v>
      </c>
      <c r="B4">
        <f>Supuestos!E4</f>
        <v>116</v>
      </c>
      <c r="C4">
        <f>Supuestos!F4</f>
        <v>2904</v>
      </c>
      <c r="D4">
        <f>IF(Supuestos!$F$7=0,0,Supuestos!F4/Supuestos!$F$7)</f>
        <v>0.57973907748819664</v>
      </c>
    </row>
    <row r="5" spans="1:4" x14ac:dyDescent="0.35">
      <c r="A5" t="str">
        <f>Supuestos!A5</f>
        <v>Winback</v>
      </c>
      <c r="B5">
        <f>Supuestos!E5</f>
        <v>21</v>
      </c>
      <c r="C5">
        <f>Supuestos!F5</f>
        <v>1187.97</v>
      </c>
      <c r="D5">
        <f>IF(Supuestos!$F$7=0,0,Supuestos!F5/Supuestos!$F$7)</f>
        <v>0.23715999720511466</v>
      </c>
    </row>
    <row r="6" spans="1:4" x14ac:dyDescent="0.35">
      <c r="A6" t="str">
        <f>Supuestos!A6</f>
        <v>Upgrade Convergente</v>
      </c>
      <c r="B6">
        <f>Supuestos!E6</f>
        <v>101</v>
      </c>
      <c r="C6">
        <f>Supuestos!F6</f>
        <v>506</v>
      </c>
      <c r="D6">
        <f>IF(Supuestos!$F$7=0,0,Supuestos!F6/Supuestos!$F$7)</f>
        <v>0.10101514228961002</v>
      </c>
    </row>
    <row r="7" spans="1:4" x14ac:dyDescent="0.35">
      <c r="A7" s="6" t="s">
        <v>27</v>
      </c>
      <c r="B7" s="6">
        <f>SUM(B3:B6)</f>
        <v>246</v>
      </c>
      <c r="C7" s="6">
        <f>SUM(C3:C6)</f>
        <v>5009.1499999999996</v>
      </c>
      <c r="D7" s="7">
        <v>1</v>
      </c>
    </row>
    <row r="9" spans="1:4" ht="15.5" x14ac:dyDescent="0.35">
      <c r="A9" s="8" t="s">
        <v>30</v>
      </c>
    </row>
    <row r="10" spans="1:4" x14ac:dyDescent="0.35">
      <c r="A10" s="6" t="s">
        <v>31</v>
      </c>
      <c r="B10" s="3">
        <f>Base!B8</f>
        <v>166262.89000000001</v>
      </c>
    </row>
    <row r="11" spans="1:4" x14ac:dyDescent="0.35">
      <c r="A11" s="6" t="s">
        <v>32</v>
      </c>
      <c r="B11" s="3">
        <f>Supuestos!F7</f>
        <v>5009.1499999999996</v>
      </c>
    </row>
    <row r="12" spans="1:4" x14ac:dyDescent="0.35">
      <c r="A12" s="6" t="s">
        <v>33</v>
      </c>
      <c r="B12" s="3">
        <f>Base!B8+Supuestos!F7</f>
        <v>171272.04</v>
      </c>
    </row>
    <row r="13" spans="1:4" x14ac:dyDescent="0.35">
      <c r="A13" s="6" t="s">
        <v>34</v>
      </c>
      <c r="B13" s="9">
        <f>IF(Base!B8=0,0,Supuestos!F7/Base!B8)</f>
        <v>3.0127889633098516E-2</v>
      </c>
    </row>
    <row r="14" spans="1:4" x14ac:dyDescent="0.35">
      <c r="A14" s="6" t="s">
        <v>35</v>
      </c>
      <c r="B14" s="10">
        <f>Supuestos!E7</f>
        <v>246</v>
      </c>
    </row>
    <row r="15" spans="1:4" x14ac:dyDescent="0.35">
      <c r="A15" s="6" t="s">
        <v>36</v>
      </c>
      <c r="B15" s="3">
        <f>Supuestos!F7*12</f>
        <v>60109.799999999996</v>
      </c>
    </row>
    <row r="16" spans="1:4" x14ac:dyDescent="0.35">
      <c r="A16" s="6" t="s">
        <v>37</v>
      </c>
      <c r="B16" s="3">
        <f>Base!B9</f>
        <v>7919.15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Supuestos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 Ernesto Ortiz Castellanos</cp:lastModifiedBy>
  <dcterms:created xsi:type="dcterms:W3CDTF">2026-07-31T19:08:03Z</dcterms:created>
  <dcterms:modified xsi:type="dcterms:W3CDTF">2026-07-31T19:09:49Z</dcterms:modified>
</cp:coreProperties>
</file>