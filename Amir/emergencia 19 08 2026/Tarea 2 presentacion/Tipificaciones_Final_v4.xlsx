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 VICI+LIKE" sheetId="1" state="visible" r:id="rId1"/>
    <sheet xmlns:r="http://schemas.openxmlformats.org/officeDocument/2006/relationships" name="Resumen Comparativo" sheetId="2" state="visible" r:id="rId2"/>
    <sheet xmlns:r="http://schemas.openxmlformats.org/officeDocument/2006/relationships" name="Resumen VICI" sheetId="3" state="visible" r:id="rId3"/>
    <sheet xmlns:r="http://schemas.openxmlformats.org/officeDocument/2006/relationships" name="LIKE Vent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sz val="10"/>
    </font>
    <font>
      <i val="1"/>
      <color rgb="00666666"/>
      <sz val="9"/>
    </font>
    <font>
      <b val="1"/>
      <color rgb="00FFFFFF"/>
      <sz val="11"/>
    </font>
    <font>
      <b val="1"/>
      <sz val="11"/>
    </font>
    <font>
      <color rgb="00A04000"/>
      <sz val="10"/>
    </font>
    <font>
      <b val="1"/>
      <color rgb="00D35400"/>
      <sz val="13"/>
    </font>
    <font>
      <b val="1"/>
      <color rgb="00D35400"/>
      <sz val="12"/>
    </font>
    <font>
      <sz val="10"/>
    </font>
    <font>
      <b val="1"/>
      <sz val="14"/>
    </font>
    <font>
      <i val="1"/>
      <color rgb="00666666"/>
      <sz val="10"/>
    </font>
    <font>
      <b val="1"/>
    </font>
    <font>
      <b val="1"/>
      <color rgb="00C0392B"/>
    </font>
    <font>
      <color rgb="00C0392B"/>
      <sz val="10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D35400"/>
        <bgColor rgb="00D35400"/>
      </patternFill>
    </fill>
    <fill>
      <patternFill patternType="solid">
        <fgColor rgb="00FDEBD0"/>
        <bgColor rgb="00FDEBD0"/>
      </patternFill>
    </fill>
    <fill>
      <patternFill patternType="solid">
        <fgColor rgb="00F5CBA7"/>
        <bgColor rgb="00F5CBA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3" fontId="4" fillId="3" borderId="1" applyAlignment="1" pivotButton="0" quotePrefix="0" xfId="0">
      <alignment horizontal="center"/>
    </xf>
    <xf numFmtId="10" fontId="4" fillId="3" borderId="1" applyAlignment="1" pivotButton="0" quotePrefix="0" xfId="0">
      <alignment horizontal="center"/>
    </xf>
    <xf numFmtId="3" fontId="4" fillId="4" borderId="1" applyAlignment="1" pivotButton="0" quotePrefix="0" xfId="0">
      <alignment horizontal="center"/>
    </xf>
    <xf numFmtId="10" fontId="4" fillId="4" borderId="1" applyAlignment="1" pivotButton="0" quotePrefix="0" xfId="0">
      <alignment horizontal="center"/>
    </xf>
    <xf numFmtId="3" fontId="5" fillId="0" borderId="1" applyAlignment="1" pivotButton="0" quotePrefix="0" xfId="0">
      <alignment horizontal="center"/>
    </xf>
    <xf numFmtId="10" fontId="5" fillId="0" borderId="1" applyAlignment="1" pivotButton="0" quotePrefix="0" xfId="0">
      <alignment horizontal="center"/>
    </xf>
    <xf numFmtId="3" fontId="3" fillId="2" borderId="1" applyAlignment="1" pivotButton="0" quotePrefix="0" xfId="0">
      <alignment horizontal="center"/>
    </xf>
    <xf numFmtId="10" fontId="3" fillId="2" borderId="1" applyAlignment="1" pivotButton="0" quotePrefix="0" xfId="0">
      <alignment horizontal="center"/>
    </xf>
    <xf numFmtId="0" fontId="6" fillId="0" borderId="0" pivotButton="0" quotePrefix="0" xfId="0"/>
    <xf numFmtId="0" fontId="0" fillId="0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3" fontId="11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3" fontId="12" fillId="0" borderId="1" applyAlignment="1" pivotButton="0" quotePrefix="0" xfId="0">
      <alignment horizontal="center"/>
    </xf>
    <xf numFmtId="0" fontId="4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10" fontId="0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4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MES GESTION</t>
        </is>
      </c>
      <c r="B1" t="inlineStr">
        <is>
          <t>(All)</t>
        </is>
      </c>
    </row>
    <row r="2">
      <c r="A2" s="1" t="inlineStr">
        <is>
          <t>NO EFECTIVO</t>
        </is>
      </c>
      <c r="B2" t="inlineStr">
        <is>
          <t>(All)</t>
        </is>
      </c>
    </row>
    <row r="3">
      <c r="A3" s="2" t="inlineStr">
        <is>
          <t>Consolidado VICI + LIKE - Datos reales Julio/Agosto 2026</t>
        </is>
      </c>
      <c r="B3" t="inlineStr">
        <is>
          <t>(All)</t>
        </is>
      </c>
    </row>
    <row r="4">
      <c r="A4" s="1" t="inlineStr">
        <is>
          <t>No Cumple Condiciones</t>
        </is>
      </c>
      <c r="B4" t="inlineStr">
        <is>
          <t>(All)</t>
        </is>
      </c>
    </row>
    <row r="5">
      <c r="A5" s="1" t="inlineStr">
        <is>
          <t>GESTION</t>
        </is>
      </c>
      <c r="B5" t="inlineStr">
        <is>
          <t>(All)</t>
        </is>
      </c>
    </row>
    <row r="7">
      <c r="A7" s="3" t="inlineStr">
        <is>
          <t>Campana / Tipificacion</t>
        </is>
      </c>
      <c r="B7" s="3" t="inlineStr">
        <is>
          <t>Asignados</t>
        </is>
      </c>
      <c r="C7" s="3" t="inlineStr">
        <is>
          <t>GESTION</t>
        </is>
      </c>
      <c r="D7" s="3" t="inlineStr">
        <is>
          <t>Sin Gestion</t>
        </is>
      </c>
      <c r="E7" s="3" t="inlineStr">
        <is>
          <t>EFECTIVO</t>
        </is>
      </c>
      <c r="F7" s="3" t="inlineStr">
        <is>
          <t>RPC</t>
        </is>
      </c>
      <c r="G7" s="3" t="inlineStr">
        <is>
          <t>WPC</t>
        </is>
      </c>
      <c r="H7" s="3" t="inlineStr">
        <is>
          <t>NPC</t>
        </is>
      </c>
      <c r="I7" s="3" t="inlineStr">
        <is>
          <t>%RPC</t>
        </is>
      </c>
      <c r="J7" s="3" t="inlineStr">
        <is>
          <t>% WPC</t>
        </is>
      </c>
      <c r="K7" s="3" t="inlineStr">
        <is>
          <t>% NPC</t>
        </is>
      </c>
      <c r="L7" s="3" t="inlineStr">
        <is>
          <t>% EFEC</t>
        </is>
      </c>
      <c r="M7" s="3" t="inlineStr">
        <is>
          <t>Prom % CONV</t>
        </is>
      </c>
      <c r="N7" s="3" t="inlineStr">
        <is>
          <t>% CONTACTO</t>
        </is>
      </c>
      <c r="O7" s="3" t="inlineStr">
        <is>
          <t>% NO CIERRE</t>
        </is>
      </c>
      <c r="P7" s="3" t="inlineStr">
        <is>
          <t>% NO CUMPLE</t>
        </is>
      </c>
    </row>
    <row r="8">
      <c r="A8" s="4" t="inlineStr">
        <is>
          <t>Base 2025</t>
        </is>
      </c>
      <c r="B8" s="4" t="n">
        <v>4991</v>
      </c>
      <c r="C8" s="4">
        <f>E8+F8+G8+H8</f>
        <v/>
      </c>
      <c r="D8" s="4">
        <f>B8-C8</f>
        <v/>
      </c>
      <c r="E8" s="4" t="n">
        <v>49</v>
      </c>
      <c r="F8" s="4" t="n">
        <v>78</v>
      </c>
      <c r="G8" s="4" t="n">
        <v>64</v>
      </c>
      <c r="H8" s="5" t="n">
        <v>206</v>
      </c>
      <c r="I8" s="5">
        <f>IF(C8=0,0,F8/C8)</f>
        <v/>
      </c>
      <c r="J8" s="5">
        <f>IF(C8=0,0,G8/C8)</f>
        <v/>
      </c>
      <c r="K8" s="5">
        <f>IF(C8=0,0,H8/C8)</f>
        <v/>
      </c>
      <c r="L8" s="5">
        <f>IF(C8=0,0,E8/C8)</f>
        <v/>
      </c>
      <c r="M8" s="5">
        <f>IF(F8=0,0,E8/F8)</f>
        <v/>
      </c>
      <c r="N8" s="5">
        <f>IF(B8=0,0,C8/B8)</f>
        <v/>
      </c>
      <c r="O8" s="5">
        <f>IF(C8=0,0,(F8+G8+H8)/C8)</f>
        <v/>
      </c>
      <c r="P8" s="5">
        <f>IF(B8=0,0,D8/B8)</f>
        <v/>
      </c>
    </row>
    <row r="9">
      <c r="A9" s="4" t="inlineStr">
        <is>
          <t>Jan-Feb 2026</t>
        </is>
      </c>
      <c r="B9" s="4" t="n">
        <v>1140</v>
      </c>
      <c r="C9" s="4">
        <f>E9+F9+G9+H9</f>
        <v/>
      </c>
      <c r="D9" s="4">
        <f>B9-C9</f>
        <v/>
      </c>
      <c r="E9" s="4" t="n">
        <v>7</v>
      </c>
      <c r="F9" s="4" t="n">
        <v>11</v>
      </c>
      <c r="G9" s="4" t="n">
        <v>14</v>
      </c>
      <c r="H9" s="5" t="n">
        <v>47</v>
      </c>
      <c r="I9" s="5">
        <f>IF(C9=0,0,F9/C9)</f>
        <v/>
      </c>
      <c r="J9" s="5">
        <f>IF(C9=0,0,G9/C9)</f>
        <v/>
      </c>
      <c r="K9" s="5">
        <f>IF(C9=0,0,H9/C9)</f>
        <v/>
      </c>
      <c r="L9" s="5">
        <f>IF(C9=0,0,E9/C9)</f>
        <v/>
      </c>
      <c r="M9" s="5">
        <f>IF(F9=0,0,E9/F9)</f>
        <v/>
      </c>
      <c r="N9" s="5">
        <f>IF(B9=0,0,C9/B9)</f>
        <v/>
      </c>
      <c r="O9" s="5">
        <f>IF(C9=0,0,(F9+G9+H9)/C9)</f>
        <v/>
      </c>
      <c r="P9" s="5">
        <f>IF(B9=0,0,D9/B9)</f>
        <v/>
      </c>
    </row>
    <row r="10">
      <c r="A10" s="4" t="inlineStr">
        <is>
          <t>Mar-Jun 2026</t>
        </is>
      </c>
      <c r="B10" s="4" t="n">
        <v>3239</v>
      </c>
      <c r="C10" s="4">
        <f>E10+F10+G10+H10</f>
        <v/>
      </c>
      <c r="D10" s="4">
        <f>B10-C10</f>
        <v/>
      </c>
      <c r="E10" s="4" t="n">
        <v>16</v>
      </c>
      <c r="F10" s="4" t="n">
        <v>25</v>
      </c>
      <c r="G10" s="4" t="n">
        <v>36</v>
      </c>
      <c r="H10" s="5" t="n">
        <v>116</v>
      </c>
      <c r="I10" s="5">
        <f>IF(C10=0,0,F10/C10)</f>
        <v/>
      </c>
      <c r="J10" s="5">
        <f>IF(C10=0,0,G10/C10)</f>
        <v/>
      </c>
      <c r="K10" s="5">
        <f>IF(C10=0,0,H10/C10)</f>
        <v/>
      </c>
      <c r="L10" s="5">
        <f>IF(C10=0,0,E10/C10)</f>
        <v/>
      </c>
      <c r="M10" s="5">
        <f>IF(F10=0,0,E10/F10)</f>
        <v/>
      </c>
      <c r="N10" s="5">
        <f>IF(B10=0,0,C10/B10)</f>
        <v/>
      </c>
      <c r="O10" s="5">
        <f>IF(C10=0,0,(F10+G10+H10)/C10)</f>
        <v/>
      </c>
      <c r="P10" s="5">
        <f>IF(B10=0,0,D10/B10)</f>
        <v/>
      </c>
    </row>
    <row r="11">
      <c r="A11" s="6" t="inlineStr">
        <is>
          <t>July 2026</t>
        </is>
      </c>
      <c r="B11" s="6" t="n">
        <v>405</v>
      </c>
      <c r="C11" s="6">
        <f>E11+F11+G11+H11</f>
        <v/>
      </c>
      <c r="D11" s="6">
        <f>B11-C11</f>
        <v/>
      </c>
      <c r="E11" s="6" t="n">
        <v>159</v>
      </c>
      <c r="F11" s="6" t="n">
        <v>466</v>
      </c>
      <c r="G11" s="6" t="n">
        <v>861</v>
      </c>
      <c r="H11" s="7" t="n">
        <v>4325</v>
      </c>
      <c r="I11" s="7">
        <f>IF(C11=0,0,F11/C11)</f>
        <v/>
      </c>
      <c r="J11" s="7">
        <f>IF(C11=0,0,G11/C11)</f>
        <v/>
      </c>
      <c r="K11" s="7">
        <f>IF(C11=0,0,H11/C11)</f>
        <v/>
      </c>
      <c r="L11" s="7">
        <f>IF(C11=0,0,E11/C11)</f>
        <v/>
      </c>
      <c r="M11" s="7">
        <f>IF(F11=0,0,E11/F11)</f>
        <v/>
      </c>
      <c r="N11" s="7">
        <f>IF(B11=0,0,C11/B11)</f>
        <v/>
      </c>
      <c r="O11" s="7">
        <f>IF(C11=0,0,(F11+G11+H11)/C11)</f>
        <v/>
      </c>
      <c r="P11" s="7">
        <f>IF(B11=0,0,D11/B11)</f>
        <v/>
      </c>
    </row>
    <row r="12">
      <c r="A12" s="8" t="inlineStr">
        <is>
          <t xml:space="preserve">  Se envia propuesta</t>
        </is>
      </c>
      <c r="B12" s="8" t="n">
        <v>142</v>
      </c>
      <c r="C12" s="8">
        <f>E12+F12+G12+H12</f>
        <v/>
      </c>
      <c r="D12" s="8">
        <f>B12-C12</f>
        <v/>
      </c>
      <c r="E12" s="8" t="n">
        <v>142</v>
      </c>
      <c r="F12" s="8" t="n">
        <v>0</v>
      </c>
      <c r="G12" s="8" t="n">
        <v>0</v>
      </c>
      <c r="H12" s="9" t="n">
        <v>0</v>
      </c>
      <c r="I12" s="9">
        <f>IF(C12=0,0,F12/C12)</f>
        <v/>
      </c>
      <c r="J12" s="9">
        <f>IF(C12=0,0,G12/C12)</f>
        <v/>
      </c>
      <c r="K12" s="9">
        <f>IF(C12=0,0,H12/C12)</f>
        <v/>
      </c>
      <c r="L12" s="9">
        <f>IF(C12=0,0,E12/C12)</f>
        <v/>
      </c>
      <c r="M12" s="9">
        <f>IF(F12=0,0,E12/F12)</f>
        <v/>
      </c>
      <c r="N12" s="9">
        <f>IF(B12=0,0,C12/B12)</f>
        <v/>
      </c>
      <c r="O12" s="9">
        <f>IF(C12=0,0,(F12+G12+H12)/C12)</f>
        <v/>
      </c>
      <c r="P12" s="9">
        <f>IF(B12=0,0,D12/B12)</f>
        <v/>
      </c>
    </row>
    <row r="13">
      <c r="A13" s="8" t="inlineStr">
        <is>
          <t xml:space="preserve">  Ya Renovo</t>
        </is>
      </c>
      <c r="B13" s="8" t="n">
        <v>12</v>
      </c>
      <c r="C13" s="8">
        <f>E13+F13+G13+H13</f>
        <v/>
      </c>
      <c r="D13" s="8">
        <f>B13-C13</f>
        <v/>
      </c>
      <c r="E13" s="8" t="n">
        <v>12</v>
      </c>
      <c r="F13" s="8" t="n">
        <v>0</v>
      </c>
      <c r="G13" s="8" t="n">
        <v>0</v>
      </c>
      <c r="H13" s="9" t="n">
        <v>0</v>
      </c>
      <c r="I13" s="9">
        <f>IF(C13=0,0,F13/C13)</f>
        <v/>
      </c>
      <c r="J13" s="9">
        <f>IF(C13=0,0,G13/C13)</f>
        <v/>
      </c>
      <c r="K13" s="9">
        <f>IF(C13=0,0,H13/C13)</f>
        <v/>
      </c>
      <c r="L13" s="9">
        <f>IF(C13=0,0,E13/C13)</f>
        <v/>
      </c>
      <c r="M13" s="9">
        <f>IF(F13=0,0,E13/F13)</f>
        <v/>
      </c>
      <c r="N13" s="9">
        <f>IF(B13=0,0,C13/B13)</f>
        <v/>
      </c>
      <c r="O13" s="9">
        <f>IF(C13=0,0,(F13+G13+H13)/C13)</f>
        <v/>
      </c>
      <c r="P13" s="9">
        <f>IF(B13=0,0,D13/B13)</f>
        <v/>
      </c>
    </row>
    <row r="14">
      <c r="A14" s="8" t="inlineStr">
        <is>
          <t xml:space="preserve">  Renovara en tienda</t>
        </is>
      </c>
      <c r="B14" s="8" t="n">
        <v>2</v>
      </c>
      <c r="C14" s="8">
        <f>E14+F14+G14+H14</f>
        <v/>
      </c>
      <c r="D14" s="8">
        <f>B14-C14</f>
        <v/>
      </c>
      <c r="E14" s="8" t="n">
        <v>2</v>
      </c>
      <c r="F14" s="8" t="n">
        <v>0</v>
      </c>
      <c r="G14" s="8" t="n">
        <v>0</v>
      </c>
      <c r="H14" s="9" t="n">
        <v>0</v>
      </c>
      <c r="I14" s="9">
        <f>IF(C14=0,0,F14/C14)</f>
        <v/>
      </c>
      <c r="J14" s="9">
        <f>IF(C14=0,0,G14/C14)</f>
        <v/>
      </c>
      <c r="K14" s="9">
        <f>IF(C14=0,0,H14/C14)</f>
        <v/>
      </c>
      <c r="L14" s="9">
        <f>IF(C14=0,0,E14/C14)</f>
        <v/>
      </c>
      <c r="M14" s="9">
        <f>IF(F14=0,0,E14/F14)</f>
        <v/>
      </c>
      <c r="N14" s="9">
        <f>IF(B14=0,0,C14/B14)</f>
        <v/>
      </c>
      <c r="O14" s="9">
        <f>IF(C14=0,0,(F14+G14+H14)/C14)</f>
        <v/>
      </c>
      <c r="P14" s="9">
        <f>IF(B14=0,0,D14/B14)</f>
        <v/>
      </c>
    </row>
    <row r="15">
      <c r="A15" s="8" t="inlineStr">
        <is>
          <t xml:space="preserve">  Por Aprobacion</t>
        </is>
      </c>
      <c r="B15" s="8" t="n">
        <v>3</v>
      </c>
      <c r="C15" s="8">
        <f>E15+F15+G15+H15</f>
        <v/>
      </c>
      <c r="D15" s="8">
        <f>B15-C15</f>
        <v/>
      </c>
      <c r="E15" s="8" t="n">
        <v>3</v>
      </c>
      <c r="F15" s="8" t="n">
        <v>0</v>
      </c>
      <c r="G15" s="8" t="n">
        <v>0</v>
      </c>
      <c r="H15" s="9" t="n">
        <v>0</v>
      </c>
      <c r="I15" s="9">
        <f>IF(C15=0,0,F15/C15)</f>
        <v/>
      </c>
      <c r="J15" s="9">
        <f>IF(C15=0,0,G15/C15)</f>
        <v/>
      </c>
      <c r="K15" s="9">
        <f>IF(C15=0,0,H15/C15)</f>
        <v/>
      </c>
      <c r="L15" s="9">
        <f>IF(C15=0,0,E15/C15)</f>
        <v/>
      </c>
      <c r="M15" s="9">
        <f>IF(F15=0,0,E15/F15)</f>
        <v/>
      </c>
      <c r="N15" s="9">
        <f>IF(B15=0,0,C15/B15)</f>
        <v/>
      </c>
      <c r="O15" s="9">
        <f>IF(C15=0,0,(F15+G15+H15)/C15)</f>
        <v/>
      </c>
      <c r="P15" s="9">
        <f>IF(B15=0,0,D15/B15)</f>
        <v/>
      </c>
    </row>
    <row r="16">
      <c r="A16" s="8" t="inlineStr">
        <is>
          <t xml:space="preserve">  No Acepta</t>
        </is>
      </c>
      <c r="B16" s="8" t="n">
        <v>381</v>
      </c>
      <c r="C16" s="8">
        <f>E16+F16+G16+H16</f>
        <v/>
      </c>
      <c r="D16" s="8">
        <f>B16-C16</f>
        <v/>
      </c>
      <c r="E16" s="8" t="n">
        <v>0</v>
      </c>
      <c r="F16" s="8" t="n">
        <v>381</v>
      </c>
      <c r="G16" s="8" t="n">
        <v>0</v>
      </c>
      <c r="H16" s="9" t="n">
        <v>0</v>
      </c>
      <c r="I16" s="9">
        <f>IF(C16=0,0,F16/C16)</f>
        <v/>
      </c>
      <c r="J16" s="9">
        <f>IF(C16=0,0,G16/C16)</f>
        <v/>
      </c>
      <c r="K16" s="9">
        <f>IF(C16=0,0,H16/C16)</f>
        <v/>
      </c>
      <c r="L16" s="9">
        <f>IF(C16=0,0,E16/C16)</f>
        <v/>
      </c>
      <c r="M16" s="9">
        <f>IF(F16=0,0,E16/F16)</f>
        <v/>
      </c>
      <c r="N16" s="9">
        <f>IF(B16=0,0,C16/B16)</f>
        <v/>
      </c>
      <c r="O16" s="9">
        <f>IF(C16=0,0,(F16+G16+H16)/C16)</f>
        <v/>
      </c>
      <c r="P16" s="9">
        <f>IF(B16=0,0,D16/B16)</f>
        <v/>
      </c>
    </row>
    <row r="17">
      <c r="A17" s="8" t="inlineStr">
        <is>
          <t xml:space="preserve">  No volver a llamar</t>
        </is>
      </c>
      <c r="B17" s="8" t="n">
        <v>79</v>
      </c>
      <c r="C17" s="8">
        <f>E17+F17+G17+H17</f>
        <v/>
      </c>
      <c r="D17" s="8">
        <f>B17-C17</f>
        <v/>
      </c>
      <c r="E17" s="8" t="n">
        <v>0</v>
      </c>
      <c r="F17" s="8" t="n">
        <v>79</v>
      </c>
      <c r="G17" s="8" t="n">
        <v>0</v>
      </c>
      <c r="H17" s="9" t="n">
        <v>0</v>
      </c>
      <c r="I17" s="9">
        <f>IF(C17=0,0,F17/C17)</f>
        <v/>
      </c>
      <c r="J17" s="9">
        <f>IF(C17=0,0,G17/C17)</f>
        <v/>
      </c>
      <c r="K17" s="9">
        <f>IF(C17=0,0,H17/C17)</f>
        <v/>
      </c>
      <c r="L17" s="9">
        <f>IF(C17=0,0,E17/C17)</f>
        <v/>
      </c>
      <c r="M17" s="9">
        <f>IF(F17=0,0,E17/F17)</f>
        <v/>
      </c>
      <c r="N17" s="9">
        <f>IF(B17=0,0,C17/B17)</f>
        <v/>
      </c>
      <c r="O17" s="9">
        <f>IF(C17=0,0,(F17+G17+H17)/C17)</f>
        <v/>
      </c>
      <c r="P17" s="9">
        <f>IF(B17=0,0,D17/B17)</f>
        <v/>
      </c>
    </row>
    <row r="18">
      <c r="A18" s="8" t="inlineStr">
        <is>
          <t xml:space="preserve">  Rechaza oferta</t>
        </is>
      </c>
      <c r="B18" s="8" t="n">
        <v>2</v>
      </c>
      <c r="C18" s="8">
        <f>E18+F18+G18+H18</f>
        <v/>
      </c>
      <c r="D18" s="8">
        <f>B18-C18</f>
        <v/>
      </c>
      <c r="E18" s="8" t="n">
        <v>0</v>
      </c>
      <c r="F18" s="8" t="n">
        <v>2</v>
      </c>
      <c r="G18" s="8" t="n">
        <v>0</v>
      </c>
      <c r="H18" s="9" t="n">
        <v>0</v>
      </c>
      <c r="I18" s="9">
        <f>IF(C18=0,0,F18/C18)</f>
        <v/>
      </c>
      <c r="J18" s="9">
        <f>IF(C18=0,0,G18/C18)</f>
        <v/>
      </c>
      <c r="K18" s="9">
        <f>IF(C18=0,0,H18/C18)</f>
        <v/>
      </c>
      <c r="L18" s="9">
        <f>IF(C18=0,0,E18/C18)</f>
        <v/>
      </c>
      <c r="M18" s="9">
        <f>IF(F18=0,0,E18/F18)</f>
        <v/>
      </c>
      <c r="N18" s="9">
        <f>IF(B18=0,0,C18/B18)</f>
        <v/>
      </c>
      <c r="O18" s="9">
        <f>IF(C18=0,0,(F18+G18+H18)/C18)</f>
        <v/>
      </c>
      <c r="P18" s="9">
        <f>IF(B18=0,0,D18/B18)</f>
        <v/>
      </c>
    </row>
    <row r="19">
      <c r="A19" s="8" t="inlineStr">
        <is>
          <t xml:space="preserve">  No acepta tiempo cuotas</t>
        </is>
      </c>
      <c r="B19" s="8" t="n">
        <v>1</v>
      </c>
      <c r="C19" s="8">
        <f>E19+F19+G19+H19</f>
        <v/>
      </c>
      <c r="D19" s="8">
        <f>B19-C19</f>
        <v/>
      </c>
      <c r="E19" s="8" t="n">
        <v>0</v>
      </c>
      <c r="F19" s="8" t="n">
        <v>1</v>
      </c>
      <c r="G19" s="8" t="n">
        <v>0</v>
      </c>
      <c r="H19" s="9" t="n">
        <v>0</v>
      </c>
      <c r="I19" s="9">
        <f>IF(C19=0,0,F19/C19)</f>
        <v/>
      </c>
      <c r="J19" s="9">
        <f>IF(C19=0,0,G19/C19)</f>
        <v/>
      </c>
      <c r="K19" s="9">
        <f>IF(C19=0,0,H19/C19)</f>
        <v/>
      </c>
      <c r="L19" s="9">
        <f>IF(C19=0,0,E19/C19)</f>
        <v/>
      </c>
      <c r="M19" s="9">
        <f>IF(F19=0,0,E19/F19)</f>
        <v/>
      </c>
      <c r="N19" s="9">
        <f>IF(B19=0,0,C19/B19)</f>
        <v/>
      </c>
      <c r="O19" s="9">
        <f>IF(C19=0,0,(F19+G19+H19)/C19)</f>
        <v/>
      </c>
      <c r="P19" s="9">
        <f>IF(B19=0,0,D19/B19)</f>
        <v/>
      </c>
    </row>
    <row r="20">
      <c r="A20" s="8" t="inlineStr">
        <is>
          <t xml:space="preserve">  No acepta aumento MRC</t>
        </is>
      </c>
      <c r="B20" s="8" t="n">
        <v>1</v>
      </c>
      <c r="C20" s="8">
        <f>E20+F20+G20+H20</f>
        <v/>
      </c>
      <c r="D20" s="8">
        <f>B20-C20</f>
        <v/>
      </c>
      <c r="E20" s="8" t="n">
        <v>0</v>
      </c>
      <c r="F20" s="8" t="n">
        <v>1</v>
      </c>
      <c r="G20" s="8" t="n">
        <v>0</v>
      </c>
      <c r="H20" s="9" t="n">
        <v>0</v>
      </c>
      <c r="I20" s="9">
        <f>IF(C20=0,0,F20/C20)</f>
        <v/>
      </c>
      <c r="J20" s="9">
        <f>IF(C20=0,0,G20/C20)</f>
        <v/>
      </c>
      <c r="K20" s="9">
        <f>IF(C20=0,0,H20/C20)</f>
        <v/>
      </c>
      <c r="L20" s="9">
        <f>IF(C20=0,0,E20/C20)</f>
        <v/>
      </c>
      <c r="M20" s="9">
        <f>IF(F20=0,0,E20/F20)</f>
        <v/>
      </c>
      <c r="N20" s="9">
        <f>IF(B20=0,0,C20/B20)</f>
        <v/>
      </c>
      <c r="O20" s="9">
        <f>IF(C20=0,0,(F20+G20+H20)/C20)</f>
        <v/>
      </c>
      <c r="P20" s="9">
        <f>IF(B20=0,0,D20/B20)</f>
        <v/>
      </c>
    </row>
    <row r="21">
      <c r="A21" s="8" t="inlineStr">
        <is>
          <t xml:space="preserve">  No aplica para renovar</t>
        </is>
      </c>
      <c r="B21" s="8" t="n">
        <v>1</v>
      </c>
      <c r="C21" s="8">
        <f>E21+F21+G21+H21</f>
        <v/>
      </c>
      <c r="D21" s="8">
        <f>B21-C21</f>
        <v/>
      </c>
      <c r="E21" s="8" t="n">
        <v>0</v>
      </c>
      <c r="F21" s="8" t="n">
        <v>1</v>
      </c>
      <c r="G21" s="8" t="n">
        <v>0</v>
      </c>
      <c r="H21" s="9" t="n">
        <v>0</v>
      </c>
      <c r="I21" s="9">
        <f>IF(C21=0,0,F21/C21)</f>
        <v/>
      </c>
      <c r="J21" s="9">
        <f>IF(C21=0,0,G21/C21)</f>
        <v/>
      </c>
      <c r="K21" s="9">
        <f>IF(C21=0,0,H21/C21)</f>
        <v/>
      </c>
      <c r="L21" s="9">
        <f>IF(C21=0,0,E21/C21)</f>
        <v/>
      </c>
      <c r="M21" s="9">
        <f>IF(F21=0,0,E21/F21)</f>
        <v/>
      </c>
      <c r="N21" s="9">
        <f>IF(B21=0,0,C21/B21)</f>
        <v/>
      </c>
      <c r="O21" s="9">
        <f>IF(C21=0,0,(F21+G21+H21)/C21)</f>
        <v/>
      </c>
      <c r="P21" s="9">
        <f>IF(B21=0,0,D21/B21)</f>
        <v/>
      </c>
    </row>
    <row r="22">
      <c r="A22" s="8" t="inlineStr">
        <is>
          <t xml:space="preserve">  Solicita contacto posterior</t>
        </is>
      </c>
      <c r="B22" s="8" t="n">
        <v>1</v>
      </c>
      <c r="C22" s="8">
        <f>E22+F22+G22+H22</f>
        <v/>
      </c>
      <c r="D22" s="8">
        <f>B22-C22</f>
        <v/>
      </c>
      <c r="E22" s="8" t="n">
        <v>0</v>
      </c>
      <c r="F22" s="8" t="n">
        <v>1</v>
      </c>
      <c r="G22" s="8" t="n">
        <v>0</v>
      </c>
      <c r="H22" s="9" t="n">
        <v>0</v>
      </c>
      <c r="I22" s="9">
        <f>IF(C22=0,0,F22/C22)</f>
        <v/>
      </c>
      <c r="J22" s="9">
        <f>IF(C22=0,0,G22/C22)</f>
        <v/>
      </c>
      <c r="K22" s="9">
        <f>IF(C22=0,0,H22/C22)</f>
        <v/>
      </c>
      <c r="L22" s="9">
        <f>IF(C22=0,0,E22/C22)</f>
        <v/>
      </c>
      <c r="M22" s="9">
        <f>IF(F22=0,0,E22/F22)</f>
        <v/>
      </c>
      <c r="N22" s="9">
        <f>IF(B22=0,0,C22/B22)</f>
        <v/>
      </c>
      <c r="O22" s="9">
        <f>IF(C22=0,0,(F22+G22+H22)/C22)</f>
        <v/>
      </c>
      <c r="P22" s="9">
        <f>IF(B22=0,0,D22/B22)</f>
        <v/>
      </c>
    </row>
    <row r="23">
      <c r="A23" s="8" t="inlineStr">
        <is>
          <t xml:space="preserve">  Volver a llamar</t>
        </is>
      </c>
      <c r="B23" s="8" t="n">
        <v>222</v>
      </c>
      <c r="C23" s="8">
        <f>E23+F23+G23+H23</f>
        <v/>
      </c>
      <c r="D23" s="8">
        <f>B23-C23</f>
        <v/>
      </c>
      <c r="E23" s="8" t="n">
        <v>0</v>
      </c>
      <c r="F23" s="8" t="n">
        <v>0</v>
      </c>
      <c r="G23" s="8" t="n">
        <v>222</v>
      </c>
      <c r="H23" s="9" t="n">
        <v>0</v>
      </c>
      <c r="I23" s="9">
        <f>IF(C23=0,0,F23/C23)</f>
        <v/>
      </c>
      <c r="J23" s="9">
        <f>IF(C23=0,0,G23/C23)</f>
        <v/>
      </c>
      <c r="K23" s="9">
        <f>IF(C23=0,0,H23/C23)</f>
        <v/>
      </c>
      <c r="L23" s="9">
        <f>IF(C23=0,0,E23/C23)</f>
        <v/>
      </c>
      <c r="M23" s="9">
        <f>IF(F23=0,0,E23/F23)</f>
        <v/>
      </c>
      <c r="N23" s="9">
        <f>IF(B23=0,0,C23/B23)</f>
        <v/>
      </c>
      <c r="O23" s="9">
        <f>IF(C23=0,0,(F23+G23+H23)/C23)</f>
        <v/>
      </c>
      <c r="P23" s="9">
        <f>IF(B23=0,0,D23/B23)</f>
        <v/>
      </c>
    </row>
    <row r="24">
      <c r="A24" s="8" t="inlineStr">
        <is>
          <t xml:space="preserve">  No es el titular</t>
        </is>
      </c>
      <c r="B24" s="8" t="n">
        <v>197</v>
      </c>
      <c r="C24" s="8">
        <f>E24+F24+G24+H24</f>
        <v/>
      </c>
      <c r="D24" s="8">
        <f>B24-C24</f>
        <v/>
      </c>
      <c r="E24" s="8" t="n">
        <v>0</v>
      </c>
      <c r="F24" s="8" t="n">
        <v>0</v>
      </c>
      <c r="G24" s="8" t="n">
        <v>197</v>
      </c>
      <c r="H24" s="9" t="n">
        <v>0</v>
      </c>
      <c r="I24" s="9">
        <f>IF(C24=0,0,F24/C24)</f>
        <v/>
      </c>
      <c r="J24" s="9">
        <f>IF(C24=0,0,G24/C24)</f>
        <v/>
      </c>
      <c r="K24" s="9">
        <f>IF(C24=0,0,H24/C24)</f>
        <v/>
      </c>
      <c r="L24" s="9">
        <f>IF(C24=0,0,E24/C24)</f>
        <v/>
      </c>
      <c r="M24" s="9">
        <f>IF(F24=0,0,E24/F24)</f>
        <v/>
      </c>
      <c r="N24" s="9">
        <f>IF(B24=0,0,C24/B24)</f>
        <v/>
      </c>
      <c r="O24" s="9">
        <f>IF(C24=0,0,(F24+G24+H24)/C24)</f>
        <v/>
      </c>
      <c r="P24" s="9">
        <f>IF(B24=0,0,D24/B24)</f>
        <v/>
      </c>
    </row>
    <row r="25">
      <c r="A25" s="8" t="inlineStr">
        <is>
          <t xml:space="preserve">  Seguimiento</t>
        </is>
      </c>
      <c r="B25" s="8" t="n">
        <v>439</v>
      </c>
      <c r="C25" s="8">
        <f>E25+F25+G25+H25</f>
        <v/>
      </c>
      <c r="D25" s="8">
        <f>B25-C25</f>
        <v/>
      </c>
      <c r="E25" s="8" t="n">
        <v>0</v>
      </c>
      <c r="F25" s="8" t="n">
        <v>0</v>
      </c>
      <c r="G25" s="8" t="n">
        <v>439</v>
      </c>
      <c r="H25" s="9" t="n">
        <v>0</v>
      </c>
      <c r="I25" s="9">
        <f>IF(C25=0,0,F25/C25)</f>
        <v/>
      </c>
      <c r="J25" s="9">
        <f>IF(C25=0,0,G25/C25)</f>
        <v/>
      </c>
      <c r="K25" s="9">
        <f>IF(C25=0,0,H25/C25)</f>
        <v/>
      </c>
      <c r="L25" s="9">
        <f>IF(C25=0,0,E25/C25)</f>
        <v/>
      </c>
      <c r="M25" s="9">
        <f>IF(F25=0,0,E25/F25)</f>
        <v/>
      </c>
      <c r="N25" s="9">
        <f>IF(B25=0,0,C25/B25)</f>
        <v/>
      </c>
      <c r="O25" s="9">
        <f>IF(C25=0,0,(F25+G25+H25)/C25)</f>
        <v/>
      </c>
      <c r="P25" s="9">
        <f>IF(B25=0,0,D25/B25)</f>
        <v/>
      </c>
    </row>
    <row r="26">
      <c r="A26" s="8" t="inlineStr">
        <is>
          <t xml:space="preserve">  Cliente cuelga</t>
        </is>
      </c>
      <c r="B26" s="8" t="n">
        <v>2</v>
      </c>
      <c r="C26" s="8">
        <f>E26+F26+G26+H26</f>
        <v/>
      </c>
      <c r="D26" s="8">
        <f>B26-C26</f>
        <v/>
      </c>
      <c r="E26" s="8" t="n">
        <v>0</v>
      </c>
      <c r="F26" s="8" t="n">
        <v>0</v>
      </c>
      <c r="G26" s="8" t="n">
        <v>2</v>
      </c>
      <c r="H26" s="9" t="n">
        <v>0</v>
      </c>
      <c r="I26" s="9">
        <f>IF(C26=0,0,F26/C26)</f>
        <v/>
      </c>
      <c r="J26" s="9">
        <f>IF(C26=0,0,G26/C26)</f>
        <v/>
      </c>
      <c r="K26" s="9">
        <f>IF(C26=0,0,H26/C26)</f>
        <v/>
      </c>
      <c r="L26" s="9">
        <f>IF(C26=0,0,E26/C26)</f>
        <v/>
      </c>
      <c r="M26" s="9">
        <f>IF(F26=0,0,E26/F26)</f>
        <v/>
      </c>
      <c r="N26" s="9">
        <f>IF(B26=0,0,C26/B26)</f>
        <v/>
      </c>
      <c r="O26" s="9">
        <f>IF(C26=0,0,(F26+G26+H26)/C26)</f>
        <v/>
      </c>
      <c r="P26" s="9">
        <f>IF(B26=0,0,D26/B26)</f>
        <v/>
      </c>
    </row>
    <row r="27">
      <c r="A27" s="8" t="inlineStr">
        <is>
          <t xml:space="preserve">  Call Back</t>
        </is>
      </c>
      <c r="B27" s="8" t="n">
        <v>1</v>
      </c>
      <c r="C27" s="8">
        <f>E27+F27+G27+H27</f>
        <v/>
      </c>
      <c r="D27" s="8">
        <f>B27-C27</f>
        <v/>
      </c>
      <c r="E27" s="8" t="n">
        <v>0</v>
      </c>
      <c r="F27" s="8" t="n">
        <v>0</v>
      </c>
      <c r="G27" s="8" t="n">
        <v>1</v>
      </c>
      <c r="H27" s="9" t="n">
        <v>0</v>
      </c>
      <c r="I27" s="9">
        <f>IF(C27=0,0,F27/C27)</f>
        <v/>
      </c>
      <c r="J27" s="9">
        <f>IF(C27=0,0,G27/C27)</f>
        <v/>
      </c>
      <c r="K27" s="9">
        <f>IF(C27=0,0,H27/C27)</f>
        <v/>
      </c>
      <c r="L27" s="9">
        <f>IF(C27=0,0,E27/C27)</f>
        <v/>
      </c>
      <c r="M27" s="9">
        <f>IF(F27=0,0,E27/F27)</f>
        <v/>
      </c>
      <c r="N27" s="9">
        <f>IF(B27=0,0,C27/B27)</f>
        <v/>
      </c>
      <c r="O27" s="9">
        <f>IF(C27=0,0,(F27+G27+H27)/C27)</f>
        <v/>
      </c>
      <c r="P27" s="9">
        <f>IF(B27=0,0,D27/B27)</f>
        <v/>
      </c>
    </row>
    <row r="28">
      <c r="A28" s="8" t="inlineStr">
        <is>
          <t xml:space="preserve">  No contesta</t>
        </is>
      </c>
      <c r="B28" s="8" t="n">
        <v>2894</v>
      </c>
      <c r="C28" s="8">
        <f>E28+F28+G28+H28</f>
        <v/>
      </c>
      <c r="D28" s="8">
        <f>B28-C28</f>
        <v/>
      </c>
      <c r="E28" s="8" t="n">
        <v>0</v>
      </c>
      <c r="F28" s="8" t="n">
        <v>0</v>
      </c>
      <c r="G28" s="8" t="n">
        <v>0</v>
      </c>
      <c r="H28" s="9" t="n">
        <v>2894</v>
      </c>
      <c r="I28" s="9">
        <f>IF(C28=0,0,F28/C28)</f>
        <v/>
      </c>
      <c r="J28" s="9">
        <f>IF(C28=0,0,G28/C28)</f>
        <v/>
      </c>
      <c r="K28" s="9">
        <f>IF(C28=0,0,H28/C28)</f>
        <v/>
      </c>
      <c r="L28" s="9">
        <f>IF(C28=0,0,E28/C28)</f>
        <v/>
      </c>
      <c r="M28" s="9">
        <f>IF(F28=0,0,E28/F28)</f>
        <v/>
      </c>
      <c r="N28" s="9">
        <f>IF(B28=0,0,C28/B28)</f>
        <v/>
      </c>
      <c r="O28" s="9">
        <f>IF(C28=0,0,(F28+G28+H28)/C28)</f>
        <v/>
      </c>
      <c r="P28" s="9">
        <f>IF(B28=0,0,D28/B28)</f>
        <v/>
      </c>
    </row>
    <row r="29">
      <c r="A29" s="8" t="inlineStr">
        <is>
          <t xml:space="preserve">  Cierra Llamada</t>
        </is>
      </c>
      <c r="B29" s="8" t="n">
        <v>956</v>
      </c>
      <c r="C29" s="8">
        <f>E29+F29+G29+H29</f>
        <v/>
      </c>
      <c r="D29" s="8">
        <f>B29-C29</f>
        <v/>
      </c>
      <c r="E29" s="8" t="n">
        <v>0</v>
      </c>
      <c r="F29" s="8" t="n">
        <v>0</v>
      </c>
      <c r="G29" s="8" t="n">
        <v>0</v>
      </c>
      <c r="H29" s="9" t="n">
        <v>956</v>
      </c>
      <c r="I29" s="9">
        <f>IF(C29=0,0,F29/C29)</f>
        <v/>
      </c>
      <c r="J29" s="9">
        <f>IF(C29=0,0,G29/C29)</f>
        <v/>
      </c>
      <c r="K29" s="9">
        <f>IF(C29=0,0,H29/C29)</f>
        <v/>
      </c>
      <c r="L29" s="9">
        <f>IF(C29=0,0,E29/C29)</f>
        <v/>
      </c>
      <c r="M29" s="9">
        <f>IF(F29=0,0,E29/F29)</f>
        <v/>
      </c>
      <c r="N29" s="9">
        <f>IF(B29=0,0,C29/B29)</f>
        <v/>
      </c>
      <c r="O29" s="9">
        <f>IF(C29=0,0,(F29+G29+H29)/C29)</f>
        <v/>
      </c>
      <c r="P29" s="9">
        <f>IF(B29=0,0,D29/B29)</f>
        <v/>
      </c>
    </row>
    <row r="30">
      <c r="A30" s="8" t="inlineStr">
        <is>
          <t xml:space="preserve">  Contestador Automatico</t>
        </is>
      </c>
      <c r="B30" s="8" t="n">
        <v>335</v>
      </c>
      <c r="C30" s="8">
        <f>E30+F30+G30+H30</f>
        <v/>
      </c>
      <c r="D30" s="8">
        <f>B30-C30</f>
        <v/>
      </c>
      <c r="E30" s="8" t="n">
        <v>0</v>
      </c>
      <c r="F30" s="8" t="n">
        <v>0</v>
      </c>
      <c r="G30" s="8" t="n">
        <v>0</v>
      </c>
      <c r="H30" s="9" t="n">
        <v>335</v>
      </c>
      <c r="I30" s="9">
        <f>IF(C30=0,0,F30/C30)</f>
        <v/>
      </c>
      <c r="J30" s="9">
        <f>IF(C30=0,0,G30/C30)</f>
        <v/>
      </c>
      <c r="K30" s="9">
        <f>IF(C30=0,0,H30/C30)</f>
        <v/>
      </c>
      <c r="L30" s="9">
        <f>IF(C30=0,0,E30/C30)</f>
        <v/>
      </c>
      <c r="M30" s="9">
        <f>IF(F30=0,0,E30/F30)</f>
        <v/>
      </c>
      <c r="N30" s="9">
        <f>IF(B30=0,0,C30/B30)</f>
        <v/>
      </c>
      <c r="O30" s="9">
        <f>IF(C30=0,0,(F30+G30+H30)/C30)</f>
        <v/>
      </c>
      <c r="P30" s="9">
        <f>IF(B30=0,0,D30/B30)</f>
        <v/>
      </c>
    </row>
    <row r="31">
      <c r="A31" s="8" t="inlineStr">
        <is>
          <t xml:space="preserve">  Llamada no contesta</t>
        </is>
      </c>
      <c r="B31" s="8" t="n">
        <v>3</v>
      </c>
      <c r="C31" s="8">
        <f>E31+F31+G31+H31</f>
        <v/>
      </c>
      <c r="D31" s="8">
        <f>B31-C31</f>
        <v/>
      </c>
      <c r="E31" s="8" t="n">
        <v>0</v>
      </c>
      <c r="F31" s="8" t="n">
        <v>0</v>
      </c>
      <c r="G31" s="8" t="n">
        <v>0</v>
      </c>
      <c r="H31" s="9" t="n">
        <v>3</v>
      </c>
      <c r="I31" s="9">
        <f>IF(C31=0,0,F31/C31)</f>
        <v/>
      </c>
      <c r="J31" s="9">
        <f>IF(C31=0,0,G31/C31)</f>
        <v/>
      </c>
      <c r="K31" s="9">
        <f>IF(C31=0,0,H31/C31)</f>
        <v/>
      </c>
      <c r="L31" s="9">
        <f>IF(C31=0,0,E31/C31)</f>
        <v/>
      </c>
      <c r="M31" s="9">
        <f>IF(F31=0,0,E31/F31)</f>
        <v/>
      </c>
      <c r="N31" s="9">
        <f>IF(B31=0,0,C31/B31)</f>
        <v/>
      </c>
      <c r="O31" s="9">
        <f>IF(C31=0,0,(F31+G31+H31)/C31)</f>
        <v/>
      </c>
      <c r="P31" s="9">
        <f>IF(B31=0,0,D31/B31)</f>
        <v/>
      </c>
    </row>
    <row r="32">
      <c r="A32" s="8" t="inlineStr">
        <is>
          <t xml:space="preserve">  Buzon de voz</t>
        </is>
      </c>
      <c r="B32" s="8" t="n">
        <v>2</v>
      </c>
      <c r="C32" s="8">
        <f>E32+F32+G32+H32</f>
        <v/>
      </c>
      <c r="D32" s="8">
        <f>B32-C32</f>
        <v/>
      </c>
      <c r="E32" s="8" t="n">
        <v>0</v>
      </c>
      <c r="F32" s="8" t="n">
        <v>0</v>
      </c>
      <c r="G32" s="8" t="n">
        <v>0</v>
      </c>
      <c r="H32" s="9" t="n">
        <v>2</v>
      </c>
      <c r="I32" s="9">
        <f>IF(C32=0,0,F32/C32)</f>
        <v/>
      </c>
      <c r="J32" s="9">
        <f>IF(C32=0,0,G32/C32)</f>
        <v/>
      </c>
      <c r="K32" s="9">
        <f>IF(C32=0,0,H32/C32)</f>
        <v/>
      </c>
      <c r="L32" s="9">
        <f>IF(C32=0,0,E32/C32)</f>
        <v/>
      </c>
      <c r="M32" s="9">
        <f>IF(F32=0,0,E32/F32)</f>
        <v/>
      </c>
      <c r="N32" s="9">
        <f>IF(B32=0,0,C32/B32)</f>
        <v/>
      </c>
      <c r="O32" s="9">
        <f>IF(C32=0,0,(F32+G32+H32)/C32)</f>
        <v/>
      </c>
      <c r="P32" s="9">
        <f>IF(B32=0,0,D32/B32)</f>
        <v/>
      </c>
    </row>
    <row r="33">
      <c r="A33" s="8" t="inlineStr">
        <is>
          <t xml:space="preserve">  Cliente con deuda</t>
        </is>
      </c>
      <c r="B33" s="8" t="n">
        <v>51</v>
      </c>
      <c r="C33" s="8">
        <f>E33+F33+G33+H33</f>
        <v/>
      </c>
      <c r="D33" s="8">
        <f>B33-C33</f>
        <v/>
      </c>
      <c r="E33" s="8" t="n">
        <v>0</v>
      </c>
      <c r="F33" s="8" t="n">
        <v>0</v>
      </c>
      <c r="G33" s="8" t="n">
        <v>0</v>
      </c>
      <c r="H33" s="9" t="n">
        <v>51</v>
      </c>
      <c r="I33" s="9">
        <f>IF(C33=0,0,F33/C33)</f>
        <v/>
      </c>
      <c r="J33" s="9">
        <f>IF(C33=0,0,G33/C33)</f>
        <v/>
      </c>
      <c r="K33" s="9">
        <f>IF(C33=0,0,H33/C33)</f>
        <v/>
      </c>
      <c r="L33" s="9">
        <f>IF(C33=0,0,E33/C33)</f>
        <v/>
      </c>
      <c r="M33" s="9">
        <f>IF(F33=0,0,E33/F33)</f>
        <v/>
      </c>
      <c r="N33" s="9">
        <f>IF(B33=0,0,C33/B33)</f>
        <v/>
      </c>
      <c r="O33" s="9">
        <f>IF(C33=0,0,(F33+G33+H33)/C33)</f>
        <v/>
      </c>
      <c r="P33" s="9">
        <f>IF(B33=0,0,D33/B33)</f>
        <v/>
      </c>
    </row>
    <row r="34">
      <c r="A34" s="8" t="inlineStr">
        <is>
          <t xml:space="preserve">  Otros NPC</t>
        </is>
      </c>
      <c r="B34" s="8" t="n">
        <v>86</v>
      </c>
      <c r="C34" s="8">
        <f>E34+F34+G34+H34</f>
        <v/>
      </c>
      <c r="D34" s="8">
        <f>B34-C34</f>
        <v/>
      </c>
      <c r="E34" s="8" t="n">
        <v>0</v>
      </c>
      <c r="F34" s="8" t="n">
        <v>0</v>
      </c>
      <c r="G34" s="8" t="n">
        <v>0</v>
      </c>
      <c r="H34" s="9" t="n">
        <v>86</v>
      </c>
      <c r="I34" s="9">
        <f>IF(C34=0,0,F34/C34)</f>
        <v/>
      </c>
      <c r="J34" s="9">
        <f>IF(C34=0,0,G34/C34)</f>
        <v/>
      </c>
      <c r="K34" s="9">
        <f>IF(C34=0,0,H34/C34)</f>
        <v/>
      </c>
      <c r="L34" s="9">
        <f>IF(C34=0,0,E34/C34)</f>
        <v/>
      </c>
      <c r="M34" s="9">
        <f>IF(F34=0,0,E34/F34)</f>
        <v/>
      </c>
      <c r="N34" s="9">
        <f>IF(B34=0,0,C34/B34)</f>
        <v/>
      </c>
      <c r="O34" s="9">
        <f>IF(C34=0,0,(F34+G34+H34)/C34)</f>
        <v/>
      </c>
      <c r="P34" s="9">
        <f>IF(B34=0,0,D34/B34)</f>
        <v/>
      </c>
    </row>
    <row r="35">
      <c r="A35" s="6" t="inlineStr">
        <is>
          <t>August 2026</t>
        </is>
      </c>
      <c r="B35" s="6" t="n">
        <v>538</v>
      </c>
      <c r="C35" s="6">
        <f>E35+F35+G35+H35</f>
        <v/>
      </c>
      <c r="D35" s="6">
        <f>B35-C35</f>
        <v/>
      </c>
      <c r="E35" s="6" t="n">
        <v>135</v>
      </c>
      <c r="F35" s="6" t="n">
        <v>340</v>
      </c>
      <c r="G35" s="6" t="n">
        <v>950</v>
      </c>
      <c r="H35" s="7" t="n">
        <v>4478</v>
      </c>
      <c r="I35" s="7">
        <f>IF(C35=0,0,F35/C35)</f>
        <v/>
      </c>
      <c r="J35" s="7">
        <f>IF(C35=0,0,G35/C35)</f>
        <v/>
      </c>
      <c r="K35" s="7">
        <f>IF(C35=0,0,H35/C35)</f>
        <v/>
      </c>
      <c r="L35" s="7">
        <f>IF(C35=0,0,E35/C35)</f>
        <v/>
      </c>
      <c r="M35" s="7">
        <f>IF(F35=0,0,E35/F35)</f>
        <v/>
      </c>
      <c r="N35" s="7">
        <f>IF(B35=0,0,C35/B35)</f>
        <v/>
      </c>
      <c r="O35" s="7">
        <f>IF(C35=0,0,(F35+G35+H35)/C35)</f>
        <v/>
      </c>
      <c r="P35" s="7">
        <f>IF(B35=0,0,D35/B35)</f>
        <v/>
      </c>
    </row>
    <row r="36">
      <c r="A36" s="8" t="inlineStr">
        <is>
          <t xml:space="preserve">  Se envia propuesta</t>
        </is>
      </c>
      <c r="B36" s="8" t="n">
        <v>129</v>
      </c>
      <c r="C36" s="8">
        <f>E36+F36+G36+H36</f>
        <v/>
      </c>
      <c r="D36" s="8">
        <f>B36-C36</f>
        <v/>
      </c>
      <c r="E36" s="8" t="n">
        <v>129</v>
      </c>
      <c r="F36" s="8" t="n">
        <v>0</v>
      </c>
      <c r="G36" s="8" t="n">
        <v>0</v>
      </c>
      <c r="H36" s="9" t="n">
        <v>0</v>
      </c>
      <c r="I36" s="9">
        <f>IF(C36=0,0,F36/C36)</f>
        <v/>
      </c>
      <c r="J36" s="9">
        <f>IF(C36=0,0,G36/C36)</f>
        <v/>
      </c>
      <c r="K36" s="9">
        <f>IF(C36=0,0,H36/C36)</f>
        <v/>
      </c>
      <c r="L36" s="9">
        <f>IF(C36=0,0,E36/C36)</f>
        <v/>
      </c>
      <c r="M36" s="9">
        <f>IF(F36=0,0,E36/F36)</f>
        <v/>
      </c>
      <c r="N36" s="9">
        <f>IF(B36=0,0,C36/B36)</f>
        <v/>
      </c>
      <c r="O36" s="9">
        <f>IF(C36=0,0,(F36+G36+H36)/C36)</f>
        <v/>
      </c>
      <c r="P36" s="9">
        <f>IF(B36=0,0,D36/B36)</f>
        <v/>
      </c>
    </row>
    <row r="37">
      <c r="A37" s="8" t="inlineStr">
        <is>
          <t xml:space="preserve">  Ya Renovo</t>
        </is>
      </c>
      <c r="B37" s="8" t="n">
        <v>2</v>
      </c>
      <c r="C37" s="8">
        <f>E37+F37+G37+H37</f>
        <v/>
      </c>
      <c r="D37" s="8">
        <f>B37-C37</f>
        <v/>
      </c>
      <c r="E37" s="8" t="n">
        <v>2</v>
      </c>
      <c r="F37" s="8" t="n">
        <v>0</v>
      </c>
      <c r="G37" s="8" t="n">
        <v>0</v>
      </c>
      <c r="H37" s="9" t="n">
        <v>0</v>
      </c>
      <c r="I37" s="9">
        <f>IF(C37=0,0,F37/C37)</f>
        <v/>
      </c>
      <c r="J37" s="9">
        <f>IF(C37=0,0,G37/C37)</f>
        <v/>
      </c>
      <c r="K37" s="9">
        <f>IF(C37=0,0,H37/C37)</f>
        <v/>
      </c>
      <c r="L37" s="9">
        <f>IF(C37=0,0,E37/C37)</f>
        <v/>
      </c>
      <c r="M37" s="9">
        <f>IF(F37=0,0,E37/F37)</f>
        <v/>
      </c>
      <c r="N37" s="9">
        <f>IF(B37=0,0,C37/B37)</f>
        <v/>
      </c>
      <c r="O37" s="9">
        <f>IF(C37=0,0,(F37+G37+H37)/C37)</f>
        <v/>
      </c>
      <c r="P37" s="9">
        <f>IF(B37=0,0,D37/B37)</f>
        <v/>
      </c>
    </row>
    <row r="38">
      <c r="A38" s="8" t="inlineStr">
        <is>
          <t xml:space="preserve">  Renovara en tienda</t>
        </is>
      </c>
      <c r="B38" s="8" t="n">
        <v>2</v>
      </c>
      <c r="C38" s="8">
        <f>E38+F38+G38+H38</f>
        <v/>
      </c>
      <c r="D38" s="8">
        <f>B38-C38</f>
        <v/>
      </c>
      <c r="E38" s="8" t="n">
        <v>2</v>
      </c>
      <c r="F38" s="8" t="n">
        <v>0</v>
      </c>
      <c r="G38" s="8" t="n">
        <v>0</v>
      </c>
      <c r="H38" s="9" t="n">
        <v>0</v>
      </c>
      <c r="I38" s="9">
        <f>IF(C38=0,0,F38/C38)</f>
        <v/>
      </c>
      <c r="J38" s="9">
        <f>IF(C38=0,0,G38/C38)</f>
        <v/>
      </c>
      <c r="K38" s="9">
        <f>IF(C38=0,0,H38/C38)</f>
        <v/>
      </c>
      <c r="L38" s="9">
        <f>IF(C38=0,0,E38/C38)</f>
        <v/>
      </c>
      <c r="M38" s="9">
        <f>IF(F38=0,0,E38/F38)</f>
        <v/>
      </c>
      <c r="N38" s="9">
        <f>IF(B38=0,0,C38/B38)</f>
        <v/>
      </c>
      <c r="O38" s="9">
        <f>IF(C38=0,0,(F38+G38+H38)/C38)</f>
        <v/>
      </c>
      <c r="P38" s="9">
        <f>IF(B38=0,0,D38/B38)</f>
        <v/>
      </c>
    </row>
    <row r="39">
      <c r="A39" s="8" t="inlineStr">
        <is>
          <t xml:space="preserve">  Por Aprobacion</t>
        </is>
      </c>
      <c r="B39" s="8" t="n">
        <v>2</v>
      </c>
      <c r="C39" s="8">
        <f>E39+F39+G39+H39</f>
        <v/>
      </c>
      <c r="D39" s="8">
        <f>B39-C39</f>
        <v/>
      </c>
      <c r="E39" s="8" t="n">
        <v>2</v>
      </c>
      <c r="F39" s="8" t="n">
        <v>0</v>
      </c>
      <c r="G39" s="8" t="n">
        <v>0</v>
      </c>
      <c r="H39" s="9" t="n">
        <v>0</v>
      </c>
      <c r="I39" s="9">
        <f>IF(C39=0,0,F39/C39)</f>
        <v/>
      </c>
      <c r="J39" s="9">
        <f>IF(C39=0,0,G39/C39)</f>
        <v/>
      </c>
      <c r="K39" s="9">
        <f>IF(C39=0,0,H39/C39)</f>
        <v/>
      </c>
      <c r="L39" s="9">
        <f>IF(C39=0,0,E39/C39)</f>
        <v/>
      </c>
      <c r="M39" s="9">
        <f>IF(F39=0,0,E39/F39)</f>
        <v/>
      </c>
      <c r="N39" s="9">
        <f>IF(B39=0,0,C39/B39)</f>
        <v/>
      </c>
      <c r="O39" s="9">
        <f>IF(C39=0,0,(F39+G39+H39)/C39)</f>
        <v/>
      </c>
      <c r="P39" s="9">
        <f>IF(B39=0,0,D39/B39)</f>
        <v/>
      </c>
    </row>
    <row r="40">
      <c r="A40" s="8" t="inlineStr">
        <is>
          <t xml:space="preserve">  No Acepta</t>
        </is>
      </c>
      <c r="B40" s="8" t="n">
        <v>227</v>
      </c>
      <c r="C40" s="8">
        <f>E40+F40+G40+H40</f>
        <v/>
      </c>
      <c r="D40" s="8">
        <f>B40-C40</f>
        <v/>
      </c>
      <c r="E40" s="8" t="n">
        <v>0</v>
      </c>
      <c r="F40" s="8" t="n">
        <v>227</v>
      </c>
      <c r="G40" s="8" t="n">
        <v>0</v>
      </c>
      <c r="H40" s="9" t="n">
        <v>0</v>
      </c>
      <c r="I40" s="9">
        <f>IF(C40=0,0,F40/C40)</f>
        <v/>
      </c>
      <c r="J40" s="9">
        <f>IF(C40=0,0,G40/C40)</f>
        <v/>
      </c>
      <c r="K40" s="9">
        <f>IF(C40=0,0,H40/C40)</f>
        <v/>
      </c>
      <c r="L40" s="9">
        <f>IF(C40=0,0,E40/C40)</f>
        <v/>
      </c>
      <c r="M40" s="9">
        <f>IF(F40=0,0,E40/F40)</f>
        <v/>
      </c>
      <c r="N40" s="9">
        <f>IF(B40=0,0,C40/B40)</f>
        <v/>
      </c>
      <c r="O40" s="9">
        <f>IF(C40=0,0,(F40+G40+H40)/C40)</f>
        <v/>
      </c>
      <c r="P40" s="9">
        <f>IF(B40=0,0,D40/B40)</f>
        <v/>
      </c>
    </row>
    <row r="41">
      <c r="A41" s="8" t="inlineStr">
        <is>
          <t xml:space="preserve">  No volver a llamar</t>
        </is>
      </c>
      <c r="B41" s="8" t="n">
        <v>105</v>
      </c>
      <c r="C41" s="8">
        <f>E41+F41+G41+H41</f>
        <v/>
      </c>
      <c r="D41" s="8">
        <f>B41-C41</f>
        <v/>
      </c>
      <c r="E41" s="8" t="n">
        <v>0</v>
      </c>
      <c r="F41" s="8" t="n">
        <v>105</v>
      </c>
      <c r="G41" s="8" t="n">
        <v>0</v>
      </c>
      <c r="H41" s="9" t="n">
        <v>0</v>
      </c>
      <c r="I41" s="9">
        <f>IF(C41=0,0,F41/C41)</f>
        <v/>
      </c>
      <c r="J41" s="9">
        <f>IF(C41=0,0,G41/C41)</f>
        <v/>
      </c>
      <c r="K41" s="9">
        <f>IF(C41=0,0,H41/C41)</f>
        <v/>
      </c>
      <c r="L41" s="9">
        <f>IF(C41=0,0,E41/C41)</f>
        <v/>
      </c>
      <c r="M41" s="9">
        <f>IF(F41=0,0,E41/F41)</f>
        <v/>
      </c>
      <c r="N41" s="9">
        <f>IF(B41=0,0,C41/B41)</f>
        <v/>
      </c>
      <c r="O41" s="9">
        <f>IF(C41=0,0,(F41+G41+H41)/C41)</f>
        <v/>
      </c>
      <c r="P41" s="9">
        <f>IF(B41=0,0,D41/B41)</f>
        <v/>
      </c>
    </row>
    <row r="42">
      <c r="A42" s="8" t="inlineStr">
        <is>
          <t xml:space="preserve">  No acepta aumento MRC</t>
        </is>
      </c>
      <c r="B42" s="8" t="n">
        <v>3</v>
      </c>
      <c r="C42" s="8">
        <f>E42+F42+G42+H42</f>
        <v/>
      </c>
      <c r="D42" s="8">
        <f>B42-C42</f>
        <v/>
      </c>
      <c r="E42" s="8" t="n">
        <v>0</v>
      </c>
      <c r="F42" s="8" t="n">
        <v>3</v>
      </c>
      <c r="G42" s="8" t="n">
        <v>0</v>
      </c>
      <c r="H42" s="9" t="n">
        <v>0</v>
      </c>
      <c r="I42" s="9">
        <f>IF(C42=0,0,F42/C42)</f>
        <v/>
      </c>
      <c r="J42" s="9">
        <f>IF(C42=0,0,G42/C42)</f>
        <v/>
      </c>
      <c r="K42" s="9">
        <f>IF(C42=0,0,H42/C42)</f>
        <v/>
      </c>
      <c r="L42" s="9">
        <f>IF(C42=0,0,E42/C42)</f>
        <v/>
      </c>
      <c r="M42" s="9">
        <f>IF(F42=0,0,E42/F42)</f>
        <v/>
      </c>
      <c r="N42" s="9">
        <f>IF(B42=0,0,C42/B42)</f>
        <v/>
      </c>
      <c r="O42" s="9">
        <f>IF(C42=0,0,(F42+G42+H42)/C42)</f>
        <v/>
      </c>
      <c r="P42" s="9">
        <f>IF(B42=0,0,D42/B42)</f>
        <v/>
      </c>
    </row>
    <row r="43">
      <c r="A43" s="8" t="inlineStr">
        <is>
          <t xml:space="preserve">  No aplica para renovar</t>
        </is>
      </c>
      <c r="B43" s="8" t="n">
        <v>1</v>
      </c>
      <c r="C43" s="8">
        <f>E43+F43+G43+H43</f>
        <v/>
      </c>
      <c r="D43" s="8">
        <f>B43-C43</f>
        <v/>
      </c>
      <c r="E43" s="8" t="n">
        <v>0</v>
      </c>
      <c r="F43" s="8" t="n">
        <v>1</v>
      </c>
      <c r="G43" s="8" t="n">
        <v>0</v>
      </c>
      <c r="H43" s="9" t="n">
        <v>0</v>
      </c>
      <c r="I43" s="9">
        <f>IF(C43=0,0,F43/C43)</f>
        <v/>
      </c>
      <c r="J43" s="9">
        <f>IF(C43=0,0,G43/C43)</f>
        <v/>
      </c>
      <c r="K43" s="9">
        <f>IF(C43=0,0,H43/C43)</f>
        <v/>
      </c>
      <c r="L43" s="9">
        <f>IF(C43=0,0,E43/C43)</f>
        <v/>
      </c>
      <c r="M43" s="9">
        <f>IF(F43=0,0,E43/F43)</f>
        <v/>
      </c>
      <c r="N43" s="9">
        <f>IF(B43=0,0,C43/B43)</f>
        <v/>
      </c>
      <c r="O43" s="9">
        <f>IF(C43=0,0,(F43+G43+H43)/C43)</f>
        <v/>
      </c>
      <c r="P43" s="9">
        <f>IF(B43=0,0,D43/B43)</f>
        <v/>
      </c>
    </row>
    <row r="44">
      <c r="A44" s="8" t="inlineStr">
        <is>
          <t xml:space="preserve">  Solicita contacto posterior</t>
        </is>
      </c>
      <c r="B44" s="8" t="n">
        <v>1</v>
      </c>
      <c r="C44" s="8">
        <f>E44+F44+G44+H44</f>
        <v/>
      </c>
      <c r="D44" s="8">
        <f>B44-C44</f>
        <v/>
      </c>
      <c r="E44" s="8" t="n">
        <v>0</v>
      </c>
      <c r="F44" s="8" t="n">
        <v>1</v>
      </c>
      <c r="G44" s="8" t="n">
        <v>0</v>
      </c>
      <c r="H44" s="9" t="n">
        <v>0</v>
      </c>
      <c r="I44" s="9">
        <f>IF(C44=0,0,F44/C44)</f>
        <v/>
      </c>
      <c r="J44" s="9">
        <f>IF(C44=0,0,G44/C44)</f>
        <v/>
      </c>
      <c r="K44" s="9">
        <f>IF(C44=0,0,H44/C44)</f>
        <v/>
      </c>
      <c r="L44" s="9">
        <f>IF(C44=0,0,E44/C44)</f>
        <v/>
      </c>
      <c r="M44" s="9">
        <f>IF(F44=0,0,E44/F44)</f>
        <v/>
      </c>
      <c r="N44" s="9">
        <f>IF(B44=0,0,C44/B44)</f>
        <v/>
      </c>
      <c r="O44" s="9">
        <f>IF(C44=0,0,(F44+G44+H44)/C44)</f>
        <v/>
      </c>
      <c r="P44" s="9">
        <f>IF(B44=0,0,D44/B44)</f>
        <v/>
      </c>
    </row>
    <row r="45">
      <c r="A45" s="8" t="inlineStr">
        <is>
          <t xml:space="preserve">  Volver a llamar</t>
        </is>
      </c>
      <c r="B45" s="8" t="n">
        <v>270</v>
      </c>
      <c r="C45" s="8">
        <f>E45+F45+G45+H45</f>
        <v/>
      </c>
      <c r="D45" s="8">
        <f>B45-C45</f>
        <v/>
      </c>
      <c r="E45" s="8" t="n">
        <v>0</v>
      </c>
      <c r="F45" s="8" t="n">
        <v>0</v>
      </c>
      <c r="G45" s="8" t="n">
        <v>270</v>
      </c>
      <c r="H45" s="9" t="n">
        <v>0</v>
      </c>
      <c r="I45" s="9">
        <f>IF(C45=0,0,F45/C45)</f>
        <v/>
      </c>
      <c r="J45" s="9">
        <f>IF(C45=0,0,G45/C45)</f>
        <v/>
      </c>
      <c r="K45" s="9">
        <f>IF(C45=0,0,H45/C45)</f>
        <v/>
      </c>
      <c r="L45" s="9">
        <f>IF(C45=0,0,E45/C45)</f>
        <v/>
      </c>
      <c r="M45" s="9">
        <f>IF(F45=0,0,E45/F45)</f>
        <v/>
      </c>
      <c r="N45" s="9">
        <f>IF(B45=0,0,C45/B45)</f>
        <v/>
      </c>
      <c r="O45" s="9">
        <f>IF(C45=0,0,(F45+G45+H45)/C45)</f>
        <v/>
      </c>
      <c r="P45" s="9">
        <f>IF(B45=0,0,D45/B45)</f>
        <v/>
      </c>
    </row>
    <row r="46">
      <c r="A46" s="8" t="inlineStr">
        <is>
          <t xml:space="preserve">  No es el titular</t>
        </is>
      </c>
      <c r="B46" s="8" t="n">
        <v>329</v>
      </c>
      <c r="C46" s="8">
        <f>E46+F46+G46+H46</f>
        <v/>
      </c>
      <c r="D46" s="8">
        <f>B46-C46</f>
        <v/>
      </c>
      <c r="E46" s="8" t="n">
        <v>0</v>
      </c>
      <c r="F46" s="8" t="n">
        <v>0</v>
      </c>
      <c r="G46" s="8" t="n">
        <v>329</v>
      </c>
      <c r="H46" s="9" t="n">
        <v>0</v>
      </c>
      <c r="I46" s="9">
        <f>IF(C46=0,0,F46/C46)</f>
        <v/>
      </c>
      <c r="J46" s="9">
        <f>IF(C46=0,0,G46/C46)</f>
        <v/>
      </c>
      <c r="K46" s="9">
        <f>IF(C46=0,0,H46/C46)</f>
        <v/>
      </c>
      <c r="L46" s="9">
        <f>IF(C46=0,0,E46/C46)</f>
        <v/>
      </c>
      <c r="M46" s="9">
        <f>IF(F46=0,0,E46/F46)</f>
        <v/>
      </c>
      <c r="N46" s="9">
        <f>IF(B46=0,0,C46/B46)</f>
        <v/>
      </c>
      <c r="O46" s="9">
        <f>IF(C46=0,0,(F46+G46+H46)/C46)</f>
        <v/>
      </c>
      <c r="P46" s="9">
        <f>IF(B46=0,0,D46/B46)</f>
        <v/>
      </c>
    </row>
    <row r="47">
      <c r="A47" s="8" t="inlineStr">
        <is>
          <t xml:space="preserve">  Seguimiento</t>
        </is>
      </c>
      <c r="B47" s="8" t="n">
        <v>332</v>
      </c>
      <c r="C47" s="8">
        <f>E47+F47+G47+H47</f>
        <v/>
      </c>
      <c r="D47" s="8">
        <f>B47-C47</f>
        <v/>
      </c>
      <c r="E47" s="8" t="n">
        <v>0</v>
      </c>
      <c r="F47" s="8" t="n">
        <v>0</v>
      </c>
      <c r="G47" s="8" t="n">
        <v>332</v>
      </c>
      <c r="H47" s="9" t="n">
        <v>0</v>
      </c>
      <c r="I47" s="9">
        <f>IF(C47=0,0,F47/C47)</f>
        <v/>
      </c>
      <c r="J47" s="9">
        <f>IF(C47=0,0,G47/C47)</f>
        <v/>
      </c>
      <c r="K47" s="9">
        <f>IF(C47=0,0,H47/C47)</f>
        <v/>
      </c>
      <c r="L47" s="9">
        <f>IF(C47=0,0,E47/C47)</f>
        <v/>
      </c>
      <c r="M47" s="9">
        <f>IF(F47=0,0,E47/F47)</f>
        <v/>
      </c>
      <c r="N47" s="9">
        <f>IF(B47=0,0,C47/B47)</f>
        <v/>
      </c>
      <c r="O47" s="9">
        <f>IF(C47=0,0,(F47+G47+H47)/C47)</f>
        <v/>
      </c>
      <c r="P47" s="9">
        <f>IF(B47=0,0,D47/B47)</f>
        <v/>
      </c>
    </row>
    <row r="48">
      <c r="A48" s="8" t="inlineStr">
        <is>
          <t xml:space="preserve">  Cliente cuelga</t>
        </is>
      </c>
      <c r="B48" s="8" t="n">
        <v>7</v>
      </c>
      <c r="C48" s="8">
        <f>E48+F48+G48+H48</f>
        <v/>
      </c>
      <c r="D48" s="8">
        <f>B48-C48</f>
        <v/>
      </c>
      <c r="E48" s="8" t="n">
        <v>0</v>
      </c>
      <c r="F48" s="8" t="n">
        <v>0</v>
      </c>
      <c r="G48" s="8" t="n">
        <v>7</v>
      </c>
      <c r="H48" s="9" t="n">
        <v>0</v>
      </c>
      <c r="I48" s="9">
        <f>IF(C48=0,0,F48/C48)</f>
        <v/>
      </c>
      <c r="J48" s="9">
        <f>IF(C48=0,0,G48/C48)</f>
        <v/>
      </c>
      <c r="K48" s="9">
        <f>IF(C48=0,0,H48/C48)</f>
        <v/>
      </c>
      <c r="L48" s="9">
        <f>IF(C48=0,0,E48/C48)</f>
        <v/>
      </c>
      <c r="M48" s="9">
        <f>IF(F48=0,0,E48/F48)</f>
        <v/>
      </c>
      <c r="N48" s="9">
        <f>IF(B48=0,0,C48/B48)</f>
        <v/>
      </c>
      <c r="O48" s="9">
        <f>IF(C48=0,0,(F48+G48+H48)/C48)</f>
        <v/>
      </c>
      <c r="P48" s="9">
        <f>IF(B48=0,0,D48/B48)</f>
        <v/>
      </c>
    </row>
    <row r="49">
      <c r="A49" s="8" t="inlineStr">
        <is>
          <t xml:space="preserve">  Call Back</t>
        </is>
      </c>
      <c r="B49" s="8" t="n">
        <v>12</v>
      </c>
      <c r="C49" s="8">
        <f>E49+F49+G49+H49</f>
        <v/>
      </c>
      <c r="D49" s="8">
        <f>B49-C49</f>
        <v/>
      </c>
      <c r="E49" s="8" t="n">
        <v>0</v>
      </c>
      <c r="F49" s="8" t="n">
        <v>0</v>
      </c>
      <c r="G49" s="8" t="n">
        <v>12</v>
      </c>
      <c r="H49" s="9" t="n">
        <v>0</v>
      </c>
      <c r="I49" s="9">
        <f>IF(C49=0,0,F49/C49)</f>
        <v/>
      </c>
      <c r="J49" s="9">
        <f>IF(C49=0,0,G49/C49)</f>
        <v/>
      </c>
      <c r="K49" s="9">
        <f>IF(C49=0,0,H49/C49)</f>
        <v/>
      </c>
      <c r="L49" s="9">
        <f>IF(C49=0,0,E49/C49)</f>
        <v/>
      </c>
      <c r="M49" s="9">
        <f>IF(F49=0,0,E49/F49)</f>
        <v/>
      </c>
      <c r="N49" s="9">
        <f>IF(B49=0,0,C49/B49)</f>
        <v/>
      </c>
      <c r="O49" s="9">
        <f>IF(C49=0,0,(F49+G49+H49)/C49)</f>
        <v/>
      </c>
      <c r="P49" s="9">
        <f>IF(B49=0,0,D49/B49)</f>
        <v/>
      </c>
    </row>
    <row r="50">
      <c r="A50" s="8" t="inlineStr">
        <is>
          <t xml:space="preserve">  No contesta</t>
        </is>
      </c>
      <c r="B50" s="8" t="n">
        <v>2854</v>
      </c>
      <c r="C50" s="8">
        <f>E50+F50+G50+H50</f>
        <v/>
      </c>
      <c r="D50" s="8">
        <f>B50-C50</f>
        <v/>
      </c>
      <c r="E50" s="8" t="n">
        <v>0</v>
      </c>
      <c r="F50" s="8" t="n">
        <v>0</v>
      </c>
      <c r="G50" s="8" t="n">
        <v>0</v>
      </c>
      <c r="H50" s="9" t="n">
        <v>2854</v>
      </c>
      <c r="I50" s="9">
        <f>IF(C50=0,0,F50/C50)</f>
        <v/>
      </c>
      <c r="J50" s="9">
        <f>IF(C50=0,0,G50/C50)</f>
        <v/>
      </c>
      <c r="K50" s="9">
        <f>IF(C50=0,0,H50/C50)</f>
        <v/>
      </c>
      <c r="L50" s="9">
        <f>IF(C50=0,0,E50/C50)</f>
        <v/>
      </c>
      <c r="M50" s="9">
        <f>IF(F50=0,0,E50/F50)</f>
        <v/>
      </c>
      <c r="N50" s="9">
        <f>IF(B50=0,0,C50/B50)</f>
        <v/>
      </c>
      <c r="O50" s="9">
        <f>IF(C50=0,0,(F50+G50+H50)/C50)</f>
        <v/>
      </c>
      <c r="P50" s="9">
        <f>IF(B50=0,0,D50/B50)</f>
        <v/>
      </c>
    </row>
    <row r="51">
      <c r="A51" s="8" t="inlineStr">
        <is>
          <t xml:space="preserve">  Cierra Llamada</t>
        </is>
      </c>
      <c r="B51" s="8" t="n">
        <v>852</v>
      </c>
      <c r="C51" s="8">
        <f>E51+F51+G51+H51</f>
        <v/>
      </c>
      <c r="D51" s="8">
        <f>B51-C51</f>
        <v/>
      </c>
      <c r="E51" s="8" t="n">
        <v>0</v>
      </c>
      <c r="F51" s="8" t="n">
        <v>0</v>
      </c>
      <c r="G51" s="8" t="n">
        <v>0</v>
      </c>
      <c r="H51" s="9" t="n">
        <v>852</v>
      </c>
      <c r="I51" s="9">
        <f>IF(C51=0,0,F51/C51)</f>
        <v/>
      </c>
      <c r="J51" s="9">
        <f>IF(C51=0,0,G51/C51)</f>
        <v/>
      </c>
      <c r="K51" s="9">
        <f>IF(C51=0,0,H51/C51)</f>
        <v/>
      </c>
      <c r="L51" s="9">
        <f>IF(C51=0,0,E51/C51)</f>
        <v/>
      </c>
      <c r="M51" s="9">
        <f>IF(F51=0,0,E51/F51)</f>
        <v/>
      </c>
      <c r="N51" s="9">
        <f>IF(B51=0,0,C51/B51)</f>
        <v/>
      </c>
      <c r="O51" s="9">
        <f>IF(C51=0,0,(F51+G51+H51)/C51)</f>
        <v/>
      </c>
      <c r="P51" s="9">
        <f>IF(B51=0,0,D51/B51)</f>
        <v/>
      </c>
    </row>
    <row r="52">
      <c r="A52" s="8" t="inlineStr">
        <is>
          <t xml:space="preserve">  Contestador Automatico</t>
        </is>
      </c>
      <c r="B52" s="8" t="n">
        <v>551</v>
      </c>
      <c r="C52" s="8">
        <f>E52+F52+G52+H52</f>
        <v/>
      </c>
      <c r="D52" s="8">
        <f>B52-C52</f>
        <v/>
      </c>
      <c r="E52" s="8" t="n">
        <v>0</v>
      </c>
      <c r="F52" s="8" t="n">
        <v>0</v>
      </c>
      <c r="G52" s="8" t="n">
        <v>0</v>
      </c>
      <c r="H52" s="9" t="n">
        <v>551</v>
      </c>
      <c r="I52" s="9">
        <f>IF(C52=0,0,F52/C52)</f>
        <v/>
      </c>
      <c r="J52" s="9">
        <f>IF(C52=0,0,G52/C52)</f>
        <v/>
      </c>
      <c r="K52" s="9">
        <f>IF(C52=0,0,H52/C52)</f>
        <v/>
      </c>
      <c r="L52" s="9">
        <f>IF(C52=0,0,E52/C52)</f>
        <v/>
      </c>
      <c r="M52" s="9">
        <f>IF(F52=0,0,E52/F52)</f>
        <v/>
      </c>
      <c r="N52" s="9">
        <f>IF(B52=0,0,C52/B52)</f>
        <v/>
      </c>
      <c r="O52" s="9">
        <f>IF(C52=0,0,(F52+G52+H52)/C52)</f>
        <v/>
      </c>
      <c r="P52" s="9">
        <f>IF(B52=0,0,D52/B52)</f>
        <v/>
      </c>
    </row>
    <row r="53">
      <c r="A53" s="8" t="inlineStr">
        <is>
          <t xml:space="preserve">  Llamada no contesta</t>
        </is>
      </c>
      <c r="B53" s="8" t="n">
        <v>44</v>
      </c>
      <c r="C53" s="8">
        <f>E53+F53+G53+H53</f>
        <v/>
      </c>
      <c r="D53" s="8">
        <f>B53-C53</f>
        <v/>
      </c>
      <c r="E53" s="8" t="n">
        <v>0</v>
      </c>
      <c r="F53" s="8" t="n">
        <v>0</v>
      </c>
      <c r="G53" s="8" t="n">
        <v>0</v>
      </c>
      <c r="H53" s="9" t="n">
        <v>44</v>
      </c>
      <c r="I53" s="9">
        <f>IF(C53=0,0,F53/C53)</f>
        <v/>
      </c>
      <c r="J53" s="9">
        <f>IF(C53=0,0,G53/C53)</f>
        <v/>
      </c>
      <c r="K53" s="9">
        <f>IF(C53=0,0,H53/C53)</f>
        <v/>
      </c>
      <c r="L53" s="9">
        <f>IF(C53=0,0,E53/C53)</f>
        <v/>
      </c>
      <c r="M53" s="9">
        <f>IF(F53=0,0,E53/F53)</f>
        <v/>
      </c>
      <c r="N53" s="9">
        <f>IF(B53=0,0,C53/B53)</f>
        <v/>
      </c>
      <c r="O53" s="9">
        <f>IF(C53=0,0,(F53+G53+H53)/C53)</f>
        <v/>
      </c>
      <c r="P53" s="9">
        <f>IF(B53=0,0,D53/B53)</f>
        <v/>
      </c>
    </row>
    <row r="54">
      <c r="A54" s="8" t="inlineStr">
        <is>
          <t xml:space="preserve">  Buzon de voz</t>
        </is>
      </c>
      <c r="B54" s="8" t="n">
        <v>10</v>
      </c>
      <c r="C54" s="8">
        <f>E54+F54+G54+H54</f>
        <v/>
      </c>
      <c r="D54" s="8">
        <f>B54-C54</f>
        <v/>
      </c>
      <c r="E54" s="8" t="n">
        <v>0</v>
      </c>
      <c r="F54" s="8" t="n">
        <v>0</v>
      </c>
      <c r="G54" s="8" t="n">
        <v>0</v>
      </c>
      <c r="H54" s="9" t="n">
        <v>10</v>
      </c>
      <c r="I54" s="9">
        <f>IF(C54=0,0,F54/C54)</f>
        <v/>
      </c>
      <c r="J54" s="9">
        <f>IF(C54=0,0,G54/C54)</f>
        <v/>
      </c>
      <c r="K54" s="9">
        <f>IF(C54=0,0,H54/C54)</f>
        <v/>
      </c>
      <c r="L54" s="9">
        <f>IF(C54=0,0,E54/C54)</f>
        <v/>
      </c>
      <c r="M54" s="9">
        <f>IF(F54=0,0,E54/F54)</f>
        <v/>
      </c>
      <c r="N54" s="9">
        <f>IF(B54=0,0,C54/B54)</f>
        <v/>
      </c>
      <c r="O54" s="9">
        <f>IF(C54=0,0,(F54+G54+H54)/C54)</f>
        <v/>
      </c>
      <c r="P54" s="9">
        <f>IF(B54=0,0,D54/B54)</f>
        <v/>
      </c>
    </row>
    <row r="55">
      <c r="A55" s="8" t="inlineStr">
        <is>
          <t xml:space="preserve">  Cliente con deuda</t>
        </is>
      </c>
      <c r="B55" s="8" t="n">
        <v>46</v>
      </c>
      <c r="C55" s="8">
        <f>E55+F55+G55+H55</f>
        <v/>
      </c>
      <c r="D55" s="8">
        <f>B55-C55</f>
        <v/>
      </c>
      <c r="E55" s="8" t="n">
        <v>0</v>
      </c>
      <c r="F55" s="8" t="n">
        <v>0</v>
      </c>
      <c r="G55" s="8" t="n">
        <v>0</v>
      </c>
      <c r="H55" s="9" t="n">
        <v>46</v>
      </c>
      <c r="I55" s="9">
        <f>IF(C55=0,0,F55/C55)</f>
        <v/>
      </c>
      <c r="J55" s="9">
        <f>IF(C55=0,0,G55/C55)</f>
        <v/>
      </c>
      <c r="K55" s="9">
        <f>IF(C55=0,0,H55/C55)</f>
        <v/>
      </c>
      <c r="L55" s="9">
        <f>IF(C55=0,0,E55/C55)</f>
        <v/>
      </c>
      <c r="M55" s="9">
        <f>IF(F55=0,0,E55/F55)</f>
        <v/>
      </c>
      <c r="N55" s="9">
        <f>IF(B55=0,0,C55/B55)</f>
        <v/>
      </c>
      <c r="O55" s="9">
        <f>IF(C55=0,0,(F55+G55+H55)/C55)</f>
        <v/>
      </c>
      <c r="P55" s="9">
        <f>IF(B55=0,0,D55/B55)</f>
        <v/>
      </c>
    </row>
    <row r="56">
      <c r="A56" s="8" t="inlineStr">
        <is>
          <t xml:space="preserve">  Otros NPC</t>
        </is>
      </c>
      <c r="B56" s="8" t="n">
        <v>94</v>
      </c>
      <c r="C56" s="8">
        <f>E56+F56+G56+H56</f>
        <v/>
      </c>
      <c r="D56" s="8">
        <f>B56-C56</f>
        <v/>
      </c>
      <c r="E56" s="8" t="n">
        <v>0</v>
      </c>
      <c r="F56" s="8" t="n">
        <v>0</v>
      </c>
      <c r="G56" s="8" t="n">
        <v>0</v>
      </c>
      <c r="H56" s="9" t="n">
        <v>94</v>
      </c>
      <c r="I56" s="9">
        <f>IF(C56=0,0,F56/C56)</f>
        <v/>
      </c>
      <c r="J56" s="9">
        <f>IF(C56=0,0,G56/C56)</f>
        <v/>
      </c>
      <c r="K56" s="9">
        <f>IF(C56=0,0,H56/C56)</f>
        <v/>
      </c>
      <c r="L56" s="9">
        <f>IF(C56=0,0,E56/C56)</f>
        <v/>
      </c>
      <c r="M56" s="9">
        <f>IF(F56=0,0,E56/F56)</f>
        <v/>
      </c>
      <c r="N56" s="9">
        <f>IF(B56=0,0,C56/B56)</f>
        <v/>
      </c>
      <c r="O56" s="9">
        <f>IF(C56=0,0,(F56+G56+H56)/C56)</f>
        <v/>
      </c>
      <c r="P56" s="9">
        <f>IF(B56=0,0,D56/B56)</f>
        <v/>
      </c>
    </row>
    <row r="57">
      <c r="A57" s="4" t="inlineStr">
        <is>
          <t>Septembre 2026</t>
        </is>
      </c>
      <c r="B57" s="4" t="n">
        <v>521</v>
      </c>
      <c r="C57" s="4">
        <f>E57+F57+G57+H57</f>
        <v/>
      </c>
      <c r="D57" s="4">
        <f>B57-C57</f>
        <v/>
      </c>
      <c r="E57" s="4" t="n">
        <v>1</v>
      </c>
      <c r="F57" s="4" t="n">
        <v>7</v>
      </c>
      <c r="G57" s="4" t="n">
        <v>3</v>
      </c>
      <c r="H57" s="5" t="n">
        <v>13</v>
      </c>
      <c r="I57" s="5">
        <f>IF(C57=0,0,F57/C57)</f>
        <v/>
      </c>
      <c r="J57" s="5">
        <f>IF(C57=0,0,G57/C57)</f>
        <v/>
      </c>
      <c r="K57" s="5">
        <f>IF(C57=0,0,H57/C57)</f>
        <v/>
      </c>
      <c r="L57" s="5">
        <f>IF(C57=0,0,E57/C57)</f>
        <v/>
      </c>
      <c r="M57" s="5">
        <f>IF(F57=0,0,E57/F57)</f>
        <v/>
      </c>
      <c r="N57" s="5">
        <f>IF(B57=0,0,C57/B57)</f>
        <v/>
      </c>
      <c r="O57" s="5">
        <f>IF(C57=0,0,(F57+G57+H57)/C57)</f>
        <v/>
      </c>
      <c r="P57" s="5">
        <f>IF(B57=0,0,D57/B57)</f>
        <v/>
      </c>
    </row>
    <row r="58">
      <c r="A58" s="4" t="inlineStr">
        <is>
          <t>October 2026</t>
        </is>
      </c>
      <c r="B58" s="4" t="n">
        <v>680</v>
      </c>
      <c r="C58" s="4">
        <f>E58+F58+G58+H58</f>
        <v/>
      </c>
      <c r="D58" s="4">
        <f>B58-C58</f>
        <v/>
      </c>
      <c r="E58" s="4" t="n">
        <v>2</v>
      </c>
      <c r="F58" s="4" t="n">
        <v>4</v>
      </c>
      <c r="G58" s="4" t="n">
        <v>2</v>
      </c>
      <c r="H58" s="5" t="n">
        <v>7</v>
      </c>
      <c r="I58" s="5">
        <f>IF(C58=0,0,F58/C58)</f>
        <v/>
      </c>
      <c r="J58" s="5">
        <f>IF(C58=0,0,G58/C58)</f>
        <v/>
      </c>
      <c r="K58" s="5">
        <f>IF(C58=0,0,H58/C58)</f>
        <v/>
      </c>
      <c r="L58" s="5">
        <f>IF(C58=0,0,E58/C58)</f>
        <v/>
      </c>
      <c r="M58" s="5">
        <f>IF(F58=0,0,E58/F58)</f>
        <v/>
      </c>
      <c r="N58" s="5">
        <f>IF(B58=0,0,C58/B58)</f>
        <v/>
      </c>
      <c r="O58" s="5">
        <f>IF(C58=0,0,(F58+G58+H58)/C58)</f>
        <v/>
      </c>
      <c r="P58" s="5">
        <f>IF(B58=0,0,D58/B58)</f>
        <v/>
      </c>
    </row>
    <row r="59">
      <c r="A59" s="10" t="inlineStr">
        <is>
          <t>Grand Total</t>
        </is>
      </c>
      <c r="B59" s="10">
        <f>B8+B9+B10+B11+B35+B57+B58</f>
        <v/>
      </c>
      <c r="C59" s="10">
        <f>C8+C9+C10+C11+C35+C57+C58</f>
        <v/>
      </c>
      <c r="D59" s="10">
        <f>D8+D9+D10+D11+D35+D57+D58</f>
        <v/>
      </c>
      <c r="E59" s="10">
        <f>E8+E9+E10+E11+E35+E57+E58</f>
        <v/>
      </c>
      <c r="F59" s="10">
        <f>F8+F9+F10+F11+F35+F57+F58</f>
        <v/>
      </c>
      <c r="G59" s="10">
        <f>G8+G9+G10+G11+G35+G57+G58</f>
        <v/>
      </c>
      <c r="H59" s="11">
        <f>H8+H9+H10+H11+H35+H57+H58</f>
        <v/>
      </c>
      <c r="I59" s="11">
        <f>IF(C59=0,0,F59/C59)</f>
        <v/>
      </c>
      <c r="J59" s="11">
        <f>IF(C59=0,0,G59/C59)</f>
        <v/>
      </c>
      <c r="K59" s="11">
        <f>IF(C59=0,0,H59/C59)</f>
        <v/>
      </c>
      <c r="L59" s="11">
        <f>IF(C59=0,0,E59/C59)</f>
        <v/>
      </c>
      <c r="M59" s="11">
        <f>IF(F59=0,0,E59/F59)</f>
        <v/>
      </c>
      <c r="N59" s="11">
        <f>IF(B59=0,0,C59/B59)</f>
        <v/>
      </c>
      <c r="O59" s="11">
        <f>IF(C59=0,0,(F59+G59+H59)/C59)</f>
        <v/>
      </c>
      <c r="P59" s="11">
        <f>IF(B59=0,0,D59/B59)</f>
        <v/>
      </c>
    </row>
    <row r="62">
      <c r="A62" s="12" t="inlineStr">
        <is>
          <t>RECORRIDO POR CAMPAÑA - BASE SOHO RENOVACIONES</t>
        </is>
      </c>
    </row>
    <row r="63">
      <c r="A63" s="2" t="inlineStr">
        <is>
          <t>Fuente: -Recorrido de base SOHO (1).xlsx + VICI</t>
        </is>
      </c>
    </row>
    <row r="65">
      <c r="A65" s="3" t="inlineStr">
        <is>
          <t>Campana</t>
        </is>
      </c>
      <c r="B65" s="3" t="inlineStr">
        <is>
          <t>Base Cant</t>
        </is>
      </c>
      <c r="C65" s="3" t="inlineStr">
        <is>
          <t>No Asignados</t>
        </is>
      </c>
      <c r="D65" s="3" t="inlineStr">
        <is>
          <t>Asignados</t>
        </is>
      </c>
      <c r="E65" s="3" t="inlineStr">
        <is>
          <t>Recorrido</t>
        </is>
      </c>
      <c r="F65" s="3" t="inlineStr">
        <is>
          <t>% Recorrido</t>
        </is>
      </c>
      <c r="G65" s="3" t="inlineStr">
        <is>
          <t>Marcaciones</t>
        </is>
      </c>
      <c r="H65" s="3" t="inlineStr">
        <is>
          <t>Contacto</t>
        </is>
      </c>
      <c r="I65" s="3" t="inlineStr">
        <is>
          <t>% Contacto</t>
        </is>
      </c>
      <c r="J65" s="3" t="inlineStr">
        <is>
          <t>RPC</t>
        </is>
      </c>
      <c r="K65" s="3" t="inlineStr">
        <is>
          <t>% RPC</t>
        </is>
      </c>
    </row>
    <row r="66">
      <c r="A66" s="4" t="inlineStr">
        <is>
          <t>Base 2025</t>
        </is>
      </c>
      <c r="B66" s="4" t="n">
        <v>4991</v>
      </c>
      <c r="C66" s="4" t="n">
        <v>133</v>
      </c>
      <c r="D66" s="4" t="n">
        <v>4858</v>
      </c>
      <c r="E66" s="4" t="n">
        <v>322</v>
      </c>
      <c r="F66" s="5">
        <f>IF(D66=0,0,E66/D66)</f>
        <v/>
      </c>
      <c r="G66" s="4" t="n">
        <v>683</v>
      </c>
      <c r="H66" s="4" t="n">
        <v>236</v>
      </c>
      <c r="I66" s="5">
        <f>IF(G66=0,0,H66/G66)</f>
        <v/>
      </c>
      <c r="J66" s="4" t="n">
        <v>41</v>
      </c>
      <c r="K66" s="5">
        <f>IF(H66=0,0,J66/H66)</f>
        <v/>
      </c>
    </row>
    <row r="67">
      <c r="A67" s="4" t="inlineStr">
        <is>
          <t>Jan-Feb 2026</t>
        </is>
      </c>
      <c r="B67" s="4" t="n">
        <v>1140</v>
      </c>
      <c r="C67" s="4" t="n">
        <v>23</v>
      </c>
      <c r="D67" s="4" t="n">
        <v>1117</v>
      </c>
      <c r="E67" s="4" t="n">
        <v>63</v>
      </c>
      <c r="F67" s="5">
        <f>IF(D67=0,0,E67/D67)</f>
        <v/>
      </c>
      <c r="G67" s="4" t="n">
        <v>133</v>
      </c>
      <c r="H67" s="4" t="n">
        <v>38</v>
      </c>
      <c r="I67" s="5">
        <f>IF(G67=0,0,H67/G67)</f>
        <v/>
      </c>
      <c r="J67" s="4" t="n">
        <v>8</v>
      </c>
      <c r="K67" s="5">
        <f>IF(H67=0,0,J67/H67)</f>
        <v/>
      </c>
    </row>
    <row r="68">
      <c r="A68" s="4" t="inlineStr">
        <is>
          <t>Mar-Jun 2026</t>
        </is>
      </c>
      <c r="B68" s="4" t="n">
        <v>3239</v>
      </c>
      <c r="C68" s="4" t="n">
        <v>79</v>
      </c>
      <c r="D68" s="4" t="n">
        <v>3160</v>
      </c>
      <c r="E68" s="4" t="n">
        <v>151</v>
      </c>
      <c r="F68" s="5">
        <f>IF(D68=0,0,E68/D68)</f>
        <v/>
      </c>
      <c r="G68" s="4" t="n">
        <v>275</v>
      </c>
      <c r="H68" s="4" t="n">
        <v>90</v>
      </c>
      <c r="I68" s="5">
        <f>IF(G68=0,0,H68/G68)</f>
        <v/>
      </c>
      <c r="J68" s="4" t="n">
        <v>14</v>
      </c>
      <c r="K68" s="5">
        <f>IF(H68=0,0,J68/H68)</f>
        <v/>
      </c>
    </row>
    <row r="69">
      <c r="A69" s="6" t="inlineStr">
        <is>
          <t>July 2026</t>
        </is>
      </c>
      <c r="B69" s="6" t="n">
        <v>405</v>
      </c>
      <c r="C69" s="6" t="n">
        <v>12</v>
      </c>
      <c r="D69" s="6" t="n">
        <v>393</v>
      </c>
      <c r="E69" s="6" t="n">
        <v>5811</v>
      </c>
      <c r="F69" s="7">
        <f>IF(D69=0,0,E69/D69)</f>
        <v/>
      </c>
      <c r="G69" s="6" t="n">
        <v>1486</v>
      </c>
      <c r="H69" s="6" t="n">
        <v>466</v>
      </c>
      <c r="I69" s="7">
        <f>IF(G69=0,0,H69/G69)</f>
        <v/>
      </c>
      <c r="J69" s="6" t="n">
        <v>0</v>
      </c>
      <c r="K69" s="7">
        <f>IF(H69=0,0,J69/H69)</f>
        <v/>
      </c>
    </row>
    <row r="70">
      <c r="A70" s="6" t="inlineStr">
        <is>
          <t>August 2026</t>
        </is>
      </c>
      <c r="B70" s="6" t="n">
        <v>538</v>
      </c>
      <c r="C70" s="6" t="n">
        <v>31</v>
      </c>
      <c r="D70" s="6" t="n">
        <v>507</v>
      </c>
      <c r="E70" s="6" t="n">
        <v>5903</v>
      </c>
      <c r="F70" s="7">
        <f>IF(D70=0,0,E70/D70)</f>
        <v/>
      </c>
      <c r="G70" s="6" t="n">
        <v>1425</v>
      </c>
      <c r="H70" s="6" t="n">
        <v>340</v>
      </c>
      <c r="I70" s="7">
        <f>IF(G70=0,0,H70/G70)</f>
        <v/>
      </c>
      <c r="J70" s="6" t="n">
        <v>0</v>
      </c>
      <c r="K70" s="7">
        <f>IF(H70=0,0,J70/H70)</f>
        <v/>
      </c>
    </row>
    <row r="71">
      <c r="A71" s="4" t="inlineStr">
        <is>
          <t>Septembre 2026</t>
        </is>
      </c>
      <c r="B71" s="4" t="n">
        <v>521</v>
      </c>
      <c r="C71" s="4" t="n">
        <v>14</v>
      </c>
      <c r="D71" s="4" t="n">
        <v>507</v>
      </c>
      <c r="E71" s="4" t="n">
        <v>21</v>
      </c>
      <c r="F71" s="5">
        <f>IF(D71=0,0,E71/D71)</f>
        <v/>
      </c>
      <c r="G71" s="4" t="n">
        <v>36</v>
      </c>
      <c r="H71" s="4" t="n">
        <v>16</v>
      </c>
      <c r="I71" s="5">
        <f>IF(G71=0,0,H71/G71)</f>
        <v/>
      </c>
      <c r="J71" s="4" t="n">
        <v>6</v>
      </c>
      <c r="K71" s="5">
        <f>IF(H71=0,0,J71/H71)</f>
        <v/>
      </c>
    </row>
    <row r="72">
      <c r="A72" s="4" t="inlineStr">
        <is>
          <t>October 2026</t>
        </is>
      </c>
      <c r="B72" s="4" t="n">
        <v>680</v>
      </c>
      <c r="C72" s="4" t="n">
        <v>14</v>
      </c>
      <c r="D72" s="4" t="n">
        <v>666</v>
      </c>
      <c r="E72" s="4" t="n">
        <v>11</v>
      </c>
      <c r="F72" s="5">
        <f>IF(D72=0,0,E72/D72)</f>
        <v/>
      </c>
      <c r="G72" s="4" t="n">
        <v>32</v>
      </c>
      <c r="H72" s="4" t="n">
        <v>18</v>
      </c>
      <c r="I72" s="5">
        <f>IF(G72=0,0,H72/G72)</f>
        <v/>
      </c>
      <c r="J72" s="4" t="n">
        <v>5</v>
      </c>
      <c r="K72" s="5">
        <f>IF(H72=0,0,J72/H72)</f>
        <v/>
      </c>
    </row>
    <row r="73">
      <c r="A73" s="10" t="inlineStr">
        <is>
          <t>Total</t>
        </is>
      </c>
      <c r="B73" s="10">
        <f>SUM(B66:B72)</f>
        <v/>
      </c>
      <c r="C73" s="10">
        <f>SUM(C66:C72)</f>
        <v/>
      </c>
      <c r="D73" s="10">
        <f>SUM(D66:D72)</f>
        <v/>
      </c>
      <c r="E73" s="10">
        <f>SUM(E66:E72)</f>
        <v/>
      </c>
      <c r="F73" s="11">
        <f>IF(D73=0,0,E73/D73)</f>
        <v/>
      </c>
      <c r="G73" s="10">
        <f>SUM(G66:G72)</f>
        <v/>
      </c>
      <c r="H73" s="10">
        <f>SUM(H66:H72)</f>
        <v/>
      </c>
      <c r="I73" s="11">
        <f>IF(G73=0,0,H73/G73)</f>
        <v/>
      </c>
      <c r="J73" s="10">
        <f>SUM(J66:J72)</f>
        <v/>
      </c>
      <c r="K73" s="11">
        <f>IF(H73=0,0,J73/H73)</f>
        <v/>
      </c>
    </row>
    <row r="76">
      <c r="A76" s="12" t="inlineStr">
        <is>
          <t>RECORRIDO BASES SOHO RENOVACIONES - JULIO Y AGOSTO</t>
        </is>
      </c>
    </row>
    <row r="77">
      <c r="A77" s="2" t="inlineStr">
        <is>
          <t>Fuente: Recorrido de las bases Soho Renovaciones1.xlsx</t>
        </is>
      </c>
    </row>
    <row r="79">
      <c r="A79" s="3" t="inlineStr">
        <is>
          <t>Ejecutivo</t>
        </is>
      </c>
      <c r="B79" s="3" t="inlineStr">
        <is>
          <t>Registros</t>
        </is>
      </c>
      <c r="C79" s="3" t="inlineStr">
        <is>
          <t>Campanas</t>
        </is>
      </c>
    </row>
    <row r="80">
      <c r="A80" s="13" t="inlineStr">
        <is>
          <t>Massiel Toledo</t>
        </is>
      </c>
      <c r="B80" s="13" t="n">
        <v>815</v>
      </c>
      <c r="C80" s="13" t="inlineStr">
        <is>
          <t>Mar-Jun(553), Base2025(237), Jan-Feb(192), Jul(70)</t>
        </is>
      </c>
    </row>
    <row r="81">
      <c r="A81" s="13" t="inlineStr">
        <is>
          <t>Allison Barrios</t>
        </is>
      </c>
      <c r="B81" s="13" t="n">
        <v>105</v>
      </c>
      <c r="C81" s="13" t="inlineStr">
        <is>
          <t>Mar-Jun, Base2025, Jan-Feb</t>
        </is>
      </c>
    </row>
    <row r="82">
      <c r="A82" s="13" t="inlineStr">
        <is>
          <t>Miguel Avila</t>
        </is>
      </c>
      <c r="B82" s="13" t="n">
        <v>78</v>
      </c>
      <c r="C82" s="13" t="inlineStr">
        <is>
          <t>Mar-Jun, Base2025, Jan-Feb</t>
        </is>
      </c>
    </row>
    <row r="83">
      <c r="A83" s="13" t="inlineStr">
        <is>
          <t>Sully Penalba</t>
        </is>
      </c>
      <c r="B83" s="13" t="n">
        <v>54</v>
      </c>
      <c r="C83" s="13" t="inlineStr">
        <is>
          <t>Mar-Jun, Base2025, Jan-Feb</t>
        </is>
      </c>
    </row>
    <row r="84">
      <c r="A84" s="3" t="inlineStr">
        <is>
          <t>TOTAL RENOVACIONES</t>
        </is>
      </c>
      <c r="B84" s="3" t="n">
        <v>1052</v>
      </c>
      <c r="C84" s="3" t="inlineStr">
        <is>
          <t>Julio: 70 registros gestionados</t>
        </is>
      </c>
    </row>
    <row r="86">
      <c r="A86" s="14" t="inlineStr">
        <is>
          <t>BASE MOVIL SIN FIJO - JULIO</t>
        </is>
      </c>
    </row>
    <row r="87">
      <c r="A87" s="15" t="inlineStr">
        <is>
          <t>Total: 1,081 registros | Pura Moreno(361), Quesiah Romero(32), otros(688)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6" t="inlineStr">
        <is>
          <t>RESUMEN COMPARATIVO - ORIGINAL vs COMPLETO</t>
        </is>
      </c>
    </row>
    <row r="2">
      <c r="A2" s="17" t="inlineStr">
        <is>
          <t>Links a hoja Consolidado VICI+LIKE</t>
        </is>
      </c>
    </row>
    <row r="4">
      <c r="A4" s="3" t="inlineStr">
        <is>
          <t>Campana</t>
        </is>
      </c>
      <c r="B4" s="3" t="inlineStr">
        <is>
          <t>Orig Gestion</t>
        </is>
      </c>
      <c r="C4" s="3" t="inlineStr">
        <is>
          <t>Orig Efectivo</t>
        </is>
      </c>
      <c r="D4" s="3" t="inlineStr">
        <is>
          <t>Orig RPC</t>
        </is>
      </c>
      <c r="E4" s="3" t="inlineStr">
        <is>
          <t>Orig NPC</t>
        </is>
      </c>
      <c r="F4" s="3" t="inlineStr">
        <is>
          <t>VICI Gestion</t>
        </is>
      </c>
      <c r="G4" s="3" t="inlineStr">
        <is>
          <t>VICI Efectivo</t>
        </is>
      </c>
      <c r="H4" s="3" t="inlineStr">
        <is>
          <t>VICI RPC</t>
        </is>
      </c>
      <c r="I4" s="3" t="inlineStr">
        <is>
          <t>VICI NPC</t>
        </is>
      </c>
      <c r="J4" s="3" t="inlineStr">
        <is>
          <t>Diferencia Gestion</t>
        </is>
      </c>
    </row>
    <row r="5">
      <c r="A5" s="18" t="inlineStr">
        <is>
          <t>July 2026</t>
        </is>
      </c>
      <c r="B5" s="19" t="n">
        <v>17</v>
      </c>
      <c r="C5" s="19" t="n">
        <v>1</v>
      </c>
      <c r="D5" s="19" t="n">
        <v>1</v>
      </c>
      <c r="E5" s="19" t="n">
        <v>14</v>
      </c>
      <c r="F5" s="19">
        <f>'Consolidado VICI+LIKE'!C11</f>
        <v/>
      </c>
      <c r="G5" s="19">
        <f>'Consolidado VICI+LIKE'!E11</f>
        <v/>
      </c>
      <c r="H5" s="19">
        <f>'Consolidado VICI+LIKE'!F11</f>
        <v/>
      </c>
      <c r="I5" s="19">
        <f>'Consolidado VICI+LIKE'!H11</f>
        <v/>
      </c>
      <c r="J5" s="20">
        <f>F5-B5</f>
        <v/>
      </c>
    </row>
    <row r="6">
      <c r="A6" s="18" t="inlineStr">
        <is>
          <t>August 2026</t>
        </is>
      </c>
      <c r="B6" s="19" t="n">
        <v>18</v>
      </c>
      <c r="C6" s="19" t="n">
        <v>0</v>
      </c>
      <c r="D6" s="19" t="n">
        <v>1</v>
      </c>
      <c r="E6" s="19" t="n">
        <v>12</v>
      </c>
      <c r="F6" s="19">
        <f>'Consolidado VICI+LIKE'!C35</f>
        <v/>
      </c>
      <c r="G6" s="19">
        <f>'Consolidado VICI+LIKE'!E35</f>
        <v/>
      </c>
      <c r="H6" s="19">
        <f>'Consolidado VICI+LIKE'!F35</f>
        <v/>
      </c>
      <c r="I6" s="19">
        <f>'Consolidado VICI+LIKE'!H35</f>
        <v/>
      </c>
      <c r="J6" s="20">
        <f>F6-B6</f>
        <v/>
      </c>
    </row>
    <row r="8">
      <c r="A8" s="21" t="inlineStr">
        <is>
          <t>OBSERVACION:</t>
        </is>
      </c>
    </row>
    <row r="9">
      <c r="A9" s="15" t="inlineStr">
        <is>
          <t>Los datos originales solo tenian 17-18 gestionados.</t>
        </is>
      </c>
    </row>
    <row r="10">
      <c r="A10" s="22" t="inlineStr">
        <is>
          <t>Links a Consolidado para datos reales de VICI.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6" t="inlineStr">
        <is>
          <t>RESUMEN VICI - JULIO Y AGOSTO 2026</t>
        </is>
      </c>
    </row>
    <row r="2">
      <c r="A2" s="17" t="inlineStr">
        <is>
          <t>Links a hoja Consolidado VICI+LIKE</t>
        </is>
      </c>
    </row>
    <row r="4">
      <c r="A4" s="3" t="inlineStr">
        <is>
          <t>Tipificacion</t>
        </is>
      </c>
      <c r="B4" s="3" t="inlineStr">
        <is>
          <t>Categoria</t>
        </is>
      </c>
      <c r="C4" s="3" t="inlineStr">
        <is>
          <t>Julio</t>
        </is>
      </c>
      <c r="D4" s="3" t="inlineStr">
        <is>
          <t>Agosto</t>
        </is>
      </c>
      <c r="E4" s="3" t="inlineStr">
        <is>
          <t>Total</t>
        </is>
      </c>
    </row>
    <row r="5">
      <c r="A5" s="13" t="inlineStr">
        <is>
          <t>No contesta</t>
        </is>
      </c>
      <c r="B5" s="13" t="inlineStr">
        <is>
          <t>NPC</t>
        </is>
      </c>
      <c r="C5" s="19" t="n">
        <v>2894</v>
      </c>
      <c r="D5" s="19" t="n">
        <v>2854</v>
      </c>
      <c r="E5" s="18">
        <f>C5+D5</f>
        <v/>
      </c>
    </row>
    <row r="6">
      <c r="A6" s="13" t="inlineStr">
        <is>
          <t>Cierra Llamada</t>
        </is>
      </c>
      <c r="B6" s="13" t="inlineStr">
        <is>
          <t>NPC</t>
        </is>
      </c>
      <c r="C6" s="19" t="n">
        <v>956</v>
      </c>
      <c r="D6" s="19" t="n">
        <v>852</v>
      </c>
      <c r="E6" s="18">
        <f>C6+D6</f>
        <v/>
      </c>
    </row>
    <row r="7">
      <c r="A7" s="13" t="inlineStr">
        <is>
          <t>Contestador Automatico</t>
        </is>
      </c>
      <c r="B7" s="13" t="inlineStr">
        <is>
          <t>NPC</t>
        </is>
      </c>
      <c r="C7" s="19" t="n">
        <v>335</v>
      </c>
      <c r="D7" s="19" t="n">
        <v>551</v>
      </c>
      <c r="E7" s="18">
        <f>C7+D7</f>
        <v/>
      </c>
    </row>
    <row r="8">
      <c r="A8" s="13" t="inlineStr">
        <is>
          <t>Seguimiento</t>
        </is>
      </c>
      <c r="B8" s="13" t="inlineStr">
        <is>
          <t>WPC</t>
        </is>
      </c>
      <c r="C8" s="19" t="n">
        <v>439</v>
      </c>
      <c r="D8" s="19" t="n">
        <v>332</v>
      </c>
      <c r="E8" s="18">
        <f>C8+D8</f>
        <v/>
      </c>
    </row>
    <row r="9">
      <c r="A9" s="13" t="inlineStr">
        <is>
          <t>No Acepta</t>
        </is>
      </c>
      <c r="B9" s="13" t="inlineStr">
        <is>
          <t>RPC</t>
        </is>
      </c>
      <c r="C9" s="19" t="n">
        <v>381</v>
      </c>
      <c r="D9" s="19" t="n">
        <v>227</v>
      </c>
      <c r="E9" s="18">
        <f>C9+D9</f>
        <v/>
      </c>
    </row>
    <row r="10">
      <c r="A10" s="13" t="inlineStr">
        <is>
          <t>Volver a llamar</t>
        </is>
      </c>
      <c r="B10" s="13" t="inlineStr">
        <is>
          <t>WPC</t>
        </is>
      </c>
      <c r="C10" s="19" t="n">
        <v>222</v>
      </c>
      <c r="D10" s="19" t="n">
        <v>270</v>
      </c>
      <c r="E10" s="18">
        <f>C10+D10</f>
        <v/>
      </c>
    </row>
    <row r="11">
      <c r="A11" s="13" t="inlineStr">
        <is>
          <t>No es el titular</t>
        </is>
      </c>
      <c r="B11" s="13" t="inlineStr">
        <is>
          <t>WPC</t>
        </is>
      </c>
      <c r="C11" s="19" t="n">
        <v>197</v>
      </c>
      <c r="D11" s="19" t="n">
        <v>329</v>
      </c>
      <c r="E11" s="18">
        <f>C11+D11</f>
        <v/>
      </c>
    </row>
    <row r="12">
      <c r="A12" s="13" t="inlineStr">
        <is>
          <t>Se envia propuesta</t>
        </is>
      </c>
      <c r="B12" s="13" t="inlineStr">
        <is>
          <t>Efectivo</t>
        </is>
      </c>
      <c r="C12" s="19" t="n">
        <v>142</v>
      </c>
      <c r="D12" s="19" t="n">
        <v>129</v>
      </c>
      <c r="E12" s="18">
        <f>C12+D12</f>
        <v/>
      </c>
    </row>
    <row r="13">
      <c r="A13" s="13" t="inlineStr">
        <is>
          <t>No volver a llamar</t>
        </is>
      </c>
      <c r="B13" s="13" t="inlineStr">
        <is>
          <t>RPC</t>
        </is>
      </c>
      <c r="C13" s="19" t="n">
        <v>79</v>
      </c>
      <c r="D13" s="19" t="n">
        <v>105</v>
      </c>
      <c r="E13" s="18">
        <f>C13+D13</f>
        <v/>
      </c>
    </row>
    <row r="14">
      <c r="A14" s="13" t="inlineStr">
        <is>
          <t>Cliente con deuda</t>
        </is>
      </c>
      <c r="B14" s="13" t="inlineStr">
        <is>
          <t>NPC</t>
        </is>
      </c>
      <c r="C14" s="19" t="n">
        <v>51</v>
      </c>
      <c r="D14" s="19" t="n">
        <v>46</v>
      </c>
      <c r="E14" s="18">
        <f>C14+D14</f>
        <v/>
      </c>
    </row>
    <row r="15">
      <c r="A15" s="13" t="inlineStr">
        <is>
          <t>Llamada no contesta</t>
        </is>
      </c>
      <c r="B15" s="13" t="inlineStr">
        <is>
          <t>NPC</t>
        </is>
      </c>
      <c r="C15" s="19" t="n">
        <v>3</v>
      </c>
      <c r="D15" s="19" t="n">
        <v>44</v>
      </c>
      <c r="E15" s="18">
        <f>C15+D15</f>
        <v/>
      </c>
    </row>
    <row r="16">
      <c r="A16" s="13" t="inlineStr">
        <is>
          <t>Auto busy</t>
        </is>
      </c>
      <c r="B16" s="13" t="inlineStr">
        <is>
          <t>NPC</t>
        </is>
      </c>
      <c r="C16" s="19" t="n">
        <v>15</v>
      </c>
      <c r="D16" s="19" t="n">
        <v>37</v>
      </c>
      <c r="E16" s="18">
        <f>C16+D16</f>
        <v/>
      </c>
    </row>
    <row r="17">
      <c r="A17" s="13" t="inlineStr">
        <is>
          <t>Lead Being Called</t>
        </is>
      </c>
      <c r="B17" s="13" t="inlineStr">
        <is>
          <t>NPC</t>
        </is>
      </c>
      <c r="C17" s="19" t="n">
        <v>36</v>
      </c>
      <c r="D17" s="19" t="n">
        <v>34</v>
      </c>
      <c r="E17" s="18">
        <f>C17+D17</f>
        <v/>
      </c>
    </row>
    <row r="18">
      <c r="A18" s="13" t="inlineStr">
        <is>
          <t>No tiene cobertura</t>
        </is>
      </c>
      <c r="B18" s="13" t="inlineStr">
        <is>
          <t>NPC</t>
        </is>
      </c>
      <c r="C18" s="19" t="n">
        <v>15</v>
      </c>
      <c r="D18" s="19" t="n">
        <v>15</v>
      </c>
      <c r="E18" s="18">
        <f>C18+D18</f>
        <v/>
      </c>
    </row>
    <row r="19">
      <c r="A19" s="13" t="inlineStr">
        <is>
          <t>Ya Renovo</t>
        </is>
      </c>
      <c r="B19" s="13" t="inlineStr">
        <is>
          <t>Efectivo</t>
        </is>
      </c>
      <c r="C19" s="19" t="n">
        <v>12</v>
      </c>
      <c r="D19" s="19" t="n">
        <v>2</v>
      </c>
      <c r="E19" s="18">
        <f>C19+D19</f>
        <v/>
      </c>
    </row>
    <row r="20">
      <c r="A20" s="13" t="inlineStr">
        <is>
          <t>Cliente cuelga</t>
        </is>
      </c>
      <c r="B20" s="13" t="inlineStr">
        <is>
          <t>WPC</t>
        </is>
      </c>
      <c r="C20" s="19" t="n">
        <v>2</v>
      </c>
      <c r="D20" s="19" t="n">
        <v>7</v>
      </c>
      <c r="E20" s="18">
        <f>C20+D20</f>
        <v/>
      </c>
    </row>
    <row r="21">
      <c r="A21" s="13" t="inlineStr">
        <is>
          <t>Llamada muda</t>
        </is>
      </c>
      <c r="B21" s="13" t="inlineStr">
        <is>
          <t>NPC</t>
        </is>
      </c>
      <c r="C21" s="19" t="n">
        <v>6</v>
      </c>
      <c r="D21" s="19" t="n">
        <v>6</v>
      </c>
      <c r="E21" s="18">
        <f>C21+D21</f>
        <v/>
      </c>
    </row>
    <row r="22">
      <c r="A22" s="13" t="inlineStr">
        <is>
          <t>Ocupado</t>
        </is>
      </c>
      <c r="B22" s="13" t="inlineStr">
        <is>
          <t>NPC</t>
        </is>
      </c>
      <c r="C22" s="19" t="n">
        <v>5</v>
      </c>
      <c r="D22" s="19" t="n">
        <v>6</v>
      </c>
      <c r="E22" s="18">
        <f>C22+D22</f>
        <v/>
      </c>
    </row>
    <row r="23">
      <c r="A23" s="13" t="inlineStr">
        <is>
          <t>Por Aprobacion</t>
        </is>
      </c>
      <c r="B23" s="13" t="inlineStr">
        <is>
          <t>Efectivo</t>
        </is>
      </c>
      <c r="C23" s="19" t="n">
        <v>3</v>
      </c>
      <c r="D23" s="19" t="n">
        <v>2</v>
      </c>
      <c r="E23" s="18">
        <f>C23+D23</f>
        <v/>
      </c>
    </row>
    <row r="24">
      <c r="A24" s="13" t="inlineStr">
        <is>
          <t>Renovara en tienda</t>
        </is>
      </c>
      <c r="B24" s="13" t="inlineStr">
        <is>
          <t>Efectivo</t>
        </is>
      </c>
      <c r="C24" s="19" t="n">
        <v>2</v>
      </c>
      <c r="D24" s="19" t="n">
        <v>2</v>
      </c>
      <c r="E24" s="18">
        <f>C24+D24</f>
        <v/>
      </c>
    </row>
    <row r="25">
      <c r="A25" s="13" t="inlineStr">
        <is>
          <t>Buzon de voz</t>
        </is>
      </c>
      <c r="B25" s="13" t="inlineStr">
        <is>
          <t>NPC</t>
        </is>
      </c>
      <c r="C25" s="19" t="n">
        <v>2</v>
      </c>
      <c r="D25" s="19" t="n">
        <v>10</v>
      </c>
      <c r="E25" s="18">
        <f>C25+D25</f>
        <v/>
      </c>
    </row>
    <row r="26">
      <c r="A26" s="13" t="inlineStr">
        <is>
          <t>Rechaza oferta</t>
        </is>
      </c>
      <c r="B26" s="13" t="inlineStr">
        <is>
          <t>RPC</t>
        </is>
      </c>
      <c r="C26" s="19" t="n">
        <v>2</v>
      </c>
      <c r="D26" s="19" t="n">
        <v>0</v>
      </c>
      <c r="E26" s="18">
        <f>C26+D26</f>
        <v/>
      </c>
    </row>
    <row r="27">
      <c r="A27" s="13" t="inlineStr">
        <is>
          <t>No acepta tiempo cuotas</t>
        </is>
      </c>
      <c r="B27" s="13" t="inlineStr">
        <is>
          <t>RPC</t>
        </is>
      </c>
      <c r="C27" s="19" t="n">
        <v>1</v>
      </c>
      <c r="D27" s="19" t="n">
        <v>0</v>
      </c>
      <c r="E27" s="18">
        <f>C27+D27</f>
        <v/>
      </c>
    </row>
    <row r="28">
      <c r="A28" s="13" t="inlineStr">
        <is>
          <t>No acepta aumento MRC</t>
        </is>
      </c>
      <c r="B28" s="13" t="inlineStr">
        <is>
          <t>RPC</t>
        </is>
      </c>
      <c r="C28" s="19" t="n">
        <v>1</v>
      </c>
      <c r="D28" s="19" t="n">
        <v>3</v>
      </c>
      <c r="E28" s="18">
        <f>C28+D28</f>
        <v/>
      </c>
    </row>
    <row r="29">
      <c r="A29" s="13" t="inlineStr">
        <is>
          <t>Call Back</t>
        </is>
      </c>
      <c r="B29" s="13" t="inlineStr">
        <is>
          <t>WPC</t>
        </is>
      </c>
      <c r="C29" s="19" t="n">
        <v>1</v>
      </c>
      <c r="D29" s="19" t="n">
        <v>12</v>
      </c>
      <c r="E29" s="18">
        <f>C29+D29</f>
        <v/>
      </c>
    </row>
    <row r="30">
      <c r="A30" s="13" t="inlineStr">
        <is>
          <t>Linea ocupada</t>
        </is>
      </c>
      <c r="B30" s="13" t="inlineStr">
        <is>
          <t>NPC</t>
        </is>
      </c>
      <c r="C30" s="19" t="n">
        <v>1</v>
      </c>
      <c r="D30" s="19" t="n">
        <v>0</v>
      </c>
      <c r="E30" s="18">
        <f>C30+D30</f>
        <v/>
      </c>
    </row>
    <row r="31">
      <c r="A31" s="13" t="inlineStr">
        <is>
          <t>No Answer AutoDial</t>
        </is>
      </c>
      <c r="B31" s="13" t="inlineStr">
        <is>
          <t>NPC</t>
        </is>
      </c>
      <c r="C31" s="19" t="n">
        <v>0</v>
      </c>
      <c r="D31" s="19" t="n">
        <v>17</v>
      </c>
      <c r="E31" s="18">
        <f>C31+D31</f>
        <v/>
      </c>
    </row>
    <row r="32">
      <c r="A32" s="13" t="inlineStr">
        <is>
          <t>Numero equivocado</t>
        </is>
      </c>
      <c r="B32" s="13" t="inlineStr">
        <is>
          <t>NPC</t>
        </is>
      </c>
      <c r="C32" s="19" t="n">
        <v>0</v>
      </c>
      <c r="D32" s="19" t="n">
        <v>3</v>
      </c>
      <c r="E32" s="18">
        <f>C32+D32</f>
        <v/>
      </c>
    </row>
    <row r="33">
      <c r="A33" s="13" t="inlineStr">
        <is>
          <t>Contestador Auto (variante)</t>
        </is>
      </c>
      <c r="B33" s="13" t="inlineStr">
        <is>
          <t>NPC</t>
        </is>
      </c>
      <c r="C33" s="19" t="n">
        <v>0</v>
      </c>
      <c r="D33" s="19" t="n">
        <v>2</v>
      </c>
      <c r="E33" s="18">
        <f>C33+D33</f>
        <v/>
      </c>
    </row>
    <row r="34">
      <c r="A34" s="13" t="inlineStr">
        <is>
          <t>No aplica para renovar</t>
        </is>
      </c>
      <c r="B34" s="13" t="inlineStr">
        <is>
          <t>RPC</t>
        </is>
      </c>
      <c r="C34" s="19" t="n">
        <v>0</v>
      </c>
      <c r="D34" s="19" t="n">
        <v>1</v>
      </c>
      <c r="E34" s="18">
        <f>C34+D34</f>
        <v/>
      </c>
    </row>
    <row r="35">
      <c r="A35" s="13" t="inlineStr">
        <is>
          <t>Solicita contacto posterior</t>
        </is>
      </c>
      <c r="B35" s="13" t="inlineStr">
        <is>
          <t>RPC</t>
        </is>
      </c>
      <c r="C35" s="19" t="n">
        <v>0</v>
      </c>
      <c r="D35" s="19" t="n">
        <v>1</v>
      </c>
      <c r="E35" s="18">
        <f>C35+D35</f>
        <v/>
      </c>
    </row>
    <row r="36">
      <c r="A36" s="13" t="inlineStr">
        <is>
          <t>Problemas tecnicos</t>
        </is>
      </c>
      <c r="B36" s="13" t="inlineStr">
        <is>
          <t>NPC</t>
        </is>
      </c>
      <c r="C36" s="19" t="n">
        <v>0</v>
      </c>
      <c r="D36" s="19" t="n">
        <v>1</v>
      </c>
      <c r="E36" s="18">
        <f>C36+D36</f>
        <v/>
      </c>
    </row>
    <row r="37">
      <c r="A37" s="10" t="inlineStr">
        <is>
          <t>TOTAL</t>
        </is>
      </c>
      <c r="B37" s="10" t="n"/>
      <c r="C37" s="10">
        <f>'Consolidado VICI+LIKE'!C11</f>
        <v/>
      </c>
      <c r="D37" s="10">
        <f>'Consolidado VICI+LIKE'!C35</f>
        <v/>
      </c>
      <c r="E37" s="10">
        <f>C37+D37</f>
        <v/>
      </c>
    </row>
    <row r="39">
      <c r="A39" s="23" t="inlineStr">
        <is>
          <t>RESUMEN POR CATEGORIA</t>
        </is>
      </c>
    </row>
    <row r="40">
      <c r="A40" s="3" t="inlineStr">
        <is>
          <t>Categoria</t>
        </is>
      </c>
      <c r="B40" s="3" t="inlineStr">
        <is>
          <t>Julio</t>
        </is>
      </c>
      <c r="C40" s="3" t="inlineStr">
        <is>
          <t>Agosto</t>
        </is>
      </c>
      <c r="D40" s="3" t="inlineStr">
        <is>
          <t>Total</t>
        </is>
      </c>
      <c r="E40" s="3" t="inlineStr">
        <is>
          <t>% Julio</t>
        </is>
      </c>
      <c r="F40" s="3" t="inlineStr">
        <is>
          <t>% Agosto</t>
        </is>
      </c>
    </row>
    <row r="41">
      <c r="A41" s="18" t="inlineStr">
        <is>
          <t>Efectivo</t>
        </is>
      </c>
      <c r="B41" s="19">
        <f>'Consolidado VICI+LIKE'!E11</f>
        <v/>
      </c>
      <c r="C41" s="19">
        <f>'Consolidado VICI+LIKE'!E35</f>
        <v/>
      </c>
      <c r="D41" s="18">
        <f>B41+C41</f>
        <v/>
      </c>
      <c r="E41" s="24">
        <f>IF(B41=0,0,B41/5811)</f>
        <v/>
      </c>
      <c r="F41" s="24">
        <f>IF(C41=0,0,C41/5903)</f>
        <v/>
      </c>
    </row>
    <row r="42">
      <c r="A42" s="18" t="inlineStr">
        <is>
          <t>RPC</t>
        </is>
      </c>
      <c r="B42" s="19">
        <f>'Consolidado VICI+LIKE'!F11</f>
        <v/>
      </c>
      <c r="C42" s="19">
        <f>'Consolidado VICI+LIKE'!F35</f>
        <v/>
      </c>
      <c r="D42" s="18">
        <f>B42+C42</f>
        <v/>
      </c>
      <c r="E42" s="24">
        <f>IF(B42=0,0,B42/5811)</f>
        <v/>
      </c>
      <c r="F42" s="24">
        <f>IF(C42=0,0,C42/5903)</f>
        <v/>
      </c>
    </row>
    <row r="43">
      <c r="A43" s="18" t="inlineStr">
        <is>
          <t>WPC</t>
        </is>
      </c>
      <c r="B43" s="19">
        <f>'Consolidado VICI+LIKE'!G11</f>
        <v/>
      </c>
      <c r="C43" s="19">
        <f>'Consolidado VICI+LIKE'!G35</f>
        <v/>
      </c>
      <c r="D43" s="18">
        <f>B43+C43</f>
        <v/>
      </c>
      <c r="E43" s="24">
        <f>IF(B43=0,0,B43/5811)</f>
        <v/>
      </c>
      <c r="F43" s="24">
        <f>IF(C43=0,0,C43/5903)</f>
        <v/>
      </c>
    </row>
    <row r="44">
      <c r="A44" s="18" t="inlineStr">
        <is>
          <t>NPC</t>
        </is>
      </c>
      <c r="B44" s="19">
        <f>'Consolidado VICI+LIKE'!H11</f>
        <v/>
      </c>
      <c r="C44" s="19">
        <f>'Consolidado VICI+LIKE'!H35</f>
        <v/>
      </c>
      <c r="D44" s="18">
        <f>B44+C44</f>
        <v/>
      </c>
      <c r="E44" s="24">
        <f>IF(B44=0,0,B44/5811)</f>
        <v/>
      </c>
      <c r="F44" s="24">
        <f>IF(C44=0,0,C44/5903)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</cols>
  <sheetData>
    <row r="1">
      <c r="A1" s="16" t="inlineStr">
        <is>
          <t>RESUMEN VENTAS LIKE - JULIO Y AGOSTO 2026</t>
        </is>
      </c>
    </row>
    <row r="2">
      <c r="A2" s="17" t="inlineStr">
        <is>
          <t>Fuente: LIKE - JULIO Y AGOSTO.xlsx</t>
        </is>
      </c>
    </row>
    <row r="4">
      <c r="A4" s="3" t="inlineStr">
        <is>
          <t>Metrica</t>
        </is>
      </c>
      <c r="B4" s="3" t="inlineStr">
        <is>
          <t>Julio 2026</t>
        </is>
      </c>
      <c r="C4" s="3" t="inlineStr">
        <is>
          <t>Agosto 2026</t>
        </is>
      </c>
    </row>
    <row r="5">
      <c r="A5" s="13" t="inlineStr">
        <is>
          <t>Total Ventas</t>
        </is>
      </c>
      <c r="B5" s="19" t="n">
        <v>3415</v>
      </c>
      <c r="C5" s="19" t="n">
        <v>1478</v>
      </c>
    </row>
    <row r="6">
      <c r="A6" s="13" t="inlineStr"/>
      <c r="B6" s="13" t="n"/>
      <c r="C6" s="13" t="n"/>
    </row>
    <row r="7">
      <c r="A7" s="25" t="inlineStr">
        <is>
          <t>POR CANAL</t>
        </is>
      </c>
      <c r="B7" s="13" t="n"/>
      <c r="C7" s="13" t="n"/>
    </row>
    <row r="8">
      <c r="A8" s="13" t="inlineStr">
        <is>
          <t>RENOVACIONES (CC)</t>
        </is>
      </c>
      <c r="B8" s="19" t="n">
        <v>1206</v>
      </c>
      <c r="C8" s="19" t="n">
        <v>589</v>
      </c>
    </row>
    <row r="9">
      <c r="A9" s="13" t="inlineStr">
        <is>
          <t>SOHO</t>
        </is>
      </c>
      <c r="B9" s="19" t="n">
        <v>953</v>
      </c>
      <c r="C9" s="19" t="n">
        <v>402</v>
      </c>
    </row>
    <row r="10">
      <c r="A10" s="13" t="inlineStr">
        <is>
          <t>CALL CENTER P2P</t>
        </is>
      </c>
      <c r="B10" s="19" t="n">
        <v>759</v>
      </c>
      <c r="C10" s="19" t="n">
        <v>348</v>
      </c>
    </row>
    <row r="11">
      <c r="A11" s="13" t="inlineStr">
        <is>
          <t>DIGITAL</t>
        </is>
      </c>
      <c r="B11" s="19" t="n">
        <v>204</v>
      </c>
      <c r="C11" s="19" t="n">
        <v>64</v>
      </c>
    </row>
    <row r="12">
      <c r="A12" s="13" t="inlineStr">
        <is>
          <t>CALL CENTER SOHO RENO</t>
        </is>
      </c>
      <c r="B12" s="19" t="n">
        <v>197</v>
      </c>
      <c r="C12" s="19" t="n">
        <v>42</v>
      </c>
    </row>
    <row r="13">
      <c r="A13" s="13" t="inlineStr">
        <is>
          <t>FIJO</t>
        </is>
      </c>
      <c r="B13" s="19" t="n">
        <v>24</v>
      </c>
      <c r="C13" s="19" t="n">
        <v>9</v>
      </c>
    </row>
    <row r="14">
      <c r="A14" s="13" t="inlineStr"/>
      <c r="B14" s="13" t="n"/>
      <c r="C14" s="13" t="n"/>
    </row>
    <row r="15">
      <c r="A15" s="25" t="inlineStr">
        <is>
          <t>TOP 5 VENDEDORES JULIO</t>
        </is>
      </c>
      <c r="B15" s="13" t="n"/>
      <c r="C15" s="13" t="n"/>
    </row>
    <row r="16">
      <c r="A16" s="13" t="inlineStr">
        <is>
          <t>ROSE MARY CEDENO</t>
        </is>
      </c>
      <c r="B16" s="19" t="n">
        <v>73</v>
      </c>
      <c r="C16" s="13" t="n"/>
    </row>
    <row r="17">
      <c r="A17" s="13" t="inlineStr">
        <is>
          <t>DANNA CAROLINA SALAS</t>
        </is>
      </c>
      <c r="B17" s="19" t="n">
        <v>72</v>
      </c>
      <c r="C17" s="13" t="n"/>
    </row>
    <row r="18">
      <c r="A18" s="13" t="inlineStr">
        <is>
          <t>MASSIEL TOLEDO</t>
        </is>
      </c>
      <c r="B18" s="19" t="n">
        <v>67</v>
      </c>
      <c r="C18" s="13" t="n"/>
    </row>
    <row r="19">
      <c r="A19" s="13" t="inlineStr">
        <is>
          <t>ALEXANDER BETANCOURT</t>
        </is>
      </c>
      <c r="B19" s="19" t="n">
        <v>66</v>
      </c>
      <c r="C19" s="13" t="n"/>
    </row>
    <row r="20">
      <c r="A20" s="13" t="inlineStr">
        <is>
          <t>ROLANDO RUIZ</t>
        </is>
      </c>
      <c r="B20" s="19" t="n">
        <v>58</v>
      </c>
      <c r="C20" s="13" t="n"/>
    </row>
    <row r="21">
      <c r="A21" s="13" t="inlineStr"/>
      <c r="B21" s="13" t="n"/>
      <c r="C21" s="13" t="n"/>
    </row>
    <row r="22">
      <c r="A22" s="25" t="inlineStr">
        <is>
          <t>TOP 5 VENDEDORES AGOSTO</t>
        </is>
      </c>
      <c r="B22" s="13" t="n"/>
      <c r="C22" s="13" t="n"/>
    </row>
    <row r="23">
      <c r="A23" s="13" t="inlineStr">
        <is>
          <t>ROSE MARY CEDENO</t>
        </is>
      </c>
      <c r="B23" s="13" t="n"/>
      <c r="C23" s="19" t="n">
        <v>49</v>
      </c>
    </row>
    <row r="24">
      <c r="A24" s="13" t="inlineStr">
        <is>
          <t>YOSUANY MUNOZ</t>
        </is>
      </c>
      <c r="B24" s="13" t="n"/>
      <c r="C24" s="19" t="n">
        <v>37</v>
      </c>
    </row>
    <row r="25">
      <c r="A25" s="13" t="inlineStr">
        <is>
          <t>ALMA DELGADO</t>
        </is>
      </c>
      <c r="B25" s="13" t="n"/>
      <c r="C25" s="19" t="n">
        <v>35</v>
      </c>
    </row>
    <row r="26">
      <c r="A26" s="13" t="inlineStr">
        <is>
          <t>YULITZA HERNANDEZ</t>
        </is>
      </c>
      <c r="B26" s="13" t="n"/>
      <c r="C26" s="19" t="n">
        <v>34</v>
      </c>
    </row>
    <row r="27">
      <c r="A27" s="13" t="inlineStr">
        <is>
          <t>ALESHKA AMBULO</t>
        </is>
      </c>
      <c r="B27" s="13" t="n"/>
      <c r="C27" s="19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2026-08-20T04:49:43Z</dcterms:created>
  <dcterms:modified xmlns:dcterms="http://purl.org/dc/terms/" xmlns:xsi="http://www.w3.org/2001/XMLSchema-instance" xsi:type="dcterms:W3CDTF">2026-08-20T04:49:43Z</dcterms:modified>
</cp:coreProperties>
</file>