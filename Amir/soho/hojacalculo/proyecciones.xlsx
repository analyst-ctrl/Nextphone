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Supuestos" sheetId="2" state="visible" r:id="rId2"/>
    <sheet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Nuevo MRC por iniciativa ($/mes)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'Resultados'!C2</f>
            </strRef>
          </tx>
          <spPr>
            <a:ln>
              <a:prstDash val="solid"/>
            </a:ln>
          </spPr>
          <cat>
            <numRef>
              <f>'Resultados'!$A$3:$A$6</f>
            </numRef>
          </cat>
          <val>
            <numRef>
              <f>'Resultados'!$C$3:$C$6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6" customWidth="1" min="3" max="3"/>
  </cols>
  <sheetData>
    <row r="1">
      <c r="A1" s="1" t="inlineStr">
        <is>
          <t>BASE DEL CRUCE (cruce.xlsx)</t>
        </is>
      </c>
    </row>
    <row r="2">
      <c r="A2" s="2" t="inlineStr">
        <is>
          <t>Parámetro</t>
        </is>
      </c>
      <c r="B2" s="2" t="inlineStr">
        <is>
          <t>Valor</t>
        </is>
      </c>
      <c r="C2" s="2" t="inlineStr">
        <is>
          <t>Fuente</t>
        </is>
      </c>
    </row>
    <row r="3">
      <c r="A3" t="inlineStr">
        <is>
          <t>SOLO MÓVIL</t>
        </is>
      </c>
      <c r="B3" s="3" t="n">
        <v>3872</v>
      </c>
      <c r="C3" t="inlineStr">
        <is>
          <t>Hoja Cruce</t>
        </is>
      </c>
    </row>
    <row r="4">
      <c r="A4" t="inlineStr">
        <is>
          <t>SOLO FIJO / INTERNET</t>
        </is>
      </c>
      <c r="B4" s="3" t="n">
        <v>2</v>
      </c>
      <c r="C4" t="inlineStr">
        <is>
          <t>Hoja Cruce</t>
        </is>
      </c>
    </row>
    <row r="5">
      <c r="A5" t="inlineStr">
        <is>
          <t>SIN SERVICIOS</t>
        </is>
      </c>
      <c r="B5" s="3" t="n">
        <v>53</v>
      </c>
      <c r="C5" t="inlineStr">
        <is>
          <t>Hoja Cruce</t>
        </is>
      </c>
    </row>
    <row r="6">
      <c r="A6" t="inlineStr">
        <is>
          <t>CONVERGENTE</t>
        </is>
      </c>
      <c r="B6" s="3" t="n">
        <v>1012</v>
      </c>
      <c r="C6" t="inlineStr">
        <is>
          <t>Hoja Cruce</t>
        </is>
      </c>
    </row>
    <row r="7">
      <c r="A7" t="inlineStr">
        <is>
          <t>WINBACK (no activos)</t>
        </is>
      </c>
      <c r="B7" s="3" t="n">
        <v>140</v>
      </c>
      <c r="C7" t="inlineStr">
        <is>
          <t>Hoja Cruce</t>
        </is>
      </c>
    </row>
    <row r="8">
      <c r="A8" t="inlineStr">
        <is>
          <t>MRC actual consolidado</t>
        </is>
      </c>
      <c r="B8" s="3" t="n">
        <v>166262.89</v>
      </c>
      <c r="C8" t="inlineStr">
        <is>
          <t>Hoja Cruce</t>
        </is>
      </c>
    </row>
    <row r="9">
      <c r="A9" t="inlineStr">
        <is>
          <t>MRC winback en riesgo</t>
        </is>
      </c>
      <c r="B9" s="3" t="n">
        <v>7919.15</v>
      </c>
      <c r="C9" t="inlineStr">
        <is>
          <t>Hoja Cruce</t>
        </is>
      </c>
    </row>
    <row r="10">
      <c r="A10" t="inlineStr">
        <is>
          <t>MRC promedio línea móvil (NP)</t>
        </is>
      </c>
      <c r="B10" s="3" t="n">
        <v>49.84</v>
      </c>
      <c r="C10" t="inlineStr">
        <is>
          <t>Cruce.xlsx / Registros</t>
        </is>
      </c>
    </row>
    <row r="11">
      <c r="A11" t="inlineStr">
        <is>
          <t>MRC promedio winback</t>
        </is>
      </c>
      <c r="B11" s="3" t="n">
        <v>56.57</v>
      </c>
      <c r="C11" t="inlineStr">
        <is>
          <t>Cruce.xlsx / Winback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SUPUESTOS (celdas amarillas editables)</t>
        </is>
      </c>
    </row>
    <row r="2">
      <c r="A2" s="2" t="inlineStr">
        <is>
          <t>INICIATIVA</t>
        </is>
      </c>
      <c r="B2" s="2" t="inlineStr">
        <is>
          <t>BASE (CLIENTES)</t>
        </is>
      </c>
      <c r="C2" s="2" t="inlineStr">
        <is>
          <t>TASA %</t>
        </is>
      </c>
      <c r="D2" s="2" t="inlineStr">
        <is>
          <t>MRC UNITARIO $</t>
        </is>
      </c>
      <c r="E2" s="2" t="inlineStr">
        <is>
          <t>CLIENTES PROYECTADOS</t>
        </is>
      </c>
      <c r="F2" s="2" t="inlineStr">
        <is>
          <t>NUEVO MRC $/MES</t>
        </is>
      </c>
    </row>
    <row r="3">
      <c r="A3" t="inlineStr">
        <is>
          <t>Cross-sell Móvil</t>
        </is>
      </c>
      <c r="B3">
        <f>Base!B4+Base!B5</f>
        <v/>
      </c>
      <c r="C3" s="4" t="n">
        <v>15</v>
      </c>
      <c r="D3" s="4">
        <f>Base!B10</f>
        <v/>
      </c>
      <c r="E3">
        <f>ROUND($B3*$C3/100,0)</f>
        <v/>
      </c>
      <c r="F3">
        <f>$B3*$C3/100*$D3</f>
        <v/>
      </c>
    </row>
    <row r="4">
      <c r="A4" t="inlineStr">
        <is>
          <t>Cross-sell FLBBTV</t>
        </is>
      </c>
      <c r="B4">
        <f>Base!B3</f>
        <v/>
      </c>
      <c r="C4" s="4" t="n">
        <v>3</v>
      </c>
      <c r="D4" s="5" t="n">
        <v>25</v>
      </c>
      <c r="E4">
        <f>ROUND($B4*$C4/100,0)</f>
        <v/>
      </c>
      <c r="F4">
        <f>$B4*$C4/100*$D4</f>
        <v/>
      </c>
    </row>
    <row r="5">
      <c r="A5" t="inlineStr">
        <is>
          <t>Winback</t>
        </is>
      </c>
      <c r="B5">
        <f>Base!B7</f>
        <v/>
      </c>
      <c r="C5" s="4" t="n">
        <v>15</v>
      </c>
      <c r="D5" s="4">
        <f>Base!B11</f>
        <v/>
      </c>
      <c r="E5">
        <f>ROUND($B5*$C5/100,0)</f>
        <v/>
      </c>
      <c r="F5">
        <f>$B5*$C5/100*$D5</f>
        <v/>
      </c>
    </row>
    <row r="6">
      <c r="A6" t="inlineStr">
        <is>
          <t>Upgrade Convergente</t>
        </is>
      </c>
      <c r="B6">
        <f>Base!B6</f>
        <v/>
      </c>
      <c r="C6" s="4" t="n">
        <v>10</v>
      </c>
      <c r="D6" s="5" t="n">
        <v>5</v>
      </c>
      <c r="E6">
        <f>ROUND($B6*$C6/100,0)</f>
        <v/>
      </c>
      <c r="F6">
        <f>$B6*$C6/100*$D6</f>
        <v/>
      </c>
    </row>
    <row r="7">
      <c r="A7" s="6" t="inlineStr">
        <is>
          <t>TOTAL</t>
        </is>
      </c>
      <c r="E7" s="6">
        <f>SUM(E3:E6)</f>
        <v/>
      </c>
      <c r="F7" s="6">
        <f>SUM(F3:F6)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26" customWidth="1" min="5" max="5"/>
    <col width="18" customWidth="1" min="6" max="6"/>
  </cols>
  <sheetData>
    <row r="1">
      <c r="A1" s="1" t="inlineStr">
        <is>
          <t>RESULTADOS DEL ESCENARIO (vínculos a Supuestos)</t>
        </is>
      </c>
    </row>
    <row r="2">
      <c r="A2" s="2" t="inlineStr">
        <is>
          <t>INICIATIVA</t>
        </is>
      </c>
      <c r="B2" s="2" t="inlineStr">
        <is>
          <t>CLIENTES PROYECTADOS</t>
        </is>
      </c>
      <c r="C2" s="2" t="inlineStr">
        <is>
          <t>NUEVO MRC $/MES</t>
        </is>
      </c>
      <c r="D2" s="2" t="inlineStr">
        <is>
          <t>% DEL UPSIDE</t>
        </is>
      </c>
    </row>
    <row r="3">
      <c r="A3">
        <f>Supuestos!A3</f>
        <v/>
      </c>
      <c r="B3">
        <f>Supuestos!E3</f>
        <v/>
      </c>
      <c r="C3">
        <f>Supuestos!F3</f>
        <v/>
      </c>
      <c r="D3">
        <f>IF(Supuestos!$F$7=0,0,Supuestos!F3/Supuestos!$F$7)</f>
        <v/>
      </c>
    </row>
    <row r="4">
      <c r="A4">
        <f>Supuestos!A4</f>
        <v/>
      </c>
      <c r="B4">
        <f>Supuestos!E4</f>
        <v/>
      </c>
      <c r="C4">
        <f>Supuestos!F4</f>
        <v/>
      </c>
      <c r="D4">
        <f>IF(Supuestos!$F$7=0,0,Supuestos!F4/Supuestos!$F$7)</f>
        <v/>
      </c>
    </row>
    <row r="5">
      <c r="A5">
        <f>Supuestos!A5</f>
        <v/>
      </c>
      <c r="B5">
        <f>Supuestos!E5</f>
        <v/>
      </c>
      <c r="C5">
        <f>Supuestos!F5</f>
        <v/>
      </c>
      <c r="D5">
        <f>IF(Supuestos!$F$7=0,0,Supuestos!F5/Supuestos!$F$7)</f>
        <v/>
      </c>
    </row>
    <row r="6">
      <c r="A6">
        <f>Supuestos!A6</f>
        <v/>
      </c>
      <c r="B6">
        <f>Supuestos!E6</f>
        <v/>
      </c>
      <c r="C6">
        <f>Supuestos!F6</f>
        <v/>
      </c>
      <c r="D6">
        <f>IF(Supuestos!$F$7=0,0,Supuestos!F6/Supuestos!$F$7)</f>
        <v/>
      </c>
    </row>
    <row r="7">
      <c r="A7" s="6" t="inlineStr">
        <is>
          <t>TOTAL</t>
        </is>
      </c>
      <c r="B7" s="6">
        <f>SUM(B3:B6)</f>
        <v/>
      </c>
      <c r="C7" s="6">
        <f>SUM(C3:C6)</f>
        <v/>
      </c>
      <c r="D7" s="7" t="n">
        <v>1</v>
      </c>
    </row>
    <row r="9">
      <c r="A9" s="8" t="inlineStr">
        <is>
          <t>KPI</t>
        </is>
      </c>
    </row>
    <row r="10">
      <c r="A10" s="6" t="inlineStr">
        <is>
          <t>MRC ACTUAL</t>
        </is>
      </c>
      <c r="B10" s="3">
        <f>Base!B8</f>
        <v/>
      </c>
    </row>
    <row r="11">
      <c r="A11" s="6" t="inlineStr">
        <is>
          <t>NUEVO MRC / MES</t>
        </is>
      </c>
      <c r="B11" s="3">
        <f>Supuestos!F7</f>
        <v/>
      </c>
    </row>
    <row r="12">
      <c r="A12" s="6" t="inlineStr">
        <is>
          <t>MRC PROYECTADO</t>
        </is>
      </c>
      <c r="B12" s="3">
        <f>Base!B8+Supuestos!F7</f>
        <v/>
      </c>
    </row>
    <row r="13">
      <c r="A13" s="6" t="inlineStr">
        <is>
          <t>CRECIMIENTO %</t>
        </is>
      </c>
      <c r="B13" s="9">
        <f>IF(Base!B8=0,0,Supuestos!F7/Base!B8)</f>
        <v/>
      </c>
    </row>
    <row r="14">
      <c r="A14" s="6" t="inlineStr">
        <is>
          <t>CLIENTES NUEVOS / MES</t>
        </is>
      </c>
      <c r="B14" s="10">
        <f>Supuestos!E7</f>
        <v/>
      </c>
    </row>
    <row r="15">
      <c r="A15" s="6" t="inlineStr">
        <is>
          <t>UPSIDE ANUALIZADO</t>
        </is>
      </c>
      <c r="B15" s="3">
        <f>Supuestos!F7*12</f>
        <v/>
      </c>
    </row>
    <row r="16">
      <c r="A16" s="6" t="inlineStr">
        <is>
          <t>WINBACK MRC EN RIESGO</t>
        </is>
      </c>
      <c r="B16" s="3">
        <f>Base!B9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2026-07-31T18:36:12Z</dcterms:created>
  <dcterms:modified xsi:type="dcterms:W3CDTF">2026-07-31T18:36:12Z</dcterms:modified>
</cp:coreProperties>
</file>