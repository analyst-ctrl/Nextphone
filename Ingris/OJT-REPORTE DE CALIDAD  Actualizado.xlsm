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slicerCaches/slicerCache4.xml" ContentType="application/vnd.ms-excel.slicerCache+xml"/>
  <Override PartName="/xl/slicerCaches/slicerCache5.xml" ContentType="application/vnd.ms-excel.slicerCache+xml"/>
  <Override PartName="/xl/slicerCaches/slicerCache6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3.xml" ContentType="application/vnd.openxmlformats-officedocument.drawing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pivotTables/pivotTable1.xml" ContentType="application/vnd.openxmlformats-officedocument.spreadsheetml.pivotTable+xml"/>
  <Override PartName="/xl/drawings/drawing4.xml" ContentType="application/vnd.openxmlformats-officedocument.drawing+xml"/>
  <Override PartName="/xl/slicers/slicer1.xml" ContentType="application/vnd.ms-excel.slicer+xml"/>
  <Override PartName="/xl/pivotTables/pivotTable2.xml" ContentType="application/vnd.openxmlformats-officedocument.spreadsheetml.pivotTable+xml"/>
  <Override PartName="/xl/drawings/drawing5.xml" ContentType="application/vnd.openxmlformats-officedocument.drawing+xml"/>
  <Override PartName="/xl/slicers/slicer2.xml" ContentType="application/vnd.ms-excel.slicer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6.xml" ContentType="application/vnd.openxmlformats-officedocument.drawing+xml"/>
  <Override PartName="/xl/slicers/slicer3.xml" ContentType="application/vnd.ms-excel.slicer+xml"/>
  <Override PartName="/xl/pivotTables/pivotTable5.xml" ContentType="application/vnd.openxmlformats-officedocument.spreadsheetml.pivotTable+xml"/>
  <Override PartName="/xl/drawings/drawing7.xml" ContentType="application/vnd.openxmlformats-officedocument.drawing+xml"/>
  <Override PartName="/xl/slicers/slicer4.xml" ContentType="application/vnd.ms-excel.slicer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drawings/drawing8.xml" ContentType="application/vnd.openxmlformats-officedocument.drawing+xml"/>
  <Override PartName="/xl/slicers/slicer5.xml" ContentType="application/vnd.ms-excel.slicer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Users\Shanyda Botello\Desktop\"/>
    </mc:Choice>
  </mc:AlternateContent>
  <xr:revisionPtr revIDLastSave="0" documentId="13_ncr:1_{5D88B801-1CB6-4236-9275-8E391FCE5A3E}" xr6:coauthVersionLast="47" xr6:coauthVersionMax="47" xr10:uidLastSave="{00000000-0000-0000-0000-000000000000}"/>
  <bookViews>
    <workbookView xWindow="-110" yWindow="-110" windowWidth="19420" windowHeight="10420" tabRatio="844" firstSheet="3" activeTab="9" xr2:uid="{00000000-000D-0000-FFFF-FFFF00000000}"/>
  </bookViews>
  <sheets>
    <sheet name="Evalucion" sheetId="38" r:id="rId1"/>
    <sheet name="BD" sheetId="34" r:id="rId2"/>
    <sheet name="preguntas vs factores" sheetId="41" state="hidden" r:id="rId3"/>
    <sheet name="Acumulado" sheetId="37" r:id="rId4"/>
    <sheet name="Resultado general" sheetId="30" r:id="rId5"/>
    <sheet name="Resultado por Campaña" sheetId="27" r:id="rId6"/>
    <sheet name="Resultado por supervisor" sheetId="31" r:id="rId7"/>
    <sheet name="Resultado por agente" sheetId="29" r:id="rId8"/>
    <sheet name="Resultado por atributo" sheetId="23" r:id="rId9"/>
    <sheet name="Graficos" sheetId="36" r:id="rId10"/>
    <sheet name="HC" sheetId="35" r:id="rId11"/>
  </sheets>
  <definedNames>
    <definedName name="_xlnm._FilterDatabase" localSheetId="10" hidden="1">HC!$B$1:$E$73</definedName>
    <definedName name="_xleta.MONTH" hidden="1" xlm="1">#NAME?</definedName>
    <definedName name="_xleta.WEEKNUM" hidden="1" xlm="1">#NAME?</definedName>
    <definedName name="Agentes">Tabla1[[#All],[Nombre]]</definedName>
    <definedName name="SegmentaciónDeDatos_Antigüedad">#N/A</definedName>
    <definedName name="SegmentaciónDeDatos_Antigüedad1">#N/A</definedName>
    <definedName name="SegmentaciónDeDatos_Antigüedad2">#N/A</definedName>
    <definedName name="SegmentaciónDeDatos_mes">#N/A</definedName>
    <definedName name="SegmentaciónDeDatos_mes1">#N/A</definedName>
    <definedName name="SegmentaciónDeDatos_Supervisor">#N/A</definedName>
    <definedName name="Supervisor">Tabla1[[#All],[Supervisor]]</definedName>
    <definedName name="Supervisor1">HC!$M$11</definedName>
  </definedNames>
  <calcPr calcId="191029"/>
  <pivotCaches>
    <pivotCache cacheId="92" r:id="rId12"/>
  </pivotCaches>
  <extLst>
    <ext xmlns:x14="http://schemas.microsoft.com/office/spreadsheetml/2009/9/main" uri="{BBE1A952-AA13-448e-AADC-164F8A28A991}">
      <x14:slicerCaches>
        <x14:slicerCache r:id="rId13"/>
        <x14:slicerCache r:id="rId14"/>
        <x14:slicerCache r:id="rId15"/>
        <x14:slicerCache r:id="rId16"/>
        <x14:slicerCache r:id="rId17"/>
        <x14:slicerCache r:id="rId18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K3" i="36" l="1"/>
  <c r="K4" i="36"/>
  <c r="H2" i="35"/>
  <c r="IJ5" i="34"/>
  <c r="IJ6" i="34"/>
  <c r="IJ7" i="34"/>
  <c r="IJ8" i="34"/>
  <c r="IJ9" i="34"/>
  <c r="IJ10" i="34"/>
  <c r="IJ11" i="34"/>
  <c r="IJ12" i="34"/>
  <c r="IJ13" i="34"/>
  <c r="IJ14" i="34"/>
  <c r="IJ15" i="34"/>
  <c r="IJ16" i="34"/>
  <c r="IJ17" i="34"/>
  <c r="IJ18" i="34"/>
  <c r="IJ19" i="34"/>
  <c r="IJ20" i="34"/>
  <c r="IJ21" i="34"/>
  <c r="IJ22" i="34"/>
  <c r="IJ23" i="34"/>
  <c r="IJ24" i="34"/>
  <c r="IJ25" i="34"/>
  <c r="IJ26" i="34"/>
  <c r="IJ27" i="34"/>
  <c r="IJ28" i="34"/>
  <c r="IJ29" i="34"/>
  <c r="IJ30" i="34"/>
  <c r="IJ31" i="34"/>
  <c r="IJ32" i="34"/>
  <c r="IJ33" i="34"/>
  <c r="IJ34" i="34"/>
  <c r="IJ35" i="34"/>
  <c r="IJ36" i="34"/>
  <c r="IN4" i="34"/>
  <c r="IN5" i="34"/>
  <c r="IN6" i="34"/>
  <c r="IN7" i="34"/>
  <c r="IN8" i="34"/>
  <c r="IN9" i="34"/>
  <c r="IN10" i="34"/>
  <c r="IN11" i="34"/>
  <c r="IN12" i="34"/>
  <c r="IN13" i="34"/>
  <c r="IN14" i="34"/>
  <c r="IN15" i="34"/>
  <c r="IN16" i="34"/>
  <c r="IN17" i="34"/>
  <c r="IN18" i="34"/>
  <c r="IN19" i="34"/>
  <c r="IN20" i="34"/>
  <c r="IN21" i="34"/>
  <c r="IN22" i="34"/>
  <c r="IN23" i="34"/>
  <c r="IN24" i="34"/>
  <c r="IN25" i="34"/>
  <c r="IN26" i="34"/>
  <c r="IN27" i="34"/>
  <c r="IN28" i="34"/>
  <c r="IN29" i="34"/>
  <c r="IN30" i="34"/>
  <c r="IN31" i="34"/>
  <c r="IN32" i="34"/>
  <c r="IN33" i="34"/>
  <c r="IN34" i="34"/>
  <c r="IN35" i="34"/>
  <c r="IN36" i="34"/>
  <c r="IH27" i="34" l="1"/>
  <c r="IH31" i="34"/>
  <c r="IH35" i="34"/>
  <c r="L17" i="29"/>
  <c r="M17" i="29"/>
  <c r="BH36" i="34"/>
  <c r="BK36" i="34"/>
  <c r="BL36" i="34"/>
  <c r="BM36" i="34"/>
  <c r="BN36" i="34"/>
  <c r="BO36" i="34"/>
  <c r="BP36" i="34"/>
  <c r="BQ36" i="34"/>
  <c r="BR36" i="34"/>
  <c r="BS36" i="34"/>
  <c r="BT36" i="34"/>
  <c r="BU36" i="34"/>
  <c r="BV36" i="34"/>
  <c r="BW36" i="34"/>
  <c r="BX36" i="34"/>
  <c r="BY36" i="34"/>
  <c r="BZ36" i="34"/>
  <c r="CA36" i="34"/>
  <c r="CB36" i="34"/>
  <c r="CC36" i="34"/>
  <c r="CD36" i="34"/>
  <c r="CE36" i="34"/>
  <c r="CF36" i="34"/>
  <c r="CG36" i="34"/>
  <c r="CH36" i="34"/>
  <c r="CI36" i="34"/>
  <c r="CJ36" i="34"/>
  <c r="CK36" i="34"/>
  <c r="CL36" i="34"/>
  <c r="CM36" i="34"/>
  <c r="CN36" i="34"/>
  <c r="CO36" i="34"/>
  <c r="CP36" i="34"/>
  <c r="CQ36" i="34"/>
  <c r="CR36" i="34"/>
  <c r="CS36" i="34"/>
  <c r="CT36" i="34"/>
  <c r="CU36" i="34"/>
  <c r="CV36" i="34"/>
  <c r="CW36" i="34"/>
  <c r="CX36" i="34"/>
  <c r="CY36" i="34"/>
  <c r="CZ36" i="34"/>
  <c r="DA36" i="34"/>
  <c r="DB36" i="34"/>
  <c r="DC36" i="34"/>
  <c r="DD36" i="34"/>
  <c r="DE36" i="34"/>
  <c r="DF36" i="34"/>
  <c r="DG36" i="34"/>
  <c r="DH36" i="34"/>
  <c r="DI36" i="34"/>
  <c r="DK36" i="34" s="1"/>
  <c r="DJ36" i="34"/>
  <c r="DL36" i="34"/>
  <c r="DM36" i="34"/>
  <c r="DP36" i="34" s="1"/>
  <c r="DN36" i="34"/>
  <c r="DO36" i="34"/>
  <c r="DQ36" i="34"/>
  <c r="DR36" i="34"/>
  <c r="DU36" i="34" s="1"/>
  <c r="DS36" i="34"/>
  <c r="DT36" i="34"/>
  <c r="DV36" i="34"/>
  <c r="DW36" i="34" s="1"/>
  <c r="DY36" i="34"/>
  <c r="DZ36" i="34"/>
  <c r="EC36" i="34" s="1"/>
  <c r="EA36" i="34"/>
  <c r="EB36" i="34"/>
  <c r="ED36" i="34"/>
  <c r="EF36" i="34" s="1"/>
  <c r="EE36" i="34"/>
  <c r="EG36" i="34"/>
  <c r="EJ36" i="34" s="1"/>
  <c r="EH36" i="34"/>
  <c r="EI36" i="34"/>
  <c r="EK36" i="34"/>
  <c r="EL36" i="34"/>
  <c r="EM36" i="34"/>
  <c r="EN36" i="34"/>
  <c r="EO36" i="34"/>
  <c r="ER36" i="34" s="1"/>
  <c r="EP36" i="34"/>
  <c r="EQ36" i="34"/>
  <c r="ES36" i="34"/>
  <c r="EU36" i="34" s="1"/>
  <c r="ET36" i="34"/>
  <c r="EV36" i="34"/>
  <c r="EW36" i="34"/>
  <c r="EX36" i="34"/>
  <c r="EY36" i="34"/>
  <c r="EZ36" i="34"/>
  <c r="FA36" i="34"/>
  <c r="FB36" i="34"/>
  <c r="FD36" i="34"/>
  <c r="FE36" i="34"/>
  <c r="FF36" i="34"/>
  <c r="FG36" i="34"/>
  <c r="FH36" i="34"/>
  <c r="FI36" i="34"/>
  <c r="FJ36" i="34"/>
  <c r="FK36" i="34"/>
  <c r="FL36" i="34"/>
  <c r="FM36" i="34"/>
  <c r="FP36" i="34" s="1"/>
  <c r="FN36" i="34"/>
  <c r="FO36" i="34"/>
  <c r="FQ36" i="34"/>
  <c r="FR36" i="34"/>
  <c r="FT36" i="34"/>
  <c r="FU36" i="34"/>
  <c r="FV36" i="34"/>
  <c r="FX36" i="34" s="1"/>
  <c r="FW36" i="34"/>
  <c r="FY36" i="34"/>
  <c r="FZ36" i="34"/>
  <c r="GG36" i="34"/>
  <c r="GH36" i="34"/>
  <c r="IK36" i="34" s="1"/>
  <c r="GI36" i="34"/>
  <c r="GJ36" i="34"/>
  <c r="GK36" i="34"/>
  <c r="GN36" i="34"/>
  <c r="GO36" i="34"/>
  <c r="GP36" i="34"/>
  <c r="GQ36" i="34"/>
  <c r="GR36" i="34"/>
  <c r="GS36" i="34"/>
  <c r="GT36" i="34"/>
  <c r="GU36" i="34"/>
  <c r="GV36" i="34"/>
  <c r="GW36" i="34"/>
  <c r="GX36" i="34"/>
  <c r="GY36" i="34"/>
  <c r="GZ36" i="34"/>
  <c r="HA36" i="34"/>
  <c r="HB36" i="34"/>
  <c r="HC36" i="34"/>
  <c r="HD36" i="34"/>
  <c r="HE36" i="34"/>
  <c r="HF36" i="34"/>
  <c r="HG36" i="34"/>
  <c r="HH36" i="34"/>
  <c r="HI36" i="34"/>
  <c r="HJ36" i="34"/>
  <c r="HK36" i="34"/>
  <c r="HL36" i="34"/>
  <c r="HM36" i="34"/>
  <c r="HN36" i="34"/>
  <c r="HO36" i="34"/>
  <c r="HP36" i="34"/>
  <c r="HQ36" i="34"/>
  <c r="HR36" i="34"/>
  <c r="HS36" i="34"/>
  <c r="HT36" i="34"/>
  <c r="HU36" i="34"/>
  <c r="HV36" i="34"/>
  <c r="HW36" i="34"/>
  <c r="HX36" i="34"/>
  <c r="HY36" i="34"/>
  <c r="HZ36" i="34"/>
  <c r="IA36" i="34"/>
  <c r="IB36" i="34"/>
  <c r="IC36" i="34"/>
  <c r="ID36" i="34"/>
  <c r="IE36" i="34"/>
  <c r="IF36" i="34"/>
  <c r="IG36" i="34"/>
  <c r="IH36" i="34"/>
  <c r="BH35" i="34"/>
  <c r="BK35" i="34"/>
  <c r="BL35" i="34"/>
  <c r="BM35" i="34"/>
  <c r="BN35" i="34"/>
  <c r="BO35" i="34"/>
  <c r="BP35" i="34"/>
  <c r="BQ35" i="34"/>
  <c r="BR35" i="34"/>
  <c r="BS35" i="34"/>
  <c r="BT35" i="34"/>
  <c r="BU35" i="34"/>
  <c r="BV35" i="34"/>
  <c r="BW35" i="34"/>
  <c r="BX35" i="34"/>
  <c r="BY35" i="34"/>
  <c r="BZ35" i="34"/>
  <c r="CA35" i="34"/>
  <c r="CB35" i="34"/>
  <c r="CC35" i="34"/>
  <c r="CD35" i="34"/>
  <c r="CE35" i="34"/>
  <c r="CF35" i="34"/>
  <c r="CG35" i="34"/>
  <c r="CH35" i="34"/>
  <c r="CI35" i="34"/>
  <c r="CJ35" i="34"/>
  <c r="CK35" i="34"/>
  <c r="CL35" i="34"/>
  <c r="CM35" i="34"/>
  <c r="CN35" i="34"/>
  <c r="CO35" i="34"/>
  <c r="CP35" i="34"/>
  <c r="CQ35" i="34"/>
  <c r="CR35" i="34"/>
  <c r="CS35" i="34"/>
  <c r="CT35" i="34"/>
  <c r="CU35" i="34"/>
  <c r="CV35" i="34"/>
  <c r="CW35" i="34"/>
  <c r="CX35" i="34"/>
  <c r="CY35" i="34"/>
  <c r="CZ35" i="34"/>
  <c r="DA35" i="34"/>
  <c r="DB35" i="34"/>
  <c r="DC35" i="34"/>
  <c r="DD35" i="34"/>
  <c r="DE35" i="34"/>
  <c r="DF35" i="34"/>
  <c r="DG35" i="34"/>
  <c r="DH35" i="34"/>
  <c r="DK35" i="34" s="1"/>
  <c r="DI35" i="34"/>
  <c r="DJ35" i="34"/>
  <c r="DL35" i="34"/>
  <c r="DM35" i="34"/>
  <c r="DN35" i="34"/>
  <c r="DO35" i="34"/>
  <c r="DQ35" i="34"/>
  <c r="DR35" i="34"/>
  <c r="DS35" i="34"/>
  <c r="DT35" i="34"/>
  <c r="DV35" i="34"/>
  <c r="DW35" i="34" s="1"/>
  <c r="DY35" i="34"/>
  <c r="DZ35" i="34"/>
  <c r="EA35" i="34"/>
  <c r="EB35" i="34"/>
  <c r="ED35" i="34"/>
  <c r="EE35" i="34"/>
  <c r="EG35" i="34"/>
  <c r="EJ35" i="34" s="1"/>
  <c r="EH35" i="34"/>
  <c r="EI35" i="34"/>
  <c r="EK35" i="34"/>
  <c r="EL35" i="34"/>
  <c r="EM35" i="34"/>
  <c r="EN35" i="34" s="1"/>
  <c r="EO35" i="34"/>
  <c r="EP35" i="34"/>
  <c r="EQ35" i="34"/>
  <c r="ES35" i="34"/>
  <c r="ET35" i="34"/>
  <c r="EU35" i="34"/>
  <c r="EV35" i="34"/>
  <c r="EW35" i="34"/>
  <c r="EX35" i="34"/>
  <c r="EY35" i="34"/>
  <c r="EZ35" i="34"/>
  <c r="FA35" i="34"/>
  <c r="FD35" i="34"/>
  <c r="FE35" i="34"/>
  <c r="FF35" i="34"/>
  <c r="FG35" i="34"/>
  <c r="FH35" i="34"/>
  <c r="FI35" i="34"/>
  <c r="FK35" i="34"/>
  <c r="FL35" i="34" s="1"/>
  <c r="FM35" i="34"/>
  <c r="FN35" i="34"/>
  <c r="FO35" i="34"/>
  <c r="FQ35" i="34"/>
  <c r="FR35" i="34" s="1"/>
  <c r="FT35" i="34"/>
  <c r="FU35" i="34" s="1"/>
  <c r="FV35" i="34"/>
  <c r="FW35" i="34"/>
  <c r="FY35" i="34"/>
  <c r="FZ35" i="34" s="1"/>
  <c r="GG35" i="34"/>
  <c r="GH35" i="34"/>
  <c r="IK35" i="34" s="1"/>
  <c r="GI35" i="34"/>
  <c r="GJ35" i="34"/>
  <c r="GK35" i="34"/>
  <c r="GN35" i="34"/>
  <c r="GO35" i="34"/>
  <c r="GP35" i="34"/>
  <c r="GQ35" i="34"/>
  <c r="GR35" i="34"/>
  <c r="GS35" i="34"/>
  <c r="GT35" i="34"/>
  <c r="GU35" i="34"/>
  <c r="GV35" i="34"/>
  <c r="GW35" i="34"/>
  <c r="GX35" i="34"/>
  <c r="GY35" i="34"/>
  <c r="GZ35" i="34"/>
  <c r="HA35" i="34"/>
  <c r="HB35" i="34"/>
  <c r="HC35" i="34"/>
  <c r="HD35" i="34"/>
  <c r="HE35" i="34"/>
  <c r="HF35" i="34"/>
  <c r="HG35" i="34"/>
  <c r="HH35" i="34"/>
  <c r="HI35" i="34"/>
  <c r="HJ35" i="34"/>
  <c r="HK35" i="34"/>
  <c r="HL35" i="34"/>
  <c r="HM35" i="34"/>
  <c r="HN35" i="34"/>
  <c r="HO35" i="34"/>
  <c r="HP35" i="34"/>
  <c r="HQ35" i="34"/>
  <c r="HR35" i="34"/>
  <c r="HS35" i="34"/>
  <c r="HT35" i="34"/>
  <c r="HU35" i="34"/>
  <c r="HV35" i="34"/>
  <c r="HW35" i="34"/>
  <c r="HX35" i="34"/>
  <c r="HY35" i="34"/>
  <c r="HZ35" i="34"/>
  <c r="IA35" i="34"/>
  <c r="IB35" i="34"/>
  <c r="IC35" i="34"/>
  <c r="ID35" i="34"/>
  <c r="IE35" i="34"/>
  <c r="IF35" i="34"/>
  <c r="IG35" i="34"/>
  <c r="BH34" i="34"/>
  <c r="BK34" i="34"/>
  <c r="BL34" i="34"/>
  <c r="BM34" i="34"/>
  <c r="BN34" i="34"/>
  <c r="BO34" i="34"/>
  <c r="BP34" i="34"/>
  <c r="BQ34" i="34"/>
  <c r="BR34" i="34"/>
  <c r="BS34" i="34"/>
  <c r="BT34" i="34"/>
  <c r="BU34" i="34"/>
  <c r="BV34" i="34"/>
  <c r="BW34" i="34"/>
  <c r="BX34" i="34"/>
  <c r="BY34" i="34"/>
  <c r="BZ34" i="34"/>
  <c r="CA34" i="34"/>
  <c r="CB34" i="34"/>
  <c r="CC34" i="34"/>
  <c r="CD34" i="34"/>
  <c r="CE34" i="34"/>
  <c r="CF34" i="34"/>
  <c r="CG34" i="34"/>
  <c r="CH34" i="34"/>
  <c r="CI34" i="34"/>
  <c r="CJ34" i="34"/>
  <c r="CK34" i="34"/>
  <c r="CL34" i="34"/>
  <c r="CM34" i="34"/>
  <c r="CN34" i="34"/>
  <c r="CO34" i="34"/>
  <c r="CP34" i="34"/>
  <c r="CQ34" i="34"/>
  <c r="CR34" i="34"/>
  <c r="CS34" i="34"/>
  <c r="CT34" i="34"/>
  <c r="CU34" i="34"/>
  <c r="CV34" i="34"/>
  <c r="CW34" i="34"/>
  <c r="CX34" i="34"/>
  <c r="CY34" i="34"/>
  <c r="CZ34" i="34"/>
  <c r="DA34" i="34"/>
  <c r="DB34" i="34"/>
  <c r="DC34" i="34"/>
  <c r="DD34" i="34"/>
  <c r="DE34" i="34"/>
  <c r="DF34" i="34"/>
  <c r="DG34" i="34"/>
  <c r="DH34" i="34"/>
  <c r="DI34" i="34"/>
  <c r="DJ34" i="34"/>
  <c r="DL34" i="34"/>
  <c r="DM34" i="34"/>
  <c r="DN34" i="34"/>
  <c r="DO34" i="34"/>
  <c r="DQ34" i="34"/>
  <c r="DR34" i="34"/>
  <c r="DS34" i="34"/>
  <c r="DT34" i="34"/>
  <c r="DV34" i="34"/>
  <c r="DW34" i="34" s="1"/>
  <c r="DY34" i="34"/>
  <c r="DZ34" i="34"/>
  <c r="EA34" i="34"/>
  <c r="EB34" i="34"/>
  <c r="ED34" i="34"/>
  <c r="EF34" i="34" s="1"/>
  <c r="EE34" i="34"/>
  <c r="EG34" i="34"/>
  <c r="EH34" i="34"/>
  <c r="EI34" i="34"/>
  <c r="EK34" i="34"/>
  <c r="EL34" i="34" s="1"/>
  <c r="EM34" i="34"/>
  <c r="EN34" i="34" s="1"/>
  <c r="EO34" i="34"/>
  <c r="EP34" i="34"/>
  <c r="EQ34" i="34"/>
  <c r="ES34" i="34"/>
  <c r="ET34" i="34"/>
  <c r="EV34" i="34"/>
  <c r="EW34" i="34"/>
  <c r="EX34" i="34"/>
  <c r="EY34" i="34"/>
  <c r="EZ34" i="34"/>
  <c r="FA34" i="34"/>
  <c r="FD34" i="34"/>
  <c r="FE34" i="34"/>
  <c r="FF34" i="34"/>
  <c r="FG34" i="34"/>
  <c r="FH34" i="34"/>
  <c r="FI34" i="34"/>
  <c r="FK34" i="34"/>
  <c r="FL34" i="34" s="1"/>
  <c r="FM34" i="34"/>
  <c r="FN34" i="34"/>
  <c r="FO34" i="34"/>
  <c r="FQ34" i="34"/>
  <c r="FR34" i="34" s="1"/>
  <c r="FT34" i="34"/>
  <c r="FU34" i="34" s="1"/>
  <c r="FV34" i="34"/>
  <c r="FX34" i="34" s="1"/>
  <c r="FW34" i="34"/>
  <c r="FY34" i="34"/>
  <c r="FZ34" i="34" s="1"/>
  <c r="GG34" i="34"/>
  <c r="GH34" i="34"/>
  <c r="IK34" i="34" s="1"/>
  <c r="GI34" i="34"/>
  <c r="GJ34" i="34"/>
  <c r="GK34" i="34"/>
  <c r="GN34" i="34"/>
  <c r="GO34" i="34"/>
  <c r="GP34" i="34"/>
  <c r="GQ34" i="34"/>
  <c r="GR34" i="34"/>
  <c r="GS34" i="34"/>
  <c r="GT34" i="34"/>
  <c r="GU34" i="34"/>
  <c r="GV34" i="34"/>
  <c r="GW34" i="34"/>
  <c r="GX34" i="34"/>
  <c r="GY34" i="34"/>
  <c r="GZ34" i="34"/>
  <c r="HA34" i="34"/>
  <c r="HB34" i="34"/>
  <c r="HC34" i="34"/>
  <c r="HD34" i="34"/>
  <c r="HE34" i="34"/>
  <c r="HF34" i="34"/>
  <c r="HG34" i="34"/>
  <c r="HH34" i="34"/>
  <c r="HI34" i="34"/>
  <c r="HJ34" i="34"/>
  <c r="HK34" i="34"/>
  <c r="HL34" i="34"/>
  <c r="HM34" i="34"/>
  <c r="HN34" i="34"/>
  <c r="HO34" i="34"/>
  <c r="HP34" i="34"/>
  <c r="HQ34" i="34"/>
  <c r="HR34" i="34"/>
  <c r="HS34" i="34"/>
  <c r="HT34" i="34"/>
  <c r="HU34" i="34"/>
  <c r="HV34" i="34"/>
  <c r="HW34" i="34"/>
  <c r="HX34" i="34"/>
  <c r="HY34" i="34"/>
  <c r="HZ34" i="34"/>
  <c r="IA34" i="34"/>
  <c r="IB34" i="34"/>
  <c r="IC34" i="34"/>
  <c r="ID34" i="34"/>
  <c r="IE34" i="34"/>
  <c r="IF34" i="34"/>
  <c r="IG34" i="34"/>
  <c r="IH34" i="34"/>
  <c r="BH33" i="34"/>
  <c r="GH33" i="34" s="1"/>
  <c r="IK33" i="34" s="1"/>
  <c r="BK33" i="34"/>
  <c r="BL33" i="34"/>
  <c r="BM33" i="34"/>
  <c r="BN33" i="34"/>
  <c r="BO33" i="34"/>
  <c r="BP33" i="34"/>
  <c r="BQ33" i="34"/>
  <c r="BR33" i="34"/>
  <c r="BS33" i="34"/>
  <c r="BT33" i="34"/>
  <c r="BU33" i="34"/>
  <c r="BV33" i="34"/>
  <c r="BW33" i="34"/>
  <c r="BX33" i="34"/>
  <c r="BY33" i="34"/>
  <c r="BZ33" i="34"/>
  <c r="CA33" i="34"/>
  <c r="CB33" i="34"/>
  <c r="CC33" i="34"/>
  <c r="CD33" i="34"/>
  <c r="CE33" i="34"/>
  <c r="CF33" i="34"/>
  <c r="CG33" i="34"/>
  <c r="CH33" i="34"/>
  <c r="CI33" i="34"/>
  <c r="CJ33" i="34"/>
  <c r="CK33" i="34"/>
  <c r="CL33" i="34"/>
  <c r="CM33" i="34"/>
  <c r="CN33" i="34"/>
  <c r="CO33" i="34"/>
  <c r="CP33" i="34"/>
  <c r="CQ33" i="34"/>
  <c r="CR33" i="34"/>
  <c r="CS33" i="34"/>
  <c r="CT33" i="34"/>
  <c r="CU33" i="34"/>
  <c r="CV33" i="34"/>
  <c r="CW33" i="34"/>
  <c r="CX33" i="34"/>
  <c r="CY33" i="34"/>
  <c r="CZ33" i="34"/>
  <c r="DA33" i="34"/>
  <c r="DB33" i="34"/>
  <c r="DC33" i="34"/>
  <c r="DD33" i="34"/>
  <c r="DE33" i="34"/>
  <c r="DF33" i="34"/>
  <c r="DG33" i="34"/>
  <c r="DH33" i="34"/>
  <c r="DI33" i="34"/>
  <c r="DJ33" i="34"/>
  <c r="DL33" i="34"/>
  <c r="DM33" i="34"/>
  <c r="DN33" i="34"/>
  <c r="DO33" i="34"/>
  <c r="DQ33" i="34"/>
  <c r="DR33" i="34"/>
  <c r="DS33" i="34"/>
  <c r="DT33" i="34"/>
  <c r="DV33" i="34"/>
  <c r="DW33" i="34" s="1"/>
  <c r="DY33" i="34"/>
  <c r="DZ33" i="34"/>
  <c r="EA33" i="34"/>
  <c r="EB33" i="34"/>
  <c r="ED33" i="34"/>
  <c r="EE33" i="34"/>
  <c r="EG33" i="34"/>
  <c r="EH33" i="34"/>
  <c r="EI33" i="34"/>
  <c r="EK33" i="34"/>
  <c r="EL33" i="34" s="1"/>
  <c r="EM33" i="34"/>
  <c r="EN33" i="34" s="1"/>
  <c r="EO33" i="34"/>
  <c r="EP33" i="34"/>
  <c r="EQ33" i="34"/>
  <c r="ES33" i="34"/>
  <c r="ET33" i="34"/>
  <c r="EV33" i="34"/>
  <c r="EW33" i="34"/>
  <c r="EX33" i="34"/>
  <c r="EY33" i="34"/>
  <c r="EZ33" i="34"/>
  <c r="FA33" i="34"/>
  <c r="FD33" i="34"/>
  <c r="FE33" i="34"/>
  <c r="FF33" i="34"/>
  <c r="FG33" i="34"/>
  <c r="FH33" i="34"/>
  <c r="FI33" i="34"/>
  <c r="FK33" i="34"/>
  <c r="FL33" i="34" s="1"/>
  <c r="FM33" i="34"/>
  <c r="FN33" i="34"/>
  <c r="FO33" i="34"/>
  <c r="FQ33" i="34"/>
  <c r="FR33" i="34" s="1"/>
  <c r="FT33" i="34"/>
  <c r="FU33" i="34"/>
  <c r="FV33" i="34"/>
  <c r="FW33" i="34"/>
  <c r="FY33" i="34"/>
  <c r="FZ33" i="34" s="1"/>
  <c r="GG33" i="34"/>
  <c r="GI33" i="34"/>
  <c r="GJ33" i="34"/>
  <c r="GK33" i="34"/>
  <c r="GN33" i="34"/>
  <c r="GO33" i="34"/>
  <c r="GP33" i="34"/>
  <c r="GQ33" i="34"/>
  <c r="GR33" i="34"/>
  <c r="GS33" i="34"/>
  <c r="GT33" i="34"/>
  <c r="GU33" i="34"/>
  <c r="GV33" i="34"/>
  <c r="GW33" i="34"/>
  <c r="GX33" i="34"/>
  <c r="GY33" i="34"/>
  <c r="GZ33" i="34"/>
  <c r="HA33" i="34"/>
  <c r="HB33" i="34"/>
  <c r="HC33" i="34"/>
  <c r="HD33" i="34"/>
  <c r="HE33" i="34"/>
  <c r="HF33" i="34"/>
  <c r="HG33" i="34"/>
  <c r="HH33" i="34"/>
  <c r="HI33" i="34"/>
  <c r="HJ33" i="34"/>
  <c r="HK33" i="34"/>
  <c r="HL33" i="34"/>
  <c r="HM33" i="34"/>
  <c r="HN33" i="34"/>
  <c r="HO33" i="34"/>
  <c r="HP33" i="34"/>
  <c r="HQ33" i="34"/>
  <c r="HR33" i="34"/>
  <c r="HS33" i="34"/>
  <c r="HT33" i="34"/>
  <c r="HU33" i="34"/>
  <c r="HV33" i="34"/>
  <c r="HW33" i="34"/>
  <c r="HX33" i="34"/>
  <c r="HY33" i="34"/>
  <c r="HZ33" i="34"/>
  <c r="IA33" i="34"/>
  <c r="IB33" i="34"/>
  <c r="IC33" i="34"/>
  <c r="ID33" i="34"/>
  <c r="IE33" i="34"/>
  <c r="IF33" i="34"/>
  <c r="IG33" i="34"/>
  <c r="IH33" i="34"/>
  <c r="BH32" i="34"/>
  <c r="GH32" i="34" s="1"/>
  <c r="IK32" i="34" s="1"/>
  <c r="BK32" i="34"/>
  <c r="BL32" i="34"/>
  <c r="BM32" i="34"/>
  <c r="BN32" i="34"/>
  <c r="BO32" i="34"/>
  <c r="BP32" i="34"/>
  <c r="BQ32" i="34"/>
  <c r="BR32" i="34"/>
  <c r="BS32" i="34"/>
  <c r="BT32" i="34"/>
  <c r="BU32" i="34"/>
  <c r="BV32" i="34"/>
  <c r="BW32" i="34"/>
  <c r="BX32" i="34"/>
  <c r="BY32" i="34"/>
  <c r="BZ32" i="34"/>
  <c r="CA32" i="34"/>
  <c r="CB32" i="34"/>
  <c r="CC32" i="34"/>
  <c r="CD32" i="34"/>
  <c r="CE32" i="34"/>
  <c r="CF32" i="34"/>
  <c r="CG32" i="34"/>
  <c r="CH32" i="34"/>
  <c r="CI32" i="34"/>
  <c r="CJ32" i="34"/>
  <c r="CK32" i="34"/>
  <c r="CL32" i="34"/>
  <c r="CM32" i="34"/>
  <c r="CN32" i="34"/>
  <c r="CO32" i="34"/>
  <c r="CP32" i="34"/>
  <c r="CQ32" i="34"/>
  <c r="CR32" i="34"/>
  <c r="CS32" i="34"/>
  <c r="CT32" i="34"/>
  <c r="CU32" i="34"/>
  <c r="CV32" i="34"/>
  <c r="CW32" i="34"/>
  <c r="CX32" i="34"/>
  <c r="CY32" i="34"/>
  <c r="CZ32" i="34"/>
  <c r="DA32" i="34"/>
  <c r="DB32" i="34"/>
  <c r="DC32" i="34"/>
  <c r="DD32" i="34"/>
  <c r="DE32" i="34"/>
  <c r="DF32" i="34"/>
  <c r="DG32" i="34"/>
  <c r="DH32" i="34"/>
  <c r="DI32" i="34"/>
  <c r="DJ32" i="34"/>
  <c r="DL32" i="34"/>
  <c r="DM32" i="34"/>
  <c r="DN32" i="34"/>
  <c r="DO32" i="34"/>
  <c r="DQ32" i="34"/>
  <c r="DR32" i="34"/>
  <c r="DS32" i="34"/>
  <c r="DT32" i="34"/>
  <c r="DV32" i="34"/>
  <c r="DW32" i="34" s="1"/>
  <c r="DY32" i="34"/>
  <c r="DZ32" i="34"/>
  <c r="EA32" i="34"/>
  <c r="EB32" i="34"/>
  <c r="ED32" i="34"/>
  <c r="EE32" i="34"/>
  <c r="EG32" i="34"/>
  <c r="EH32" i="34"/>
  <c r="EI32" i="34"/>
  <c r="EK32" i="34"/>
  <c r="EL32" i="34" s="1"/>
  <c r="EM32" i="34"/>
  <c r="EN32" i="34" s="1"/>
  <c r="EO32" i="34"/>
  <c r="EP32" i="34"/>
  <c r="EQ32" i="34"/>
  <c r="ES32" i="34"/>
  <c r="ET32" i="34"/>
  <c r="EV32" i="34"/>
  <c r="EW32" i="34"/>
  <c r="EX32" i="34"/>
  <c r="EY32" i="34"/>
  <c r="EZ32" i="34"/>
  <c r="FA32" i="34"/>
  <c r="FD32" i="34"/>
  <c r="FE32" i="34"/>
  <c r="FF32" i="34"/>
  <c r="FG32" i="34"/>
  <c r="FH32" i="34"/>
  <c r="FI32" i="34"/>
  <c r="FK32" i="34"/>
  <c r="FL32" i="34" s="1"/>
  <c r="FM32" i="34"/>
  <c r="FN32" i="34"/>
  <c r="FO32" i="34"/>
  <c r="FQ32" i="34"/>
  <c r="FR32" i="34" s="1"/>
  <c r="FT32" i="34"/>
  <c r="FU32" i="34" s="1"/>
  <c r="FV32" i="34"/>
  <c r="FW32" i="34"/>
  <c r="FY32" i="34"/>
  <c r="FZ32" i="34" s="1"/>
  <c r="GG32" i="34"/>
  <c r="GI32" i="34"/>
  <c r="GJ32" i="34"/>
  <c r="GK32" i="34"/>
  <c r="GN32" i="34"/>
  <c r="GO32" i="34"/>
  <c r="GP32" i="34"/>
  <c r="GQ32" i="34"/>
  <c r="GR32" i="34"/>
  <c r="GS32" i="34"/>
  <c r="GT32" i="34"/>
  <c r="GU32" i="34"/>
  <c r="GV32" i="34"/>
  <c r="GW32" i="34"/>
  <c r="GX32" i="34"/>
  <c r="GY32" i="34"/>
  <c r="GZ32" i="34"/>
  <c r="HA32" i="34"/>
  <c r="HB32" i="34"/>
  <c r="HC32" i="34"/>
  <c r="HD32" i="34"/>
  <c r="HE32" i="34"/>
  <c r="HF32" i="34"/>
  <c r="HG32" i="34"/>
  <c r="HH32" i="34"/>
  <c r="HI32" i="34"/>
  <c r="HJ32" i="34"/>
  <c r="HK32" i="34"/>
  <c r="HL32" i="34"/>
  <c r="HM32" i="34"/>
  <c r="HN32" i="34"/>
  <c r="HO32" i="34"/>
  <c r="HP32" i="34"/>
  <c r="HQ32" i="34"/>
  <c r="HR32" i="34"/>
  <c r="HS32" i="34"/>
  <c r="HT32" i="34"/>
  <c r="HU32" i="34"/>
  <c r="HV32" i="34"/>
  <c r="HW32" i="34"/>
  <c r="HX32" i="34"/>
  <c r="HY32" i="34"/>
  <c r="HZ32" i="34"/>
  <c r="IA32" i="34"/>
  <c r="IB32" i="34"/>
  <c r="IC32" i="34"/>
  <c r="ID32" i="34"/>
  <c r="IE32" i="34"/>
  <c r="IF32" i="34"/>
  <c r="IG32" i="34"/>
  <c r="IH32" i="34"/>
  <c r="BH31" i="34"/>
  <c r="BK31" i="34"/>
  <c r="BL31" i="34"/>
  <c r="BM31" i="34"/>
  <c r="BN31" i="34"/>
  <c r="BO31" i="34"/>
  <c r="BP31" i="34"/>
  <c r="BQ31" i="34"/>
  <c r="BR31" i="34"/>
  <c r="BS31" i="34"/>
  <c r="BT31" i="34"/>
  <c r="BU31" i="34"/>
  <c r="BV31" i="34"/>
  <c r="BW31" i="34"/>
  <c r="BX31" i="34"/>
  <c r="BY31" i="34"/>
  <c r="BZ31" i="34"/>
  <c r="CA31" i="34"/>
  <c r="CB31" i="34"/>
  <c r="CC31" i="34"/>
  <c r="CD31" i="34"/>
  <c r="CE31" i="34"/>
  <c r="CF31" i="34"/>
  <c r="CG31" i="34"/>
  <c r="CH31" i="34"/>
  <c r="CI31" i="34"/>
  <c r="CJ31" i="34"/>
  <c r="CK31" i="34"/>
  <c r="CL31" i="34"/>
  <c r="CM31" i="34"/>
  <c r="CN31" i="34"/>
  <c r="CO31" i="34"/>
  <c r="CP31" i="34"/>
  <c r="CQ31" i="34"/>
  <c r="CR31" i="34"/>
  <c r="CS31" i="34"/>
  <c r="CT31" i="34"/>
  <c r="CU31" i="34"/>
  <c r="CV31" i="34"/>
  <c r="CW31" i="34"/>
  <c r="CX31" i="34"/>
  <c r="CY31" i="34"/>
  <c r="CZ31" i="34"/>
  <c r="DA31" i="34"/>
  <c r="DB31" i="34"/>
  <c r="DC31" i="34"/>
  <c r="DD31" i="34"/>
  <c r="DE31" i="34"/>
  <c r="DF31" i="34"/>
  <c r="DG31" i="34"/>
  <c r="DH31" i="34"/>
  <c r="DI31" i="34"/>
  <c r="DJ31" i="34"/>
  <c r="DL31" i="34"/>
  <c r="DM31" i="34"/>
  <c r="DN31" i="34"/>
  <c r="DO31" i="34"/>
  <c r="DQ31" i="34"/>
  <c r="DR31" i="34"/>
  <c r="DS31" i="34"/>
  <c r="DT31" i="34"/>
  <c r="DV31" i="34"/>
  <c r="DW31" i="34" s="1"/>
  <c r="DY31" i="34"/>
  <c r="DZ31" i="34"/>
  <c r="EA31" i="34"/>
  <c r="EB31" i="34"/>
  <c r="ED31" i="34"/>
  <c r="EE31" i="34"/>
  <c r="EG31" i="34"/>
  <c r="EH31" i="34"/>
  <c r="EI31" i="34"/>
  <c r="EK31" i="34"/>
  <c r="EL31" i="34" s="1"/>
  <c r="EM31" i="34"/>
  <c r="EN31" i="34" s="1"/>
  <c r="EO31" i="34"/>
  <c r="EP31" i="34"/>
  <c r="EQ31" i="34"/>
  <c r="ES31" i="34"/>
  <c r="ET31" i="34"/>
  <c r="EV31" i="34"/>
  <c r="EW31" i="34"/>
  <c r="EX31" i="34"/>
  <c r="EY31" i="34"/>
  <c r="EZ31" i="34"/>
  <c r="FA31" i="34"/>
  <c r="FD31" i="34"/>
  <c r="FE31" i="34"/>
  <c r="FF31" i="34"/>
  <c r="FG31" i="34"/>
  <c r="FH31" i="34"/>
  <c r="FI31" i="34"/>
  <c r="FK31" i="34"/>
  <c r="FL31" i="34" s="1"/>
  <c r="FM31" i="34"/>
  <c r="FN31" i="34"/>
  <c r="FO31" i="34"/>
  <c r="FQ31" i="34"/>
  <c r="FR31" i="34" s="1"/>
  <c r="FT31" i="34"/>
  <c r="FU31" i="34" s="1"/>
  <c r="FV31" i="34"/>
  <c r="FW31" i="34"/>
  <c r="FY31" i="34"/>
  <c r="FZ31" i="34" s="1"/>
  <c r="GG31" i="34"/>
  <c r="GH31" i="34"/>
  <c r="IK31" i="34" s="1"/>
  <c r="GI31" i="34"/>
  <c r="GJ31" i="34"/>
  <c r="GK31" i="34"/>
  <c r="GN31" i="34"/>
  <c r="GO31" i="34"/>
  <c r="GP31" i="34"/>
  <c r="GQ31" i="34"/>
  <c r="GR31" i="34"/>
  <c r="GS31" i="34"/>
  <c r="GT31" i="34"/>
  <c r="GU31" i="34"/>
  <c r="GV31" i="34"/>
  <c r="GW31" i="34"/>
  <c r="GX31" i="34"/>
  <c r="GY31" i="34"/>
  <c r="GZ31" i="34"/>
  <c r="HA31" i="34"/>
  <c r="HB31" i="34"/>
  <c r="HC31" i="34"/>
  <c r="HD31" i="34"/>
  <c r="HE31" i="34"/>
  <c r="HF31" i="34"/>
  <c r="HG31" i="34"/>
  <c r="HH31" i="34"/>
  <c r="HI31" i="34"/>
  <c r="HJ31" i="34"/>
  <c r="HK31" i="34"/>
  <c r="HL31" i="34"/>
  <c r="HM31" i="34"/>
  <c r="HN31" i="34"/>
  <c r="HO31" i="34"/>
  <c r="HP31" i="34"/>
  <c r="HQ31" i="34"/>
  <c r="HR31" i="34"/>
  <c r="HS31" i="34"/>
  <c r="HT31" i="34"/>
  <c r="HU31" i="34"/>
  <c r="HV31" i="34"/>
  <c r="HW31" i="34"/>
  <c r="HX31" i="34"/>
  <c r="HY31" i="34"/>
  <c r="HZ31" i="34"/>
  <c r="IA31" i="34"/>
  <c r="IB31" i="34"/>
  <c r="IC31" i="34"/>
  <c r="ID31" i="34"/>
  <c r="IE31" i="34"/>
  <c r="IF31" i="34"/>
  <c r="IG31" i="34"/>
  <c r="BH30" i="34"/>
  <c r="BK30" i="34"/>
  <c r="BL30" i="34"/>
  <c r="BM30" i="34"/>
  <c r="BN30" i="34"/>
  <c r="BO30" i="34"/>
  <c r="BP30" i="34"/>
  <c r="BQ30" i="34"/>
  <c r="BR30" i="34"/>
  <c r="BS30" i="34"/>
  <c r="BT30" i="34"/>
  <c r="BU30" i="34"/>
  <c r="BV30" i="34"/>
  <c r="BW30" i="34"/>
  <c r="BX30" i="34"/>
  <c r="BY30" i="34"/>
  <c r="BZ30" i="34"/>
  <c r="CA30" i="34"/>
  <c r="CB30" i="34"/>
  <c r="CC30" i="34"/>
  <c r="CD30" i="34"/>
  <c r="CE30" i="34"/>
  <c r="CF30" i="34"/>
  <c r="CG30" i="34"/>
  <c r="CH30" i="34"/>
  <c r="CI30" i="34"/>
  <c r="CJ30" i="34"/>
  <c r="CK30" i="34"/>
  <c r="CL30" i="34"/>
  <c r="CM30" i="34"/>
  <c r="CN30" i="34"/>
  <c r="CO30" i="34"/>
  <c r="CP30" i="34"/>
  <c r="CQ30" i="34"/>
  <c r="CR30" i="34"/>
  <c r="CS30" i="34"/>
  <c r="CT30" i="34"/>
  <c r="CU30" i="34"/>
  <c r="CV30" i="34"/>
  <c r="CW30" i="34"/>
  <c r="CX30" i="34"/>
  <c r="CY30" i="34"/>
  <c r="CZ30" i="34"/>
  <c r="DA30" i="34"/>
  <c r="DB30" i="34"/>
  <c r="DC30" i="34"/>
  <c r="DD30" i="34"/>
  <c r="DE30" i="34"/>
  <c r="DF30" i="34"/>
  <c r="DG30" i="34"/>
  <c r="DH30" i="34"/>
  <c r="DI30" i="34"/>
  <c r="DJ30" i="34"/>
  <c r="DL30" i="34"/>
  <c r="DM30" i="34"/>
  <c r="DN30" i="34"/>
  <c r="DO30" i="34"/>
  <c r="DQ30" i="34"/>
  <c r="DR30" i="34"/>
  <c r="DS30" i="34"/>
  <c r="DT30" i="34"/>
  <c r="DV30" i="34"/>
  <c r="DW30" i="34" s="1"/>
  <c r="DY30" i="34"/>
  <c r="DZ30" i="34"/>
  <c r="EA30" i="34"/>
  <c r="EB30" i="34"/>
  <c r="ED30" i="34"/>
  <c r="EE30" i="34"/>
  <c r="EG30" i="34"/>
  <c r="EH30" i="34"/>
  <c r="EI30" i="34"/>
  <c r="EK30" i="34"/>
  <c r="EL30" i="34" s="1"/>
  <c r="EM30" i="34"/>
  <c r="EN30" i="34" s="1"/>
  <c r="EO30" i="34"/>
  <c r="EP30" i="34"/>
  <c r="EQ30" i="34"/>
  <c r="ES30" i="34"/>
  <c r="EU30" i="34" s="1"/>
  <c r="ET30" i="34"/>
  <c r="EV30" i="34"/>
  <c r="EW30" i="34"/>
  <c r="EX30" i="34"/>
  <c r="EY30" i="34"/>
  <c r="EZ30" i="34"/>
  <c r="FA30" i="34"/>
  <c r="FD30" i="34"/>
  <c r="FE30" i="34"/>
  <c r="FF30" i="34"/>
  <c r="FG30" i="34"/>
  <c r="FH30" i="34"/>
  <c r="FI30" i="34"/>
  <c r="FK30" i="34"/>
  <c r="FL30" i="34" s="1"/>
  <c r="FM30" i="34"/>
  <c r="FN30" i="34"/>
  <c r="FO30" i="34"/>
  <c r="FQ30" i="34"/>
  <c r="FR30" i="34" s="1"/>
  <c r="FT30" i="34"/>
  <c r="FU30" i="34" s="1"/>
  <c r="FV30" i="34"/>
  <c r="FW30" i="34"/>
  <c r="FY30" i="34"/>
  <c r="FZ30" i="34" s="1"/>
  <c r="GG30" i="34"/>
  <c r="GH30" i="34"/>
  <c r="IK30" i="34" s="1"/>
  <c r="GI30" i="34"/>
  <c r="GJ30" i="34"/>
  <c r="GK30" i="34"/>
  <c r="GN30" i="34"/>
  <c r="GO30" i="34"/>
  <c r="GP30" i="34"/>
  <c r="GQ30" i="34"/>
  <c r="GR30" i="34"/>
  <c r="GS30" i="34"/>
  <c r="GT30" i="34"/>
  <c r="GU30" i="34"/>
  <c r="GV30" i="34"/>
  <c r="GW30" i="34"/>
  <c r="GX30" i="34"/>
  <c r="GY30" i="34"/>
  <c r="GZ30" i="34"/>
  <c r="HA30" i="34"/>
  <c r="HB30" i="34"/>
  <c r="HC30" i="34"/>
  <c r="HD30" i="34"/>
  <c r="HE30" i="34"/>
  <c r="HF30" i="34"/>
  <c r="HG30" i="34"/>
  <c r="HH30" i="34"/>
  <c r="HI30" i="34"/>
  <c r="HJ30" i="34"/>
  <c r="HK30" i="34"/>
  <c r="HL30" i="34"/>
  <c r="HM30" i="34"/>
  <c r="HN30" i="34"/>
  <c r="HO30" i="34"/>
  <c r="HP30" i="34"/>
  <c r="HQ30" i="34"/>
  <c r="HR30" i="34"/>
  <c r="HS30" i="34"/>
  <c r="HT30" i="34"/>
  <c r="HU30" i="34"/>
  <c r="HV30" i="34"/>
  <c r="HW30" i="34"/>
  <c r="HX30" i="34"/>
  <c r="HY30" i="34"/>
  <c r="HZ30" i="34"/>
  <c r="IA30" i="34"/>
  <c r="IB30" i="34"/>
  <c r="IC30" i="34"/>
  <c r="ID30" i="34"/>
  <c r="IE30" i="34"/>
  <c r="IF30" i="34"/>
  <c r="IG30" i="34"/>
  <c r="IH30" i="34"/>
  <c r="BH29" i="34"/>
  <c r="BK29" i="34"/>
  <c r="BL29" i="34"/>
  <c r="BM29" i="34"/>
  <c r="BN29" i="34"/>
  <c r="BO29" i="34"/>
  <c r="BP29" i="34"/>
  <c r="BQ29" i="34"/>
  <c r="BR29" i="34"/>
  <c r="BS29" i="34"/>
  <c r="BT29" i="34"/>
  <c r="BU29" i="34"/>
  <c r="BV29" i="34"/>
  <c r="BW29" i="34"/>
  <c r="BX29" i="34"/>
  <c r="BY29" i="34"/>
  <c r="BZ29" i="34"/>
  <c r="CA29" i="34"/>
  <c r="CB29" i="34"/>
  <c r="CC29" i="34"/>
  <c r="CD29" i="34"/>
  <c r="CE29" i="34"/>
  <c r="CF29" i="34"/>
  <c r="CG29" i="34"/>
  <c r="CH29" i="34"/>
  <c r="CI29" i="34"/>
  <c r="CJ29" i="34"/>
  <c r="CK29" i="34"/>
  <c r="CL29" i="34"/>
  <c r="CM29" i="34"/>
  <c r="CN29" i="34"/>
  <c r="CO29" i="34"/>
  <c r="CP29" i="34"/>
  <c r="CQ29" i="34"/>
  <c r="CR29" i="34"/>
  <c r="CS29" i="34"/>
  <c r="CT29" i="34"/>
  <c r="CU29" i="34"/>
  <c r="CV29" i="34"/>
  <c r="CW29" i="34"/>
  <c r="CX29" i="34"/>
  <c r="CY29" i="34"/>
  <c r="CZ29" i="34"/>
  <c r="DA29" i="34"/>
  <c r="DB29" i="34"/>
  <c r="DC29" i="34"/>
  <c r="DD29" i="34"/>
  <c r="DE29" i="34"/>
  <c r="DF29" i="34"/>
  <c r="DG29" i="34"/>
  <c r="DH29" i="34"/>
  <c r="DI29" i="34"/>
  <c r="DJ29" i="34"/>
  <c r="DL29" i="34"/>
  <c r="DM29" i="34"/>
  <c r="DN29" i="34"/>
  <c r="DO29" i="34"/>
  <c r="DQ29" i="34"/>
  <c r="DR29" i="34"/>
  <c r="DS29" i="34"/>
  <c r="DT29" i="34"/>
  <c r="DV29" i="34"/>
  <c r="DW29" i="34" s="1"/>
  <c r="DY29" i="34"/>
  <c r="DZ29" i="34"/>
  <c r="EA29" i="34"/>
  <c r="EB29" i="34"/>
  <c r="ED29" i="34"/>
  <c r="EE29" i="34"/>
  <c r="EG29" i="34"/>
  <c r="EH29" i="34"/>
  <c r="EI29" i="34"/>
  <c r="EK29" i="34"/>
  <c r="EL29" i="34" s="1"/>
  <c r="EM29" i="34"/>
  <c r="EN29" i="34" s="1"/>
  <c r="EO29" i="34"/>
  <c r="EP29" i="34"/>
  <c r="EQ29" i="34"/>
  <c r="ES29" i="34"/>
  <c r="ET29" i="34"/>
  <c r="EV29" i="34"/>
  <c r="EW29" i="34"/>
  <c r="EX29" i="34"/>
  <c r="EY29" i="34"/>
  <c r="EZ29" i="34"/>
  <c r="FA29" i="34"/>
  <c r="FD29" i="34"/>
  <c r="FE29" i="34"/>
  <c r="FF29" i="34"/>
  <c r="FG29" i="34"/>
  <c r="FH29" i="34"/>
  <c r="FI29" i="34"/>
  <c r="FK29" i="34"/>
  <c r="FL29" i="34" s="1"/>
  <c r="FM29" i="34"/>
  <c r="FN29" i="34"/>
  <c r="FO29" i="34"/>
  <c r="FQ29" i="34"/>
  <c r="FR29" i="34" s="1"/>
  <c r="FT29" i="34"/>
  <c r="FU29" i="34" s="1"/>
  <c r="FV29" i="34"/>
  <c r="FW29" i="34"/>
  <c r="FY29" i="34"/>
  <c r="FZ29" i="34" s="1"/>
  <c r="GG29" i="34"/>
  <c r="GH29" i="34"/>
  <c r="IK29" i="34" s="1"/>
  <c r="IL29" i="34" s="1"/>
  <c r="IM29" i="34" s="1"/>
  <c r="GI29" i="34"/>
  <c r="GJ29" i="34"/>
  <c r="GK29" i="34"/>
  <c r="GN29" i="34"/>
  <c r="GO29" i="34"/>
  <c r="GP29" i="34"/>
  <c r="GQ29" i="34"/>
  <c r="GR29" i="34"/>
  <c r="GS29" i="34"/>
  <c r="GT29" i="34"/>
  <c r="GU29" i="34"/>
  <c r="GV29" i="34"/>
  <c r="GW29" i="34"/>
  <c r="GX29" i="34"/>
  <c r="GY29" i="34"/>
  <c r="GZ29" i="34"/>
  <c r="HA29" i="34"/>
  <c r="HB29" i="34"/>
  <c r="HC29" i="34"/>
  <c r="HD29" i="34"/>
  <c r="HE29" i="34"/>
  <c r="HF29" i="34"/>
  <c r="HG29" i="34"/>
  <c r="HH29" i="34"/>
  <c r="HI29" i="34"/>
  <c r="HJ29" i="34"/>
  <c r="HK29" i="34"/>
  <c r="HL29" i="34"/>
  <c r="HM29" i="34"/>
  <c r="HN29" i="34"/>
  <c r="HO29" i="34"/>
  <c r="HP29" i="34"/>
  <c r="HQ29" i="34"/>
  <c r="HR29" i="34"/>
  <c r="HS29" i="34"/>
  <c r="HT29" i="34"/>
  <c r="HU29" i="34"/>
  <c r="HV29" i="34"/>
  <c r="HW29" i="34"/>
  <c r="HX29" i="34"/>
  <c r="HY29" i="34"/>
  <c r="HZ29" i="34"/>
  <c r="IA29" i="34"/>
  <c r="IB29" i="34"/>
  <c r="IC29" i="34"/>
  <c r="ID29" i="34"/>
  <c r="IE29" i="34"/>
  <c r="IF29" i="34"/>
  <c r="IG29" i="34"/>
  <c r="IH29" i="34"/>
  <c r="BH28" i="34"/>
  <c r="BK28" i="34"/>
  <c r="BL28" i="34"/>
  <c r="BM28" i="34"/>
  <c r="BN28" i="34"/>
  <c r="BO28" i="34"/>
  <c r="BP28" i="34"/>
  <c r="BQ28" i="34"/>
  <c r="BR28" i="34"/>
  <c r="BS28" i="34"/>
  <c r="BT28" i="34"/>
  <c r="BU28" i="34"/>
  <c r="BV28" i="34"/>
  <c r="BW28" i="34"/>
  <c r="BX28" i="34"/>
  <c r="BY28" i="34"/>
  <c r="BZ28" i="34"/>
  <c r="CA28" i="34"/>
  <c r="CB28" i="34"/>
  <c r="CC28" i="34"/>
  <c r="CD28" i="34"/>
  <c r="CE28" i="34"/>
  <c r="CF28" i="34"/>
  <c r="CG28" i="34"/>
  <c r="CH28" i="34"/>
  <c r="CI28" i="34"/>
  <c r="CJ28" i="34"/>
  <c r="CK28" i="34"/>
  <c r="CL28" i="34"/>
  <c r="CM28" i="34"/>
  <c r="CN28" i="34"/>
  <c r="CO28" i="34"/>
  <c r="CP28" i="34"/>
  <c r="CQ28" i="34"/>
  <c r="CR28" i="34"/>
  <c r="CS28" i="34"/>
  <c r="CT28" i="34"/>
  <c r="CU28" i="34"/>
  <c r="CV28" i="34"/>
  <c r="CW28" i="34"/>
  <c r="CX28" i="34"/>
  <c r="CY28" i="34"/>
  <c r="CZ28" i="34"/>
  <c r="DA28" i="34"/>
  <c r="DB28" i="34"/>
  <c r="DC28" i="34"/>
  <c r="DD28" i="34"/>
  <c r="DE28" i="34"/>
  <c r="DF28" i="34"/>
  <c r="DG28" i="34"/>
  <c r="DH28" i="34"/>
  <c r="DI28" i="34"/>
  <c r="DJ28" i="34"/>
  <c r="DL28" i="34"/>
  <c r="DM28" i="34"/>
  <c r="DN28" i="34"/>
  <c r="DO28" i="34"/>
  <c r="DQ28" i="34"/>
  <c r="DR28" i="34"/>
  <c r="DS28" i="34"/>
  <c r="DT28" i="34"/>
  <c r="DV28" i="34"/>
  <c r="DW28" i="34" s="1"/>
  <c r="DY28" i="34"/>
  <c r="DZ28" i="34"/>
  <c r="EA28" i="34"/>
  <c r="EB28" i="34"/>
  <c r="ED28" i="34"/>
  <c r="EE28" i="34"/>
  <c r="EG28" i="34"/>
  <c r="EH28" i="34"/>
  <c r="EI28" i="34"/>
  <c r="EK28" i="34"/>
  <c r="EL28" i="34" s="1"/>
  <c r="EM28" i="34"/>
  <c r="EN28" i="34" s="1"/>
  <c r="EO28" i="34"/>
  <c r="EP28" i="34"/>
  <c r="EQ28" i="34"/>
  <c r="ES28" i="34"/>
  <c r="ET28" i="34"/>
  <c r="EV28" i="34"/>
  <c r="EW28" i="34"/>
  <c r="EX28" i="34"/>
  <c r="EY28" i="34"/>
  <c r="EZ28" i="34"/>
  <c r="FA28" i="34"/>
  <c r="FD28" i="34"/>
  <c r="FE28" i="34"/>
  <c r="FF28" i="34"/>
  <c r="FG28" i="34"/>
  <c r="FH28" i="34"/>
  <c r="FI28" i="34"/>
  <c r="FK28" i="34"/>
  <c r="FL28" i="34" s="1"/>
  <c r="FM28" i="34"/>
  <c r="FN28" i="34"/>
  <c r="FO28" i="34"/>
  <c r="FQ28" i="34"/>
  <c r="FR28" i="34" s="1"/>
  <c r="FT28" i="34"/>
  <c r="FU28" i="34" s="1"/>
  <c r="FV28" i="34"/>
  <c r="FW28" i="34"/>
  <c r="FY28" i="34"/>
  <c r="FZ28" i="34" s="1"/>
  <c r="GG28" i="34"/>
  <c r="GH28" i="34"/>
  <c r="IK28" i="34" s="1"/>
  <c r="IL28" i="34" s="1"/>
  <c r="IM28" i="34" s="1"/>
  <c r="GI28" i="34"/>
  <c r="GJ28" i="34"/>
  <c r="GK28" i="34"/>
  <c r="GN28" i="34"/>
  <c r="GO28" i="34"/>
  <c r="GP28" i="34"/>
  <c r="GQ28" i="34"/>
  <c r="GR28" i="34"/>
  <c r="GS28" i="34"/>
  <c r="GT28" i="34"/>
  <c r="GU28" i="34"/>
  <c r="GV28" i="34"/>
  <c r="GW28" i="34"/>
  <c r="GX28" i="34"/>
  <c r="GY28" i="34"/>
  <c r="GZ28" i="34"/>
  <c r="HA28" i="34"/>
  <c r="HB28" i="34"/>
  <c r="HC28" i="34"/>
  <c r="HD28" i="34"/>
  <c r="HE28" i="34"/>
  <c r="HF28" i="34"/>
  <c r="HG28" i="34"/>
  <c r="HH28" i="34"/>
  <c r="HI28" i="34"/>
  <c r="HJ28" i="34"/>
  <c r="HK28" i="34"/>
  <c r="HL28" i="34"/>
  <c r="HM28" i="34"/>
  <c r="HN28" i="34"/>
  <c r="HO28" i="34"/>
  <c r="HP28" i="34"/>
  <c r="HQ28" i="34"/>
  <c r="HR28" i="34"/>
  <c r="HS28" i="34"/>
  <c r="HT28" i="34"/>
  <c r="HU28" i="34"/>
  <c r="HV28" i="34"/>
  <c r="HW28" i="34"/>
  <c r="HX28" i="34"/>
  <c r="HY28" i="34"/>
  <c r="HZ28" i="34"/>
  <c r="IA28" i="34"/>
  <c r="IB28" i="34"/>
  <c r="IC28" i="34"/>
  <c r="ID28" i="34"/>
  <c r="IE28" i="34"/>
  <c r="IF28" i="34"/>
  <c r="IG28" i="34"/>
  <c r="IH28" i="34"/>
  <c r="BH27" i="34"/>
  <c r="BK27" i="34"/>
  <c r="BL27" i="34"/>
  <c r="BM27" i="34"/>
  <c r="BN27" i="34"/>
  <c r="BO27" i="34"/>
  <c r="BP27" i="34"/>
  <c r="BQ27" i="34"/>
  <c r="BR27" i="34"/>
  <c r="BS27" i="34"/>
  <c r="BT27" i="34"/>
  <c r="BU27" i="34"/>
  <c r="BV27" i="34"/>
  <c r="BW27" i="34"/>
  <c r="BX27" i="34"/>
  <c r="BY27" i="34"/>
  <c r="BZ27" i="34"/>
  <c r="CA27" i="34"/>
  <c r="CB27" i="34"/>
  <c r="CC27" i="34"/>
  <c r="CD27" i="34"/>
  <c r="CE27" i="34"/>
  <c r="CF27" i="34"/>
  <c r="CG27" i="34"/>
  <c r="CH27" i="34"/>
  <c r="CI27" i="34"/>
  <c r="CJ27" i="34"/>
  <c r="CK27" i="34"/>
  <c r="CL27" i="34"/>
  <c r="CM27" i="34"/>
  <c r="CN27" i="34"/>
  <c r="CO27" i="34"/>
  <c r="CP27" i="34"/>
  <c r="CQ27" i="34"/>
  <c r="CR27" i="34"/>
  <c r="CS27" i="34"/>
  <c r="CT27" i="34"/>
  <c r="CU27" i="34"/>
  <c r="CV27" i="34"/>
  <c r="CW27" i="34"/>
  <c r="CX27" i="34"/>
  <c r="CY27" i="34"/>
  <c r="CZ27" i="34"/>
  <c r="DA27" i="34"/>
  <c r="DB27" i="34"/>
  <c r="DC27" i="34"/>
  <c r="DD27" i="34"/>
  <c r="DE27" i="34"/>
  <c r="DF27" i="34"/>
  <c r="DG27" i="34"/>
  <c r="DH27" i="34"/>
  <c r="DI27" i="34"/>
  <c r="DJ27" i="34"/>
  <c r="DL27" i="34"/>
  <c r="DM27" i="34"/>
  <c r="DN27" i="34"/>
  <c r="DO27" i="34"/>
  <c r="DQ27" i="34"/>
  <c r="DR27" i="34"/>
  <c r="DS27" i="34"/>
  <c r="DT27" i="34"/>
  <c r="DV27" i="34"/>
  <c r="DW27" i="34" s="1"/>
  <c r="DY27" i="34"/>
  <c r="DZ27" i="34"/>
  <c r="EA27" i="34"/>
  <c r="EB27" i="34"/>
  <c r="ED27" i="34"/>
  <c r="EE27" i="34"/>
  <c r="EG27" i="34"/>
  <c r="EH27" i="34"/>
  <c r="EI27" i="34"/>
  <c r="EK27" i="34"/>
  <c r="EL27" i="34" s="1"/>
  <c r="EM27" i="34"/>
  <c r="EN27" i="34" s="1"/>
  <c r="EO27" i="34"/>
  <c r="EP27" i="34"/>
  <c r="EQ27" i="34"/>
  <c r="ES27" i="34"/>
  <c r="ET27" i="34"/>
  <c r="EV27" i="34"/>
  <c r="EW27" i="34"/>
  <c r="EX27" i="34"/>
  <c r="EY27" i="34"/>
  <c r="EZ27" i="34"/>
  <c r="FA27" i="34"/>
  <c r="FD27" i="34"/>
  <c r="FE27" i="34"/>
  <c r="FF27" i="34"/>
  <c r="FG27" i="34"/>
  <c r="FH27" i="34"/>
  <c r="FI27" i="34"/>
  <c r="FK27" i="34"/>
  <c r="FL27" i="34" s="1"/>
  <c r="FM27" i="34"/>
  <c r="FN27" i="34"/>
  <c r="FO27" i="34"/>
  <c r="FQ27" i="34"/>
  <c r="FR27" i="34" s="1"/>
  <c r="FT27" i="34"/>
  <c r="FU27" i="34" s="1"/>
  <c r="FV27" i="34"/>
  <c r="FW27" i="34"/>
  <c r="FY27" i="34"/>
  <c r="FZ27" i="34" s="1"/>
  <c r="GG27" i="34"/>
  <c r="GH27" i="34"/>
  <c r="IK27" i="34" s="1"/>
  <c r="GI27" i="34"/>
  <c r="GJ27" i="34"/>
  <c r="GK27" i="34"/>
  <c r="GN27" i="34"/>
  <c r="GO27" i="34"/>
  <c r="GP27" i="34"/>
  <c r="GQ27" i="34"/>
  <c r="GR27" i="34"/>
  <c r="GS27" i="34"/>
  <c r="GT27" i="34"/>
  <c r="GU27" i="34"/>
  <c r="GV27" i="34"/>
  <c r="GW27" i="34"/>
  <c r="GX27" i="34"/>
  <c r="GY27" i="34"/>
  <c r="GZ27" i="34"/>
  <c r="HA27" i="34"/>
  <c r="HB27" i="34"/>
  <c r="HC27" i="34"/>
  <c r="HD27" i="34"/>
  <c r="HE27" i="34"/>
  <c r="HF27" i="34"/>
  <c r="HG27" i="34"/>
  <c r="HH27" i="34"/>
  <c r="HI27" i="34"/>
  <c r="HJ27" i="34"/>
  <c r="HK27" i="34"/>
  <c r="HL27" i="34"/>
  <c r="HM27" i="34"/>
  <c r="HN27" i="34"/>
  <c r="HO27" i="34"/>
  <c r="HP27" i="34"/>
  <c r="HQ27" i="34"/>
  <c r="HR27" i="34"/>
  <c r="HS27" i="34"/>
  <c r="HT27" i="34"/>
  <c r="HU27" i="34"/>
  <c r="HV27" i="34"/>
  <c r="HW27" i="34"/>
  <c r="HX27" i="34"/>
  <c r="HY27" i="34"/>
  <c r="HZ27" i="34"/>
  <c r="IA27" i="34"/>
  <c r="IB27" i="34"/>
  <c r="IC27" i="34"/>
  <c r="ID27" i="34"/>
  <c r="IE27" i="34"/>
  <c r="IF27" i="34"/>
  <c r="IG27" i="34"/>
  <c r="BH26" i="34"/>
  <c r="GH26" i="34" s="1"/>
  <c r="IK26" i="34" s="1"/>
  <c r="IL26" i="34" s="1"/>
  <c r="IM26" i="34" s="1"/>
  <c r="BK26" i="34"/>
  <c r="BL26" i="34"/>
  <c r="BM26" i="34"/>
  <c r="BN26" i="34"/>
  <c r="BO26" i="34"/>
  <c r="BP26" i="34"/>
  <c r="BQ26" i="34"/>
  <c r="BR26" i="34"/>
  <c r="BS26" i="34"/>
  <c r="BT26" i="34"/>
  <c r="BU26" i="34"/>
  <c r="BV26" i="34"/>
  <c r="BW26" i="34"/>
  <c r="BX26" i="34"/>
  <c r="BY26" i="34"/>
  <c r="BZ26" i="34"/>
  <c r="CA26" i="34"/>
  <c r="CB26" i="34"/>
  <c r="CC26" i="34"/>
  <c r="CD26" i="34"/>
  <c r="CE26" i="34"/>
  <c r="CF26" i="34"/>
  <c r="CG26" i="34"/>
  <c r="CH26" i="34"/>
  <c r="CI26" i="34"/>
  <c r="CJ26" i="34"/>
  <c r="CK26" i="34"/>
  <c r="CL26" i="34"/>
  <c r="CM26" i="34"/>
  <c r="CN26" i="34"/>
  <c r="CO26" i="34"/>
  <c r="CP26" i="34"/>
  <c r="CQ26" i="34"/>
  <c r="CR26" i="34"/>
  <c r="CS26" i="34"/>
  <c r="CT26" i="34"/>
  <c r="CU26" i="34"/>
  <c r="CV26" i="34"/>
  <c r="CW26" i="34"/>
  <c r="CX26" i="34"/>
  <c r="CY26" i="34"/>
  <c r="CZ26" i="34"/>
  <c r="DA26" i="34"/>
  <c r="DB26" i="34"/>
  <c r="DC26" i="34"/>
  <c r="DD26" i="34"/>
  <c r="DE26" i="34"/>
  <c r="DF26" i="34"/>
  <c r="DG26" i="34"/>
  <c r="DH26" i="34"/>
  <c r="DI26" i="34"/>
  <c r="DJ26" i="34"/>
  <c r="DL26" i="34"/>
  <c r="DM26" i="34"/>
  <c r="DN26" i="34"/>
  <c r="DO26" i="34"/>
  <c r="DQ26" i="34"/>
  <c r="DR26" i="34"/>
  <c r="DS26" i="34"/>
  <c r="DT26" i="34"/>
  <c r="DV26" i="34"/>
  <c r="DW26" i="34" s="1"/>
  <c r="DY26" i="34"/>
  <c r="DZ26" i="34"/>
  <c r="EA26" i="34"/>
  <c r="EB26" i="34"/>
  <c r="ED26" i="34"/>
  <c r="EE26" i="34"/>
  <c r="EG26" i="34"/>
  <c r="EH26" i="34"/>
  <c r="EI26" i="34"/>
  <c r="EK26" i="34"/>
  <c r="EL26" i="34" s="1"/>
  <c r="EM26" i="34"/>
  <c r="EN26" i="34" s="1"/>
  <c r="EO26" i="34"/>
  <c r="EP26" i="34"/>
  <c r="EQ26" i="34"/>
  <c r="ES26" i="34"/>
  <c r="ET26" i="34"/>
  <c r="EV26" i="34"/>
  <c r="EW26" i="34"/>
  <c r="EX26" i="34"/>
  <c r="EY26" i="34"/>
  <c r="EZ26" i="34"/>
  <c r="FA26" i="34"/>
  <c r="FD26" i="34"/>
  <c r="FE26" i="34"/>
  <c r="FF26" i="34"/>
  <c r="FG26" i="34"/>
  <c r="FH26" i="34"/>
  <c r="FI26" i="34"/>
  <c r="FK26" i="34"/>
  <c r="FL26" i="34" s="1"/>
  <c r="FM26" i="34"/>
  <c r="FN26" i="34"/>
  <c r="FO26" i="34"/>
  <c r="FQ26" i="34"/>
  <c r="FR26" i="34" s="1"/>
  <c r="FT26" i="34"/>
  <c r="FU26" i="34" s="1"/>
  <c r="FV26" i="34"/>
  <c r="FW26" i="34"/>
  <c r="FY26" i="34"/>
  <c r="FZ26" i="34" s="1"/>
  <c r="GG26" i="34"/>
  <c r="GI26" i="34"/>
  <c r="GJ26" i="34"/>
  <c r="GK26" i="34"/>
  <c r="GN26" i="34"/>
  <c r="GO26" i="34"/>
  <c r="GP26" i="34"/>
  <c r="GQ26" i="34"/>
  <c r="GR26" i="34"/>
  <c r="GS26" i="34"/>
  <c r="GT26" i="34"/>
  <c r="GU26" i="34"/>
  <c r="GV26" i="34"/>
  <c r="GW26" i="34"/>
  <c r="GX26" i="34"/>
  <c r="GY26" i="34"/>
  <c r="GZ26" i="34"/>
  <c r="HA26" i="34"/>
  <c r="HB26" i="34"/>
  <c r="HC26" i="34"/>
  <c r="HD26" i="34"/>
  <c r="HE26" i="34"/>
  <c r="HF26" i="34"/>
  <c r="HG26" i="34"/>
  <c r="HH26" i="34"/>
  <c r="HI26" i="34"/>
  <c r="HJ26" i="34"/>
  <c r="HK26" i="34"/>
  <c r="HL26" i="34"/>
  <c r="HM26" i="34"/>
  <c r="HN26" i="34"/>
  <c r="HO26" i="34"/>
  <c r="HP26" i="34"/>
  <c r="HQ26" i="34"/>
  <c r="HR26" i="34"/>
  <c r="HS26" i="34"/>
  <c r="HT26" i="34"/>
  <c r="HU26" i="34"/>
  <c r="HV26" i="34"/>
  <c r="HW26" i="34"/>
  <c r="HX26" i="34"/>
  <c r="HY26" i="34"/>
  <c r="HZ26" i="34"/>
  <c r="IA26" i="34"/>
  <c r="IB26" i="34"/>
  <c r="IC26" i="34"/>
  <c r="ID26" i="34"/>
  <c r="IE26" i="34"/>
  <c r="IF26" i="34"/>
  <c r="IG26" i="34"/>
  <c r="IH26" i="34"/>
  <c r="BH25" i="34"/>
  <c r="GH25" i="34" s="1"/>
  <c r="IK25" i="34" s="1"/>
  <c r="BK25" i="34"/>
  <c r="BL25" i="34"/>
  <c r="BM25" i="34"/>
  <c r="BN25" i="34"/>
  <c r="BO25" i="34"/>
  <c r="BP25" i="34"/>
  <c r="BQ25" i="34"/>
  <c r="BR25" i="34"/>
  <c r="BS25" i="34"/>
  <c r="BT25" i="34"/>
  <c r="BU25" i="34"/>
  <c r="BV25" i="34"/>
  <c r="BW25" i="34"/>
  <c r="BX25" i="34"/>
  <c r="BY25" i="34"/>
  <c r="BZ25" i="34"/>
  <c r="CA25" i="34"/>
  <c r="CB25" i="34"/>
  <c r="CC25" i="34"/>
  <c r="CD25" i="34"/>
  <c r="CE25" i="34"/>
  <c r="CF25" i="34"/>
  <c r="CG25" i="34"/>
  <c r="CH25" i="34"/>
  <c r="CI25" i="34"/>
  <c r="CJ25" i="34"/>
  <c r="CK25" i="34"/>
  <c r="CL25" i="34"/>
  <c r="CM25" i="34"/>
  <c r="CN25" i="34"/>
  <c r="CO25" i="34"/>
  <c r="CP25" i="34"/>
  <c r="CQ25" i="34"/>
  <c r="CR25" i="34"/>
  <c r="CS25" i="34"/>
  <c r="CT25" i="34"/>
  <c r="CU25" i="34"/>
  <c r="CV25" i="34"/>
  <c r="CW25" i="34"/>
  <c r="CX25" i="34"/>
  <c r="CY25" i="34"/>
  <c r="CZ25" i="34"/>
  <c r="DA25" i="34"/>
  <c r="DB25" i="34"/>
  <c r="DC25" i="34"/>
  <c r="DD25" i="34"/>
  <c r="DE25" i="34"/>
  <c r="DF25" i="34"/>
  <c r="DG25" i="34"/>
  <c r="DH25" i="34"/>
  <c r="DI25" i="34"/>
  <c r="DJ25" i="34"/>
  <c r="DL25" i="34"/>
  <c r="DM25" i="34"/>
  <c r="DN25" i="34"/>
  <c r="DO25" i="34"/>
  <c r="DQ25" i="34"/>
  <c r="DR25" i="34"/>
  <c r="DS25" i="34"/>
  <c r="DT25" i="34"/>
  <c r="DV25" i="34"/>
  <c r="DW25" i="34" s="1"/>
  <c r="DY25" i="34"/>
  <c r="DZ25" i="34"/>
  <c r="EA25" i="34"/>
  <c r="EB25" i="34"/>
  <c r="ED25" i="34"/>
  <c r="EE25" i="34"/>
  <c r="EG25" i="34"/>
  <c r="EH25" i="34"/>
  <c r="EI25" i="34"/>
  <c r="EK25" i="34"/>
  <c r="EL25" i="34" s="1"/>
  <c r="EM25" i="34"/>
  <c r="EN25" i="34" s="1"/>
  <c r="EO25" i="34"/>
  <c r="EP25" i="34"/>
  <c r="EQ25" i="34"/>
  <c r="ES25" i="34"/>
  <c r="ET25" i="34"/>
  <c r="EV25" i="34"/>
  <c r="EW25" i="34"/>
  <c r="EX25" i="34"/>
  <c r="EY25" i="34"/>
  <c r="EZ25" i="34"/>
  <c r="FA25" i="34"/>
  <c r="FD25" i="34"/>
  <c r="FE25" i="34"/>
  <c r="FF25" i="34"/>
  <c r="FG25" i="34"/>
  <c r="FH25" i="34"/>
  <c r="FI25" i="34"/>
  <c r="FK25" i="34"/>
  <c r="FL25" i="34" s="1"/>
  <c r="FM25" i="34"/>
  <c r="FN25" i="34"/>
  <c r="FO25" i="34"/>
  <c r="FQ25" i="34"/>
  <c r="FR25" i="34" s="1"/>
  <c r="FT25" i="34"/>
  <c r="FU25" i="34" s="1"/>
  <c r="FV25" i="34"/>
  <c r="FW25" i="34"/>
  <c r="FY25" i="34"/>
  <c r="FZ25" i="34" s="1"/>
  <c r="GG25" i="34"/>
  <c r="GI25" i="34"/>
  <c r="GJ25" i="34"/>
  <c r="GK25" i="34"/>
  <c r="GN25" i="34"/>
  <c r="GO25" i="34"/>
  <c r="GP25" i="34"/>
  <c r="GQ25" i="34"/>
  <c r="GR25" i="34"/>
  <c r="GS25" i="34"/>
  <c r="GT25" i="34"/>
  <c r="GU25" i="34"/>
  <c r="GV25" i="34"/>
  <c r="GW25" i="34"/>
  <c r="GX25" i="34"/>
  <c r="GY25" i="34"/>
  <c r="GZ25" i="34"/>
  <c r="HA25" i="34"/>
  <c r="HB25" i="34"/>
  <c r="HC25" i="34"/>
  <c r="HD25" i="34"/>
  <c r="HE25" i="34"/>
  <c r="HF25" i="34"/>
  <c r="HG25" i="34"/>
  <c r="HH25" i="34"/>
  <c r="HI25" i="34"/>
  <c r="HJ25" i="34"/>
  <c r="HK25" i="34"/>
  <c r="HL25" i="34"/>
  <c r="HM25" i="34"/>
  <c r="HN25" i="34"/>
  <c r="HO25" i="34"/>
  <c r="HP25" i="34"/>
  <c r="HQ25" i="34"/>
  <c r="HR25" i="34"/>
  <c r="HS25" i="34"/>
  <c r="HT25" i="34"/>
  <c r="HU25" i="34"/>
  <c r="HV25" i="34"/>
  <c r="HW25" i="34"/>
  <c r="HX25" i="34"/>
  <c r="HY25" i="34"/>
  <c r="HZ25" i="34"/>
  <c r="IA25" i="34"/>
  <c r="IB25" i="34"/>
  <c r="IC25" i="34"/>
  <c r="ID25" i="34"/>
  <c r="IE25" i="34"/>
  <c r="IF25" i="34"/>
  <c r="IG25" i="34"/>
  <c r="IH25" i="34"/>
  <c r="T2" i="35"/>
  <c r="DX36" i="34" l="1"/>
  <c r="GB36" i="34" s="1"/>
  <c r="FS36" i="34"/>
  <c r="GD36" i="34" s="1"/>
  <c r="FC36" i="34"/>
  <c r="GC36" i="34" s="1"/>
  <c r="II36" i="34"/>
  <c r="GA36" i="34"/>
  <c r="GE36" i="34" s="1"/>
  <c r="EC33" i="34"/>
  <c r="ER34" i="34"/>
  <c r="FX35" i="34"/>
  <c r="FB35" i="34"/>
  <c r="EC35" i="34"/>
  <c r="FX31" i="34"/>
  <c r="FP34" i="34"/>
  <c r="FJ34" i="34"/>
  <c r="EU34" i="34"/>
  <c r="EJ34" i="34"/>
  <c r="DP34" i="34"/>
  <c r="FP35" i="34"/>
  <c r="ER35" i="34"/>
  <c r="EF35" i="34"/>
  <c r="DP35" i="34"/>
  <c r="FJ35" i="34"/>
  <c r="FS35" i="34" s="1"/>
  <c r="GD35" i="34" s="1"/>
  <c r="DU35" i="34"/>
  <c r="II35" i="34"/>
  <c r="II34" i="34"/>
  <c r="GA35" i="34"/>
  <c r="GE35" i="34" s="1"/>
  <c r="FJ32" i="34"/>
  <c r="DU33" i="34"/>
  <c r="FB34" i="34"/>
  <c r="ER33" i="34"/>
  <c r="EC34" i="34"/>
  <c r="DK34" i="34"/>
  <c r="EF33" i="34"/>
  <c r="DU34" i="34"/>
  <c r="GA34" i="34"/>
  <c r="GE34" i="34" s="1"/>
  <c r="FB32" i="34"/>
  <c r="FJ33" i="34"/>
  <c r="EJ33" i="34"/>
  <c r="FX30" i="34"/>
  <c r="FP32" i="34"/>
  <c r="FP33" i="34"/>
  <c r="DP33" i="34"/>
  <c r="EF30" i="34"/>
  <c r="EU33" i="34"/>
  <c r="DK33" i="34"/>
  <c r="FP31" i="34"/>
  <c r="EU32" i="34"/>
  <c r="EJ32" i="34"/>
  <c r="FX33" i="34"/>
  <c r="GA33" i="34" s="1"/>
  <c r="GE33" i="34" s="1"/>
  <c r="FB33" i="34"/>
  <c r="II33" i="34"/>
  <c r="DP30" i="34"/>
  <c r="DK31" i="34"/>
  <c r="ER32" i="34"/>
  <c r="DK32" i="34"/>
  <c r="FP30" i="34"/>
  <c r="EJ30" i="34"/>
  <c r="ER31" i="34"/>
  <c r="EC32" i="34"/>
  <c r="DP32" i="34"/>
  <c r="EF29" i="34"/>
  <c r="EU31" i="34"/>
  <c r="EJ31" i="34"/>
  <c r="EC31" i="34"/>
  <c r="FX32" i="34"/>
  <c r="GA32" i="34" s="1"/>
  <c r="GE32" i="34" s="1"/>
  <c r="EF32" i="34"/>
  <c r="DU32" i="34"/>
  <c r="II32" i="34"/>
  <c r="GA31" i="34"/>
  <c r="GE31" i="34" s="1"/>
  <c r="FB31" i="34"/>
  <c r="EF31" i="34"/>
  <c r="FJ28" i="34"/>
  <c r="EJ29" i="34"/>
  <c r="ER30" i="34"/>
  <c r="DU31" i="34"/>
  <c r="EC29" i="34"/>
  <c r="FJ31" i="34"/>
  <c r="DP31" i="34"/>
  <c r="II31" i="34"/>
  <c r="FX28" i="34"/>
  <c r="GA28" i="34" s="1"/>
  <c r="GE28" i="34" s="1"/>
  <c r="FX29" i="34"/>
  <c r="GA29" i="34" s="1"/>
  <c r="GE29" i="34" s="1"/>
  <c r="EC30" i="34"/>
  <c r="DK30" i="34"/>
  <c r="FB30" i="34"/>
  <c r="FJ30" i="34"/>
  <c r="DU29" i="34"/>
  <c r="DU30" i="34"/>
  <c r="II30" i="34"/>
  <c r="GA30" i="34"/>
  <c r="GE30" i="34" s="1"/>
  <c r="FX26" i="34"/>
  <c r="GA26" i="34" s="1"/>
  <c r="GE26" i="34" s="1"/>
  <c r="EU26" i="34"/>
  <c r="EU27" i="34"/>
  <c r="EC27" i="34"/>
  <c r="EU28" i="34"/>
  <c r="EJ28" i="34"/>
  <c r="FB29" i="34"/>
  <c r="DK29" i="34"/>
  <c r="ER29" i="34"/>
  <c r="DP29" i="34"/>
  <c r="FB28" i="34"/>
  <c r="FP29" i="34"/>
  <c r="FJ29" i="34"/>
  <c r="EU29" i="34"/>
  <c r="II29" i="34"/>
  <c r="FP26" i="34"/>
  <c r="FP28" i="34"/>
  <c r="ER28" i="34"/>
  <c r="DK28" i="34"/>
  <c r="DK27" i="34"/>
  <c r="EC28" i="34"/>
  <c r="DP28" i="34"/>
  <c r="ER26" i="34"/>
  <c r="EF26" i="34"/>
  <c r="EF28" i="34"/>
  <c r="DU28" i="34"/>
  <c r="II28" i="34"/>
  <c r="EC25" i="34"/>
  <c r="EJ26" i="34"/>
  <c r="DU26" i="34"/>
  <c r="DP26" i="34"/>
  <c r="FB27" i="34"/>
  <c r="ER27" i="34"/>
  <c r="EF27" i="34"/>
  <c r="DP27" i="34"/>
  <c r="FX27" i="34"/>
  <c r="FP27" i="34"/>
  <c r="EJ27" i="34"/>
  <c r="DU27" i="34"/>
  <c r="GA27" i="34"/>
  <c r="GE27" i="34" s="1"/>
  <c r="FJ27" i="34"/>
  <c r="FS27" i="34" s="1"/>
  <c r="GD27" i="34" s="1"/>
  <c r="II27" i="34"/>
  <c r="ER25" i="34"/>
  <c r="FB26" i="34"/>
  <c r="DK26" i="34"/>
  <c r="II26" i="34"/>
  <c r="FX25" i="34"/>
  <c r="GA25" i="34" s="1"/>
  <c r="GE25" i="34" s="1"/>
  <c r="FJ25" i="34"/>
  <c r="DU25" i="34"/>
  <c r="EC26" i="34"/>
  <c r="FJ26" i="34"/>
  <c r="EU25" i="34"/>
  <c r="EJ25" i="34"/>
  <c r="DK25" i="34"/>
  <c r="FB25" i="34"/>
  <c r="FP25" i="34"/>
  <c r="DP25" i="34"/>
  <c r="EF25" i="34"/>
  <c r="II25" i="34"/>
  <c r="BH24" i="34"/>
  <c r="GH24" i="34" s="1"/>
  <c r="IK24" i="34" s="1"/>
  <c r="BK24" i="34"/>
  <c r="BL24" i="34"/>
  <c r="BM24" i="34"/>
  <c r="BN24" i="34"/>
  <c r="BO24" i="34"/>
  <c r="BP24" i="34"/>
  <c r="BQ24" i="34"/>
  <c r="BR24" i="34"/>
  <c r="BS24" i="34"/>
  <c r="BT24" i="34"/>
  <c r="BU24" i="34"/>
  <c r="BV24" i="34"/>
  <c r="BW24" i="34"/>
  <c r="BX24" i="34"/>
  <c r="BY24" i="34"/>
  <c r="BZ24" i="34"/>
  <c r="CA24" i="34"/>
  <c r="CB24" i="34"/>
  <c r="CC24" i="34"/>
  <c r="CD24" i="34"/>
  <c r="CE24" i="34"/>
  <c r="CF24" i="34"/>
  <c r="CG24" i="34"/>
  <c r="CH24" i="34"/>
  <c r="CI24" i="34"/>
  <c r="CJ24" i="34"/>
  <c r="CK24" i="34"/>
  <c r="CL24" i="34"/>
  <c r="CM24" i="34"/>
  <c r="CN24" i="34"/>
  <c r="CO24" i="34"/>
  <c r="CP24" i="34"/>
  <c r="CQ24" i="34"/>
  <c r="CR24" i="34"/>
  <c r="CS24" i="34"/>
  <c r="CT24" i="34"/>
  <c r="CU24" i="34"/>
  <c r="CV24" i="34"/>
  <c r="CW24" i="34"/>
  <c r="CX24" i="34"/>
  <c r="CY24" i="34"/>
  <c r="CZ24" i="34"/>
  <c r="DA24" i="34"/>
  <c r="DB24" i="34"/>
  <c r="DC24" i="34"/>
  <c r="DD24" i="34"/>
  <c r="DE24" i="34"/>
  <c r="DF24" i="34"/>
  <c r="DG24" i="34"/>
  <c r="DH24" i="34"/>
  <c r="DI24" i="34"/>
  <c r="DJ24" i="34"/>
  <c r="DL24" i="34"/>
  <c r="DM24" i="34"/>
  <c r="DN24" i="34"/>
  <c r="DO24" i="34"/>
  <c r="DQ24" i="34"/>
  <c r="DR24" i="34"/>
  <c r="DS24" i="34"/>
  <c r="DT24" i="34"/>
  <c r="DV24" i="34"/>
  <c r="DW24" i="34" s="1"/>
  <c r="DY24" i="34"/>
  <c r="DZ24" i="34"/>
  <c r="EA24" i="34"/>
  <c r="EB24" i="34"/>
  <c r="ED24" i="34"/>
  <c r="EE24" i="34"/>
  <c r="EG24" i="34"/>
  <c r="EH24" i="34"/>
  <c r="EI24" i="34"/>
  <c r="EK24" i="34"/>
  <c r="EL24" i="34" s="1"/>
  <c r="EM24" i="34"/>
  <c r="EN24" i="34" s="1"/>
  <c r="EO24" i="34"/>
  <c r="EP24" i="34"/>
  <c r="EQ24" i="34"/>
  <c r="ES24" i="34"/>
  <c r="ET24" i="34"/>
  <c r="EV24" i="34"/>
  <c r="EW24" i="34"/>
  <c r="EX24" i="34"/>
  <c r="EY24" i="34"/>
  <c r="EZ24" i="34"/>
  <c r="FA24" i="34"/>
  <c r="FD24" i="34"/>
  <c r="FE24" i="34"/>
  <c r="FF24" i="34"/>
  <c r="FG24" i="34"/>
  <c r="FH24" i="34"/>
  <c r="FI24" i="34"/>
  <c r="FK24" i="34"/>
  <c r="FL24" i="34" s="1"/>
  <c r="FM24" i="34"/>
  <c r="FN24" i="34"/>
  <c r="FO24" i="34"/>
  <c r="FQ24" i="34"/>
  <c r="FR24" i="34" s="1"/>
  <c r="FT24" i="34"/>
  <c r="FU24" i="34" s="1"/>
  <c r="FV24" i="34"/>
  <c r="FW24" i="34"/>
  <c r="FY24" i="34"/>
  <c r="FZ24" i="34" s="1"/>
  <c r="GG24" i="34"/>
  <c r="GI24" i="34"/>
  <c r="GJ24" i="34"/>
  <c r="GK24" i="34"/>
  <c r="GN24" i="34"/>
  <c r="GO24" i="34"/>
  <c r="GP24" i="34"/>
  <c r="GQ24" i="34"/>
  <c r="GR24" i="34"/>
  <c r="GS24" i="34"/>
  <c r="GT24" i="34"/>
  <c r="GU24" i="34"/>
  <c r="GV24" i="34"/>
  <c r="GW24" i="34"/>
  <c r="GX24" i="34"/>
  <c r="GY24" i="34"/>
  <c r="GZ24" i="34"/>
  <c r="HA24" i="34"/>
  <c r="HB24" i="34"/>
  <c r="HC24" i="34"/>
  <c r="HD24" i="34"/>
  <c r="HE24" i="34"/>
  <c r="HF24" i="34"/>
  <c r="HG24" i="34"/>
  <c r="HH24" i="34"/>
  <c r="HI24" i="34"/>
  <c r="HJ24" i="34"/>
  <c r="HK24" i="34"/>
  <c r="HL24" i="34"/>
  <c r="HM24" i="34"/>
  <c r="HN24" i="34"/>
  <c r="HO24" i="34"/>
  <c r="HP24" i="34"/>
  <c r="HQ24" i="34"/>
  <c r="HR24" i="34"/>
  <c r="HS24" i="34"/>
  <c r="HT24" i="34"/>
  <c r="HU24" i="34"/>
  <c r="HV24" i="34"/>
  <c r="HW24" i="34"/>
  <c r="HX24" i="34"/>
  <c r="HY24" i="34"/>
  <c r="HZ24" i="34"/>
  <c r="IA24" i="34"/>
  <c r="IB24" i="34"/>
  <c r="IC24" i="34"/>
  <c r="ID24" i="34"/>
  <c r="IE24" i="34"/>
  <c r="IF24" i="34"/>
  <c r="IG24" i="34"/>
  <c r="IH24" i="34"/>
  <c r="BH23" i="34"/>
  <c r="GH23" i="34" s="1"/>
  <c r="IK23" i="34" s="1"/>
  <c r="BK23" i="34"/>
  <c r="BL23" i="34"/>
  <c r="BM23" i="34"/>
  <c r="BN23" i="34"/>
  <c r="BO23" i="34"/>
  <c r="BP23" i="34"/>
  <c r="BQ23" i="34"/>
  <c r="BR23" i="34"/>
  <c r="BS23" i="34"/>
  <c r="BT23" i="34"/>
  <c r="BU23" i="34"/>
  <c r="BV23" i="34"/>
  <c r="BW23" i="34"/>
  <c r="BX23" i="34"/>
  <c r="BY23" i="34"/>
  <c r="BZ23" i="34"/>
  <c r="CA23" i="34"/>
  <c r="CB23" i="34"/>
  <c r="CC23" i="34"/>
  <c r="CD23" i="34"/>
  <c r="CE23" i="34"/>
  <c r="CF23" i="34"/>
  <c r="CG23" i="34"/>
  <c r="CH23" i="34"/>
  <c r="CI23" i="34"/>
  <c r="CJ23" i="34"/>
  <c r="CK23" i="34"/>
  <c r="CL23" i="34"/>
  <c r="CM23" i="34"/>
  <c r="CN23" i="34"/>
  <c r="CO23" i="34"/>
  <c r="CP23" i="34"/>
  <c r="CQ23" i="34"/>
  <c r="CR23" i="34"/>
  <c r="CS23" i="34"/>
  <c r="CT23" i="34"/>
  <c r="CU23" i="34"/>
  <c r="CV23" i="34"/>
  <c r="CW23" i="34"/>
  <c r="CX23" i="34"/>
  <c r="CY23" i="34"/>
  <c r="CZ23" i="34"/>
  <c r="DA23" i="34"/>
  <c r="DB23" i="34"/>
  <c r="DC23" i="34"/>
  <c r="DD23" i="34"/>
  <c r="DE23" i="34"/>
  <c r="DF23" i="34"/>
  <c r="DG23" i="34"/>
  <c r="DH23" i="34"/>
  <c r="DI23" i="34"/>
  <c r="DJ23" i="34"/>
  <c r="DL23" i="34"/>
  <c r="DM23" i="34"/>
  <c r="DN23" i="34"/>
  <c r="DO23" i="34"/>
  <c r="DQ23" i="34"/>
  <c r="DR23" i="34"/>
  <c r="DS23" i="34"/>
  <c r="DT23" i="34"/>
  <c r="DV23" i="34"/>
  <c r="DW23" i="34" s="1"/>
  <c r="DY23" i="34"/>
  <c r="DZ23" i="34"/>
  <c r="EA23" i="34"/>
  <c r="EB23" i="34"/>
  <c r="ED23" i="34"/>
  <c r="EE23" i="34"/>
  <c r="EG23" i="34"/>
  <c r="EH23" i="34"/>
  <c r="EI23" i="34"/>
  <c r="EK23" i="34"/>
  <c r="EL23" i="34" s="1"/>
  <c r="EM23" i="34"/>
  <c r="EN23" i="34" s="1"/>
  <c r="EO23" i="34"/>
  <c r="EP23" i="34"/>
  <c r="EQ23" i="34"/>
  <c r="ES23" i="34"/>
  <c r="ET23" i="34"/>
  <c r="EV23" i="34"/>
  <c r="EW23" i="34"/>
  <c r="EX23" i="34"/>
  <c r="EY23" i="34"/>
  <c r="EZ23" i="34"/>
  <c r="FA23" i="34"/>
  <c r="FD23" i="34"/>
  <c r="FE23" i="34"/>
  <c r="FF23" i="34"/>
  <c r="FG23" i="34"/>
  <c r="FH23" i="34"/>
  <c r="FI23" i="34"/>
  <c r="FK23" i="34"/>
  <c r="FL23" i="34" s="1"/>
  <c r="FM23" i="34"/>
  <c r="FN23" i="34"/>
  <c r="FO23" i="34"/>
  <c r="FQ23" i="34"/>
  <c r="FR23" i="34" s="1"/>
  <c r="FT23" i="34"/>
  <c r="FU23" i="34" s="1"/>
  <c r="FV23" i="34"/>
  <c r="FW23" i="34"/>
  <c r="FY23" i="34"/>
  <c r="FZ23" i="34" s="1"/>
  <c r="GG23" i="34"/>
  <c r="GI23" i="34"/>
  <c r="GJ23" i="34"/>
  <c r="GK23" i="34"/>
  <c r="GN23" i="34"/>
  <c r="GO23" i="34"/>
  <c r="GP23" i="34"/>
  <c r="GQ23" i="34"/>
  <c r="GR23" i="34"/>
  <c r="GS23" i="34"/>
  <c r="GT23" i="34"/>
  <c r="GU23" i="34"/>
  <c r="GV23" i="34"/>
  <c r="GW23" i="34"/>
  <c r="GX23" i="34"/>
  <c r="GY23" i="34"/>
  <c r="GZ23" i="34"/>
  <c r="HA23" i="34"/>
  <c r="HB23" i="34"/>
  <c r="HC23" i="34"/>
  <c r="HD23" i="34"/>
  <c r="HE23" i="34"/>
  <c r="HF23" i="34"/>
  <c r="HG23" i="34"/>
  <c r="HH23" i="34"/>
  <c r="HI23" i="34"/>
  <c r="HJ23" i="34"/>
  <c r="HK23" i="34"/>
  <c r="HL23" i="34"/>
  <c r="HM23" i="34"/>
  <c r="HN23" i="34"/>
  <c r="HO23" i="34"/>
  <c r="HP23" i="34"/>
  <c r="HQ23" i="34"/>
  <c r="HR23" i="34"/>
  <c r="HS23" i="34"/>
  <c r="HT23" i="34"/>
  <c r="HU23" i="34"/>
  <c r="HV23" i="34"/>
  <c r="HW23" i="34"/>
  <c r="HX23" i="34"/>
  <c r="HY23" i="34"/>
  <c r="HZ23" i="34"/>
  <c r="IA23" i="34"/>
  <c r="IB23" i="34"/>
  <c r="IC23" i="34"/>
  <c r="ID23" i="34"/>
  <c r="IE23" i="34"/>
  <c r="IF23" i="34"/>
  <c r="IG23" i="34"/>
  <c r="IH23" i="34"/>
  <c r="FT4" i="34"/>
  <c r="M11" i="29"/>
  <c r="BH22" i="34"/>
  <c r="GH22" i="34" s="1"/>
  <c r="IK22" i="34" s="1"/>
  <c r="BK22" i="34"/>
  <c r="BL22" i="34"/>
  <c r="BM22" i="34"/>
  <c r="BN22" i="34"/>
  <c r="BO22" i="34"/>
  <c r="BP22" i="34"/>
  <c r="BQ22" i="34"/>
  <c r="BR22" i="34"/>
  <c r="BS22" i="34"/>
  <c r="BT22" i="34"/>
  <c r="BU22" i="34"/>
  <c r="BV22" i="34"/>
  <c r="BW22" i="34"/>
  <c r="BX22" i="34"/>
  <c r="BY22" i="34"/>
  <c r="BZ22" i="34"/>
  <c r="CA22" i="34"/>
  <c r="CB22" i="34"/>
  <c r="CC22" i="34"/>
  <c r="CD22" i="34"/>
  <c r="CE22" i="34"/>
  <c r="CF22" i="34"/>
  <c r="CG22" i="34"/>
  <c r="CH22" i="34"/>
  <c r="CI22" i="34"/>
  <c r="CJ22" i="34"/>
  <c r="CK22" i="34"/>
  <c r="CL22" i="34"/>
  <c r="CM22" i="34"/>
  <c r="CN22" i="34"/>
  <c r="CO22" i="34"/>
  <c r="CP22" i="34"/>
  <c r="CQ22" i="34"/>
  <c r="CR22" i="34"/>
  <c r="CS22" i="34"/>
  <c r="CT22" i="34"/>
  <c r="CU22" i="34"/>
  <c r="CV22" i="34"/>
  <c r="CW22" i="34"/>
  <c r="CX22" i="34"/>
  <c r="CY22" i="34"/>
  <c r="CZ22" i="34"/>
  <c r="DA22" i="34"/>
  <c r="DB22" i="34"/>
  <c r="DC22" i="34"/>
  <c r="DD22" i="34"/>
  <c r="DE22" i="34"/>
  <c r="DF22" i="34"/>
  <c r="DG22" i="34"/>
  <c r="DH22" i="34"/>
  <c r="DI22" i="34"/>
  <c r="DJ22" i="34"/>
  <c r="DL22" i="34"/>
  <c r="DM22" i="34"/>
  <c r="DN22" i="34"/>
  <c r="DO22" i="34"/>
  <c r="DQ22" i="34"/>
  <c r="DR22" i="34"/>
  <c r="DS22" i="34"/>
  <c r="DT22" i="34"/>
  <c r="DV22" i="34"/>
  <c r="DW22" i="34" s="1"/>
  <c r="DY22" i="34"/>
  <c r="DZ22" i="34"/>
  <c r="EA22" i="34"/>
  <c r="EB22" i="34"/>
  <c r="ED22" i="34"/>
  <c r="EE22" i="34"/>
  <c r="EG22" i="34"/>
  <c r="EH22" i="34"/>
  <c r="EI22" i="34"/>
  <c r="EK22" i="34"/>
  <c r="EL22" i="34" s="1"/>
  <c r="EM22" i="34"/>
  <c r="EN22" i="34" s="1"/>
  <c r="EO22" i="34"/>
  <c r="EP22" i="34"/>
  <c r="EQ22" i="34"/>
  <c r="ES22" i="34"/>
  <c r="ET22" i="34"/>
  <c r="EV22" i="34"/>
  <c r="EW22" i="34"/>
  <c r="EX22" i="34"/>
  <c r="EY22" i="34"/>
  <c r="EZ22" i="34"/>
  <c r="FA22" i="34"/>
  <c r="FD22" i="34"/>
  <c r="FE22" i="34"/>
  <c r="FF22" i="34"/>
  <c r="FG22" i="34"/>
  <c r="FH22" i="34"/>
  <c r="FI22" i="34"/>
  <c r="FK22" i="34"/>
  <c r="FL22" i="34" s="1"/>
  <c r="FM22" i="34"/>
  <c r="FN22" i="34"/>
  <c r="FO22" i="34"/>
  <c r="FQ22" i="34"/>
  <c r="FR22" i="34" s="1"/>
  <c r="FT22" i="34"/>
  <c r="FU22" i="34" s="1"/>
  <c r="FV22" i="34"/>
  <c r="FW22" i="34"/>
  <c r="FY22" i="34"/>
  <c r="FZ22" i="34" s="1"/>
  <c r="GG22" i="34"/>
  <c r="GI22" i="34"/>
  <c r="GJ22" i="34"/>
  <c r="GK22" i="34"/>
  <c r="GN22" i="34"/>
  <c r="GO22" i="34"/>
  <c r="GP22" i="34"/>
  <c r="GQ22" i="34"/>
  <c r="GR22" i="34"/>
  <c r="GS22" i="34"/>
  <c r="GT22" i="34"/>
  <c r="GU22" i="34"/>
  <c r="GV22" i="34"/>
  <c r="GW22" i="34"/>
  <c r="GX22" i="34"/>
  <c r="GY22" i="34"/>
  <c r="GZ22" i="34"/>
  <c r="HA22" i="34"/>
  <c r="HB22" i="34"/>
  <c r="HC22" i="34"/>
  <c r="HD22" i="34"/>
  <c r="HE22" i="34"/>
  <c r="HF22" i="34"/>
  <c r="HG22" i="34"/>
  <c r="HH22" i="34"/>
  <c r="HI22" i="34"/>
  <c r="HJ22" i="34"/>
  <c r="HK22" i="34"/>
  <c r="HL22" i="34"/>
  <c r="HM22" i="34"/>
  <c r="HN22" i="34"/>
  <c r="HO22" i="34"/>
  <c r="HP22" i="34"/>
  <c r="HQ22" i="34"/>
  <c r="HR22" i="34"/>
  <c r="HS22" i="34"/>
  <c r="HT22" i="34"/>
  <c r="HU22" i="34"/>
  <c r="HV22" i="34"/>
  <c r="HW22" i="34"/>
  <c r="HX22" i="34"/>
  <c r="HY22" i="34"/>
  <c r="HZ22" i="34"/>
  <c r="IA22" i="34"/>
  <c r="IB22" i="34"/>
  <c r="IC22" i="34"/>
  <c r="ID22" i="34"/>
  <c r="IE22" i="34"/>
  <c r="IF22" i="34"/>
  <c r="IG22" i="34"/>
  <c r="IH22" i="34"/>
  <c r="BH21" i="34"/>
  <c r="BK21" i="34"/>
  <c r="BL21" i="34"/>
  <c r="BM21" i="34"/>
  <c r="BN21" i="34"/>
  <c r="BO21" i="34"/>
  <c r="BP21" i="34"/>
  <c r="BQ21" i="34"/>
  <c r="BR21" i="34"/>
  <c r="BS21" i="34"/>
  <c r="BT21" i="34"/>
  <c r="BU21" i="34"/>
  <c r="BV21" i="34"/>
  <c r="BW21" i="34"/>
  <c r="BX21" i="34"/>
  <c r="BY21" i="34"/>
  <c r="BZ21" i="34"/>
  <c r="CA21" i="34"/>
  <c r="CB21" i="34"/>
  <c r="CC21" i="34"/>
  <c r="CD21" i="34"/>
  <c r="CE21" i="34"/>
  <c r="CF21" i="34"/>
  <c r="CG21" i="34"/>
  <c r="CH21" i="34"/>
  <c r="CI21" i="34"/>
  <c r="CJ21" i="34"/>
  <c r="CK21" i="34"/>
  <c r="CL21" i="34"/>
  <c r="CM21" i="34"/>
  <c r="CN21" i="34"/>
  <c r="CO21" i="34"/>
  <c r="CP21" i="34"/>
  <c r="CQ21" i="34"/>
  <c r="CR21" i="34"/>
  <c r="CS21" i="34"/>
  <c r="CT21" i="34"/>
  <c r="CU21" i="34"/>
  <c r="CV21" i="34"/>
  <c r="CW21" i="34"/>
  <c r="CX21" i="34"/>
  <c r="CY21" i="34"/>
  <c r="CZ21" i="34"/>
  <c r="DA21" i="34"/>
  <c r="DB21" i="34"/>
  <c r="DC21" i="34"/>
  <c r="DD21" i="34"/>
  <c r="DE21" i="34"/>
  <c r="DF21" i="34"/>
  <c r="DG21" i="34"/>
  <c r="DH21" i="34"/>
  <c r="DI21" i="34"/>
  <c r="DJ21" i="34"/>
  <c r="DL21" i="34"/>
  <c r="DM21" i="34"/>
  <c r="DN21" i="34"/>
  <c r="DO21" i="34"/>
  <c r="DQ21" i="34"/>
  <c r="DR21" i="34"/>
  <c r="DS21" i="34"/>
  <c r="DT21" i="34"/>
  <c r="DV21" i="34"/>
  <c r="DW21" i="34" s="1"/>
  <c r="DY21" i="34"/>
  <c r="DZ21" i="34"/>
  <c r="EA21" i="34"/>
  <c r="EB21" i="34"/>
  <c r="ED21" i="34"/>
  <c r="EE21" i="34"/>
  <c r="EG21" i="34"/>
  <c r="EH21" i="34"/>
  <c r="EI21" i="34"/>
  <c r="EK21" i="34"/>
  <c r="EL21" i="34" s="1"/>
  <c r="EM21" i="34"/>
  <c r="EN21" i="34" s="1"/>
  <c r="EO21" i="34"/>
  <c r="EP21" i="34"/>
  <c r="EQ21" i="34"/>
  <c r="ES21" i="34"/>
  <c r="ET21" i="34"/>
  <c r="EV21" i="34"/>
  <c r="EW21" i="34"/>
  <c r="EX21" i="34"/>
  <c r="EY21" i="34"/>
  <c r="EZ21" i="34"/>
  <c r="FA21" i="34"/>
  <c r="FD21" i="34"/>
  <c r="FE21" i="34"/>
  <c r="FF21" i="34"/>
  <c r="FG21" i="34"/>
  <c r="FH21" i="34"/>
  <c r="FI21" i="34"/>
  <c r="FK21" i="34"/>
  <c r="FL21" i="34" s="1"/>
  <c r="FM21" i="34"/>
  <c r="FN21" i="34"/>
  <c r="FO21" i="34"/>
  <c r="FQ21" i="34"/>
  <c r="FR21" i="34" s="1"/>
  <c r="FT21" i="34"/>
  <c r="FU21" i="34" s="1"/>
  <c r="FV21" i="34"/>
  <c r="FW21" i="34"/>
  <c r="FY21" i="34"/>
  <c r="FZ21" i="34" s="1"/>
  <c r="GG21" i="34"/>
  <c r="GH21" i="34"/>
  <c r="IK21" i="34" s="1"/>
  <c r="GI21" i="34"/>
  <c r="GJ21" i="34"/>
  <c r="GK21" i="34"/>
  <c r="GN21" i="34"/>
  <c r="GO21" i="34"/>
  <c r="GP21" i="34"/>
  <c r="GQ21" i="34"/>
  <c r="GR21" i="34"/>
  <c r="GS21" i="34"/>
  <c r="GT21" i="34"/>
  <c r="GU21" i="34"/>
  <c r="GV21" i="34"/>
  <c r="GW21" i="34"/>
  <c r="GX21" i="34"/>
  <c r="GY21" i="34"/>
  <c r="GZ21" i="34"/>
  <c r="HA21" i="34"/>
  <c r="HB21" i="34"/>
  <c r="HC21" i="34"/>
  <c r="HD21" i="34"/>
  <c r="HE21" i="34"/>
  <c r="HF21" i="34"/>
  <c r="HG21" i="34"/>
  <c r="HH21" i="34"/>
  <c r="HI21" i="34"/>
  <c r="HJ21" i="34"/>
  <c r="HK21" i="34"/>
  <c r="HL21" i="34"/>
  <c r="HM21" i="34"/>
  <c r="HN21" i="34"/>
  <c r="HO21" i="34"/>
  <c r="HP21" i="34"/>
  <c r="HQ21" i="34"/>
  <c r="HR21" i="34"/>
  <c r="HS21" i="34"/>
  <c r="HT21" i="34"/>
  <c r="HU21" i="34"/>
  <c r="HV21" i="34"/>
  <c r="HW21" i="34"/>
  <c r="HX21" i="34"/>
  <c r="HY21" i="34"/>
  <c r="HZ21" i="34"/>
  <c r="IA21" i="34"/>
  <c r="IB21" i="34"/>
  <c r="IC21" i="34"/>
  <c r="ID21" i="34"/>
  <c r="IE21" i="34"/>
  <c r="IF21" i="34"/>
  <c r="IG21" i="34"/>
  <c r="IH21" i="34"/>
  <c r="BH20" i="34"/>
  <c r="GH20" i="34" s="1"/>
  <c r="IK20" i="34" s="1"/>
  <c r="BK20" i="34"/>
  <c r="BL20" i="34"/>
  <c r="BM20" i="34"/>
  <c r="BN20" i="34"/>
  <c r="BO20" i="34"/>
  <c r="BP20" i="34"/>
  <c r="BQ20" i="34"/>
  <c r="BR20" i="34"/>
  <c r="BS20" i="34"/>
  <c r="BT20" i="34"/>
  <c r="BU20" i="34"/>
  <c r="BV20" i="34"/>
  <c r="BW20" i="34"/>
  <c r="BX20" i="34"/>
  <c r="BY20" i="34"/>
  <c r="BZ20" i="34"/>
  <c r="CA20" i="34"/>
  <c r="CB20" i="34"/>
  <c r="CC20" i="34"/>
  <c r="CD20" i="34"/>
  <c r="CE20" i="34"/>
  <c r="CF20" i="34"/>
  <c r="CG20" i="34"/>
  <c r="CH20" i="34"/>
  <c r="CI20" i="34"/>
  <c r="CJ20" i="34"/>
  <c r="CK20" i="34"/>
  <c r="CL20" i="34"/>
  <c r="CM20" i="34"/>
  <c r="CN20" i="34"/>
  <c r="CO20" i="34"/>
  <c r="CP20" i="34"/>
  <c r="CQ20" i="34"/>
  <c r="CR20" i="34"/>
  <c r="CS20" i="34"/>
  <c r="CT20" i="34"/>
  <c r="CU20" i="34"/>
  <c r="CV20" i="34"/>
  <c r="CW20" i="34"/>
  <c r="CX20" i="34"/>
  <c r="CY20" i="34"/>
  <c r="CZ20" i="34"/>
  <c r="DA20" i="34"/>
  <c r="DB20" i="34"/>
  <c r="DC20" i="34"/>
  <c r="DD20" i="34"/>
  <c r="DE20" i="34"/>
  <c r="DF20" i="34"/>
  <c r="DG20" i="34"/>
  <c r="DH20" i="34"/>
  <c r="DI20" i="34"/>
  <c r="DJ20" i="34"/>
  <c r="DL20" i="34"/>
  <c r="DM20" i="34"/>
  <c r="DN20" i="34"/>
  <c r="DO20" i="34"/>
  <c r="DQ20" i="34"/>
  <c r="DR20" i="34"/>
  <c r="DS20" i="34"/>
  <c r="DT20" i="34"/>
  <c r="DV20" i="34"/>
  <c r="DW20" i="34" s="1"/>
  <c r="DY20" i="34"/>
  <c r="DZ20" i="34"/>
  <c r="EA20" i="34"/>
  <c r="EB20" i="34"/>
  <c r="ED20" i="34"/>
  <c r="EE20" i="34"/>
  <c r="EG20" i="34"/>
  <c r="EH20" i="34"/>
  <c r="EI20" i="34"/>
  <c r="EK20" i="34"/>
  <c r="EL20" i="34" s="1"/>
  <c r="EM20" i="34"/>
  <c r="EN20" i="34" s="1"/>
  <c r="EO20" i="34"/>
  <c r="EP20" i="34"/>
  <c r="EQ20" i="34"/>
  <c r="ES20" i="34"/>
  <c r="ET20" i="34"/>
  <c r="EV20" i="34"/>
  <c r="EW20" i="34"/>
  <c r="EX20" i="34"/>
  <c r="EY20" i="34"/>
  <c r="EZ20" i="34"/>
  <c r="FA20" i="34"/>
  <c r="FD20" i="34"/>
  <c r="FE20" i="34"/>
  <c r="FF20" i="34"/>
  <c r="FG20" i="34"/>
  <c r="FH20" i="34"/>
  <c r="FI20" i="34"/>
  <c r="FK20" i="34"/>
  <c r="FL20" i="34" s="1"/>
  <c r="FM20" i="34"/>
  <c r="FN20" i="34"/>
  <c r="FO20" i="34"/>
  <c r="FQ20" i="34"/>
  <c r="FR20" i="34" s="1"/>
  <c r="FT20" i="34"/>
  <c r="FU20" i="34" s="1"/>
  <c r="FV20" i="34"/>
  <c r="FW20" i="34"/>
  <c r="FY20" i="34"/>
  <c r="FZ20" i="34" s="1"/>
  <c r="GG20" i="34"/>
  <c r="GI20" i="34"/>
  <c r="GJ20" i="34"/>
  <c r="GK20" i="34"/>
  <c r="GN20" i="34"/>
  <c r="GO20" i="34"/>
  <c r="GP20" i="34"/>
  <c r="GQ20" i="34"/>
  <c r="GR20" i="34"/>
  <c r="GS20" i="34"/>
  <c r="GT20" i="34"/>
  <c r="GU20" i="34"/>
  <c r="GV20" i="34"/>
  <c r="GW20" i="34"/>
  <c r="GX20" i="34"/>
  <c r="GY20" i="34"/>
  <c r="GZ20" i="34"/>
  <c r="HA20" i="34"/>
  <c r="HB20" i="34"/>
  <c r="HC20" i="34"/>
  <c r="HD20" i="34"/>
  <c r="HE20" i="34"/>
  <c r="HF20" i="34"/>
  <c r="HG20" i="34"/>
  <c r="HH20" i="34"/>
  <c r="HI20" i="34"/>
  <c r="HJ20" i="34"/>
  <c r="HK20" i="34"/>
  <c r="HL20" i="34"/>
  <c r="HM20" i="34"/>
  <c r="HN20" i="34"/>
  <c r="HO20" i="34"/>
  <c r="HP20" i="34"/>
  <c r="HQ20" i="34"/>
  <c r="HR20" i="34"/>
  <c r="HS20" i="34"/>
  <c r="HT20" i="34"/>
  <c r="HU20" i="34"/>
  <c r="HV20" i="34"/>
  <c r="HW20" i="34"/>
  <c r="HX20" i="34"/>
  <c r="HY20" i="34"/>
  <c r="HZ20" i="34"/>
  <c r="IA20" i="34"/>
  <c r="IB20" i="34"/>
  <c r="IC20" i="34"/>
  <c r="ID20" i="34"/>
  <c r="IE20" i="34"/>
  <c r="IF20" i="34"/>
  <c r="IG20" i="34"/>
  <c r="IH20" i="34"/>
  <c r="BH19" i="34"/>
  <c r="BK19" i="34"/>
  <c r="BL19" i="34"/>
  <c r="BM19" i="34"/>
  <c r="BN19" i="34"/>
  <c r="BO19" i="34"/>
  <c r="BP19" i="34"/>
  <c r="BQ19" i="34"/>
  <c r="BR19" i="34"/>
  <c r="BS19" i="34"/>
  <c r="BT19" i="34"/>
  <c r="BU19" i="34"/>
  <c r="BV19" i="34"/>
  <c r="BW19" i="34"/>
  <c r="BX19" i="34"/>
  <c r="BY19" i="34"/>
  <c r="BZ19" i="34"/>
  <c r="CA19" i="34"/>
  <c r="CB19" i="34"/>
  <c r="CC19" i="34"/>
  <c r="CD19" i="34"/>
  <c r="CE19" i="34"/>
  <c r="CF19" i="34"/>
  <c r="CG19" i="34"/>
  <c r="CH19" i="34"/>
  <c r="CI19" i="34"/>
  <c r="CJ19" i="34"/>
  <c r="CK19" i="34"/>
  <c r="CL19" i="34"/>
  <c r="CM19" i="34"/>
  <c r="CN19" i="34"/>
  <c r="CO19" i="34"/>
  <c r="CP19" i="34"/>
  <c r="CQ19" i="34"/>
  <c r="CR19" i="34"/>
  <c r="CS19" i="34"/>
  <c r="CT19" i="34"/>
  <c r="CU19" i="34"/>
  <c r="CV19" i="34"/>
  <c r="CW19" i="34"/>
  <c r="CX19" i="34"/>
  <c r="CY19" i="34"/>
  <c r="CZ19" i="34"/>
  <c r="DA19" i="34"/>
  <c r="DB19" i="34"/>
  <c r="DC19" i="34"/>
  <c r="DD19" i="34"/>
  <c r="DE19" i="34"/>
  <c r="DF19" i="34"/>
  <c r="DG19" i="34"/>
  <c r="DH19" i="34"/>
  <c r="DI19" i="34"/>
  <c r="DJ19" i="34"/>
  <c r="DL19" i="34"/>
  <c r="DM19" i="34"/>
  <c r="DN19" i="34"/>
  <c r="DO19" i="34"/>
  <c r="DQ19" i="34"/>
  <c r="DR19" i="34"/>
  <c r="DS19" i="34"/>
  <c r="DT19" i="34"/>
  <c r="DV19" i="34"/>
  <c r="DW19" i="34" s="1"/>
  <c r="DY19" i="34"/>
  <c r="DZ19" i="34"/>
  <c r="EA19" i="34"/>
  <c r="EB19" i="34"/>
  <c r="ED19" i="34"/>
  <c r="EE19" i="34"/>
  <c r="EG19" i="34"/>
  <c r="EH19" i="34"/>
  <c r="EI19" i="34"/>
  <c r="EK19" i="34"/>
  <c r="EL19" i="34" s="1"/>
  <c r="EM19" i="34"/>
  <c r="EN19" i="34" s="1"/>
  <c r="EO19" i="34"/>
  <c r="EP19" i="34"/>
  <c r="EQ19" i="34"/>
  <c r="ES19" i="34"/>
  <c r="ET19" i="34"/>
  <c r="EV19" i="34"/>
  <c r="EW19" i="34"/>
  <c r="EX19" i="34"/>
  <c r="EY19" i="34"/>
  <c r="EZ19" i="34"/>
  <c r="FA19" i="34"/>
  <c r="FD19" i="34"/>
  <c r="FE19" i="34"/>
  <c r="FF19" i="34"/>
  <c r="FG19" i="34"/>
  <c r="FH19" i="34"/>
  <c r="FI19" i="34"/>
  <c r="FK19" i="34"/>
  <c r="FL19" i="34" s="1"/>
  <c r="FM19" i="34"/>
  <c r="FN19" i="34"/>
  <c r="FO19" i="34"/>
  <c r="FQ19" i="34"/>
  <c r="FR19" i="34" s="1"/>
  <c r="FT19" i="34"/>
  <c r="FU19" i="34" s="1"/>
  <c r="FV19" i="34"/>
  <c r="FW19" i="34"/>
  <c r="FY19" i="34"/>
  <c r="FZ19" i="34" s="1"/>
  <c r="GG19" i="34"/>
  <c r="GH19" i="34"/>
  <c r="IK19" i="34" s="1"/>
  <c r="GI19" i="34"/>
  <c r="GJ19" i="34"/>
  <c r="GK19" i="34"/>
  <c r="GN19" i="34"/>
  <c r="GO19" i="34"/>
  <c r="GP19" i="34"/>
  <c r="GQ19" i="34"/>
  <c r="GR19" i="34"/>
  <c r="GS19" i="34"/>
  <c r="GT19" i="34"/>
  <c r="GU19" i="34"/>
  <c r="GV19" i="34"/>
  <c r="GW19" i="34"/>
  <c r="GX19" i="34"/>
  <c r="GY19" i="34"/>
  <c r="GZ19" i="34"/>
  <c r="HA19" i="34"/>
  <c r="HB19" i="34"/>
  <c r="HC19" i="34"/>
  <c r="HD19" i="34"/>
  <c r="HE19" i="34"/>
  <c r="HF19" i="34"/>
  <c r="HG19" i="34"/>
  <c r="HH19" i="34"/>
  <c r="HI19" i="34"/>
  <c r="HJ19" i="34"/>
  <c r="HK19" i="34"/>
  <c r="HL19" i="34"/>
  <c r="HM19" i="34"/>
  <c r="HN19" i="34"/>
  <c r="HO19" i="34"/>
  <c r="HP19" i="34"/>
  <c r="HQ19" i="34"/>
  <c r="HR19" i="34"/>
  <c r="HS19" i="34"/>
  <c r="HT19" i="34"/>
  <c r="HU19" i="34"/>
  <c r="HV19" i="34"/>
  <c r="HW19" i="34"/>
  <c r="HX19" i="34"/>
  <c r="HY19" i="34"/>
  <c r="HZ19" i="34"/>
  <c r="IA19" i="34"/>
  <c r="IB19" i="34"/>
  <c r="IC19" i="34"/>
  <c r="ID19" i="34"/>
  <c r="IE19" i="34"/>
  <c r="IF19" i="34"/>
  <c r="IG19" i="34"/>
  <c r="IH19" i="34"/>
  <c r="BH18" i="34"/>
  <c r="GH18" i="34" s="1"/>
  <c r="IK18" i="34" s="1"/>
  <c r="BK18" i="34"/>
  <c r="BL18" i="34"/>
  <c r="BM18" i="34"/>
  <c r="BN18" i="34"/>
  <c r="BO18" i="34"/>
  <c r="BP18" i="34"/>
  <c r="BQ18" i="34"/>
  <c r="BR18" i="34"/>
  <c r="BS18" i="34"/>
  <c r="BT18" i="34"/>
  <c r="BU18" i="34"/>
  <c r="BV18" i="34"/>
  <c r="BW18" i="34"/>
  <c r="BX18" i="34"/>
  <c r="BY18" i="34"/>
  <c r="BZ18" i="34"/>
  <c r="CA18" i="34"/>
  <c r="CB18" i="34"/>
  <c r="CC18" i="34"/>
  <c r="CD18" i="34"/>
  <c r="CE18" i="34"/>
  <c r="CF18" i="34"/>
  <c r="CG18" i="34"/>
  <c r="CH18" i="34"/>
  <c r="CI18" i="34"/>
  <c r="CJ18" i="34"/>
  <c r="CK18" i="34"/>
  <c r="CL18" i="34"/>
  <c r="CM18" i="34"/>
  <c r="CN18" i="34"/>
  <c r="CO18" i="34"/>
  <c r="CP18" i="34"/>
  <c r="CQ18" i="34"/>
  <c r="CR18" i="34"/>
  <c r="CS18" i="34"/>
  <c r="CT18" i="34"/>
  <c r="CU18" i="34"/>
  <c r="CV18" i="34"/>
  <c r="CW18" i="34"/>
  <c r="CX18" i="34"/>
  <c r="CY18" i="34"/>
  <c r="CZ18" i="34"/>
  <c r="DA18" i="34"/>
  <c r="DB18" i="34"/>
  <c r="DC18" i="34"/>
  <c r="DD18" i="34"/>
  <c r="DE18" i="34"/>
  <c r="DF18" i="34"/>
  <c r="DG18" i="34"/>
  <c r="DH18" i="34"/>
  <c r="DI18" i="34"/>
  <c r="DJ18" i="34"/>
  <c r="DL18" i="34"/>
  <c r="DM18" i="34"/>
  <c r="DN18" i="34"/>
  <c r="DO18" i="34"/>
  <c r="DQ18" i="34"/>
  <c r="DR18" i="34"/>
  <c r="DS18" i="34"/>
  <c r="DT18" i="34"/>
  <c r="DV18" i="34"/>
  <c r="DW18" i="34" s="1"/>
  <c r="DY18" i="34"/>
  <c r="DZ18" i="34"/>
  <c r="EA18" i="34"/>
  <c r="EB18" i="34"/>
  <c r="ED18" i="34"/>
  <c r="EE18" i="34"/>
  <c r="EG18" i="34"/>
  <c r="EH18" i="34"/>
  <c r="EI18" i="34"/>
  <c r="EK18" i="34"/>
  <c r="EL18" i="34" s="1"/>
  <c r="EM18" i="34"/>
  <c r="EN18" i="34" s="1"/>
  <c r="EO18" i="34"/>
  <c r="EP18" i="34"/>
  <c r="EQ18" i="34"/>
  <c r="ES18" i="34"/>
  <c r="ET18" i="34"/>
  <c r="EV18" i="34"/>
  <c r="EW18" i="34"/>
  <c r="EX18" i="34"/>
  <c r="EY18" i="34"/>
  <c r="EZ18" i="34"/>
  <c r="FA18" i="34"/>
  <c r="FD18" i="34"/>
  <c r="FE18" i="34"/>
  <c r="FF18" i="34"/>
  <c r="FG18" i="34"/>
  <c r="FH18" i="34"/>
  <c r="FI18" i="34"/>
  <c r="FK18" i="34"/>
  <c r="FL18" i="34" s="1"/>
  <c r="FM18" i="34"/>
  <c r="FN18" i="34"/>
  <c r="FO18" i="34"/>
  <c r="FQ18" i="34"/>
  <c r="FR18" i="34" s="1"/>
  <c r="FT18" i="34"/>
  <c r="FU18" i="34" s="1"/>
  <c r="FV18" i="34"/>
  <c r="FW18" i="34"/>
  <c r="FY18" i="34"/>
  <c r="FZ18" i="34" s="1"/>
  <c r="GG18" i="34"/>
  <c r="GI18" i="34"/>
  <c r="GJ18" i="34"/>
  <c r="GK18" i="34"/>
  <c r="GN18" i="34"/>
  <c r="GO18" i="34"/>
  <c r="GP18" i="34"/>
  <c r="GQ18" i="34"/>
  <c r="GR18" i="34"/>
  <c r="GS18" i="34"/>
  <c r="GT18" i="34"/>
  <c r="GU18" i="34"/>
  <c r="GV18" i="34"/>
  <c r="GW18" i="34"/>
  <c r="GX18" i="34"/>
  <c r="GY18" i="34"/>
  <c r="GZ18" i="34"/>
  <c r="HA18" i="34"/>
  <c r="HB18" i="34"/>
  <c r="HC18" i="34"/>
  <c r="HD18" i="34"/>
  <c r="HE18" i="34"/>
  <c r="HF18" i="34"/>
  <c r="HG18" i="34"/>
  <c r="HH18" i="34"/>
  <c r="HI18" i="34"/>
  <c r="HJ18" i="34"/>
  <c r="HK18" i="34"/>
  <c r="HL18" i="34"/>
  <c r="HM18" i="34"/>
  <c r="HN18" i="34"/>
  <c r="HO18" i="34"/>
  <c r="HP18" i="34"/>
  <c r="HQ18" i="34"/>
  <c r="HR18" i="34"/>
  <c r="HS18" i="34"/>
  <c r="HT18" i="34"/>
  <c r="HU18" i="34"/>
  <c r="HV18" i="34"/>
  <c r="HW18" i="34"/>
  <c r="HX18" i="34"/>
  <c r="HY18" i="34"/>
  <c r="HZ18" i="34"/>
  <c r="IA18" i="34"/>
  <c r="IB18" i="34"/>
  <c r="IC18" i="34"/>
  <c r="ID18" i="34"/>
  <c r="IE18" i="34"/>
  <c r="IF18" i="34"/>
  <c r="IG18" i="34"/>
  <c r="IH18" i="34"/>
  <c r="BH17" i="34"/>
  <c r="BK17" i="34"/>
  <c r="BL17" i="34"/>
  <c r="BM17" i="34"/>
  <c r="BN17" i="34"/>
  <c r="BO17" i="34"/>
  <c r="BP17" i="34"/>
  <c r="BQ17" i="34"/>
  <c r="BR17" i="34"/>
  <c r="BS17" i="34"/>
  <c r="BT17" i="34"/>
  <c r="BU17" i="34"/>
  <c r="BV17" i="34"/>
  <c r="BW17" i="34"/>
  <c r="BX17" i="34"/>
  <c r="BY17" i="34"/>
  <c r="BZ17" i="34"/>
  <c r="CA17" i="34"/>
  <c r="CB17" i="34"/>
  <c r="CC17" i="34"/>
  <c r="CD17" i="34"/>
  <c r="CE17" i="34"/>
  <c r="CF17" i="34"/>
  <c r="CG17" i="34"/>
  <c r="CH17" i="34"/>
  <c r="CI17" i="34"/>
  <c r="CJ17" i="34"/>
  <c r="CK17" i="34"/>
  <c r="CL17" i="34"/>
  <c r="CM17" i="34"/>
  <c r="CN17" i="34"/>
  <c r="CO17" i="34"/>
  <c r="CP17" i="34"/>
  <c r="CQ17" i="34"/>
  <c r="CR17" i="34"/>
  <c r="CS17" i="34"/>
  <c r="CT17" i="34"/>
  <c r="CU17" i="34"/>
  <c r="CV17" i="34"/>
  <c r="CW17" i="34"/>
  <c r="CX17" i="34"/>
  <c r="CY17" i="34"/>
  <c r="CZ17" i="34"/>
  <c r="DA17" i="34"/>
  <c r="DB17" i="34"/>
  <c r="DC17" i="34"/>
  <c r="DD17" i="34"/>
  <c r="DE17" i="34"/>
  <c r="DF17" i="34"/>
  <c r="DG17" i="34"/>
  <c r="DH17" i="34"/>
  <c r="DI17" i="34"/>
  <c r="DJ17" i="34"/>
  <c r="DL17" i="34"/>
  <c r="DM17" i="34"/>
  <c r="DN17" i="34"/>
  <c r="DO17" i="34"/>
  <c r="DQ17" i="34"/>
  <c r="DR17" i="34"/>
  <c r="DS17" i="34"/>
  <c r="DT17" i="34"/>
  <c r="DV17" i="34"/>
  <c r="DW17" i="34" s="1"/>
  <c r="DY17" i="34"/>
  <c r="DZ17" i="34"/>
  <c r="EA17" i="34"/>
  <c r="EB17" i="34"/>
  <c r="ED17" i="34"/>
  <c r="EE17" i="34"/>
  <c r="EG17" i="34"/>
  <c r="EH17" i="34"/>
  <c r="EI17" i="34"/>
  <c r="EK17" i="34"/>
  <c r="EL17" i="34" s="1"/>
  <c r="EM17" i="34"/>
  <c r="EN17" i="34" s="1"/>
  <c r="EO17" i="34"/>
  <c r="EP17" i="34"/>
  <c r="EQ17" i="34"/>
  <c r="ES17" i="34"/>
  <c r="ET17" i="34"/>
  <c r="EV17" i="34"/>
  <c r="EW17" i="34"/>
  <c r="EX17" i="34"/>
  <c r="EY17" i="34"/>
  <c r="EZ17" i="34"/>
  <c r="FA17" i="34"/>
  <c r="FD17" i="34"/>
  <c r="FE17" i="34"/>
  <c r="FF17" i="34"/>
  <c r="FG17" i="34"/>
  <c r="FH17" i="34"/>
  <c r="FI17" i="34"/>
  <c r="FK17" i="34"/>
  <c r="FL17" i="34" s="1"/>
  <c r="FM17" i="34"/>
  <c r="FN17" i="34"/>
  <c r="FO17" i="34"/>
  <c r="FQ17" i="34"/>
  <c r="FR17" i="34" s="1"/>
  <c r="FT17" i="34"/>
  <c r="FU17" i="34" s="1"/>
  <c r="FV17" i="34"/>
  <c r="FW17" i="34"/>
  <c r="FY17" i="34"/>
  <c r="FZ17" i="34" s="1"/>
  <c r="GG17" i="34"/>
  <c r="GH17" i="34"/>
  <c r="IK17" i="34" s="1"/>
  <c r="IL17" i="34" s="1"/>
  <c r="GI17" i="34"/>
  <c r="GJ17" i="34"/>
  <c r="GK17" i="34"/>
  <c r="GN17" i="34"/>
  <c r="GO17" i="34"/>
  <c r="GP17" i="34"/>
  <c r="GQ17" i="34"/>
  <c r="GR17" i="34"/>
  <c r="GS17" i="34"/>
  <c r="GT17" i="34"/>
  <c r="GU17" i="34"/>
  <c r="GV17" i="34"/>
  <c r="GW17" i="34"/>
  <c r="GX17" i="34"/>
  <c r="GY17" i="34"/>
  <c r="GZ17" i="34"/>
  <c r="HA17" i="34"/>
  <c r="HB17" i="34"/>
  <c r="HC17" i="34"/>
  <c r="HD17" i="34"/>
  <c r="HE17" i="34"/>
  <c r="HF17" i="34"/>
  <c r="HG17" i="34"/>
  <c r="HH17" i="34"/>
  <c r="HI17" i="34"/>
  <c r="HJ17" i="34"/>
  <c r="HK17" i="34"/>
  <c r="HL17" i="34"/>
  <c r="HM17" i="34"/>
  <c r="HN17" i="34"/>
  <c r="HO17" i="34"/>
  <c r="HP17" i="34"/>
  <c r="HQ17" i="34"/>
  <c r="HR17" i="34"/>
  <c r="HS17" i="34"/>
  <c r="HT17" i="34"/>
  <c r="HU17" i="34"/>
  <c r="HV17" i="34"/>
  <c r="HW17" i="34"/>
  <c r="HX17" i="34"/>
  <c r="HY17" i="34"/>
  <c r="HZ17" i="34"/>
  <c r="IA17" i="34"/>
  <c r="IB17" i="34"/>
  <c r="IC17" i="34"/>
  <c r="ID17" i="34"/>
  <c r="IE17" i="34"/>
  <c r="IF17" i="34"/>
  <c r="IG17" i="34"/>
  <c r="IH17" i="34"/>
  <c r="BH16" i="34"/>
  <c r="BK16" i="34"/>
  <c r="BL16" i="34"/>
  <c r="BM16" i="34"/>
  <c r="BN16" i="34"/>
  <c r="BO16" i="34"/>
  <c r="BP16" i="34"/>
  <c r="BQ16" i="34"/>
  <c r="BR16" i="34"/>
  <c r="BS16" i="34"/>
  <c r="BT16" i="34"/>
  <c r="BU16" i="34"/>
  <c r="BV16" i="34"/>
  <c r="BW16" i="34"/>
  <c r="BX16" i="34"/>
  <c r="BY16" i="34"/>
  <c r="BZ16" i="34"/>
  <c r="CA16" i="34"/>
  <c r="CB16" i="34"/>
  <c r="CC16" i="34"/>
  <c r="CD16" i="34"/>
  <c r="CE16" i="34"/>
  <c r="CF16" i="34"/>
  <c r="CG16" i="34"/>
  <c r="CH16" i="34"/>
  <c r="CI16" i="34"/>
  <c r="CJ16" i="34"/>
  <c r="CK16" i="34"/>
  <c r="CL16" i="34"/>
  <c r="CM16" i="34"/>
  <c r="CN16" i="34"/>
  <c r="CO16" i="34"/>
  <c r="CP16" i="34"/>
  <c r="CQ16" i="34"/>
  <c r="CR16" i="34"/>
  <c r="CS16" i="34"/>
  <c r="CT16" i="34"/>
  <c r="CU16" i="34"/>
  <c r="CV16" i="34"/>
  <c r="CW16" i="34"/>
  <c r="CX16" i="34"/>
  <c r="CY16" i="34"/>
  <c r="CZ16" i="34"/>
  <c r="DA16" i="34"/>
  <c r="DB16" i="34"/>
  <c r="DC16" i="34"/>
  <c r="DD16" i="34"/>
  <c r="DE16" i="34"/>
  <c r="DF16" i="34"/>
  <c r="DG16" i="34"/>
  <c r="DH16" i="34"/>
  <c r="DI16" i="34"/>
  <c r="DJ16" i="34"/>
  <c r="DL16" i="34"/>
  <c r="DM16" i="34"/>
  <c r="DN16" i="34"/>
  <c r="DO16" i="34"/>
  <c r="DQ16" i="34"/>
  <c r="DR16" i="34"/>
  <c r="DS16" i="34"/>
  <c r="DT16" i="34"/>
  <c r="DV16" i="34"/>
  <c r="DW16" i="34" s="1"/>
  <c r="DY16" i="34"/>
  <c r="DZ16" i="34"/>
  <c r="EA16" i="34"/>
  <c r="EB16" i="34"/>
  <c r="ED16" i="34"/>
  <c r="EE16" i="34"/>
  <c r="EG16" i="34"/>
  <c r="EH16" i="34"/>
  <c r="EI16" i="34"/>
  <c r="EK16" i="34"/>
  <c r="EL16" i="34" s="1"/>
  <c r="EM16" i="34"/>
  <c r="EN16" i="34" s="1"/>
  <c r="EO16" i="34"/>
  <c r="EP16" i="34"/>
  <c r="EQ16" i="34"/>
  <c r="ES16" i="34"/>
  <c r="ET16" i="34"/>
  <c r="EV16" i="34"/>
  <c r="EW16" i="34"/>
  <c r="EX16" i="34"/>
  <c r="EY16" i="34"/>
  <c r="EZ16" i="34"/>
  <c r="FA16" i="34"/>
  <c r="FD16" i="34"/>
  <c r="FE16" i="34"/>
  <c r="FF16" i="34"/>
  <c r="FG16" i="34"/>
  <c r="FH16" i="34"/>
  <c r="FI16" i="34"/>
  <c r="FK16" i="34"/>
  <c r="FL16" i="34" s="1"/>
  <c r="FM16" i="34"/>
  <c r="FN16" i="34"/>
  <c r="FO16" i="34"/>
  <c r="FQ16" i="34"/>
  <c r="FR16" i="34" s="1"/>
  <c r="FT16" i="34"/>
  <c r="FU16" i="34" s="1"/>
  <c r="FV16" i="34"/>
  <c r="FW16" i="34"/>
  <c r="FY16" i="34"/>
  <c r="FZ16" i="34" s="1"/>
  <c r="GG16" i="34"/>
  <c r="GH16" i="34"/>
  <c r="IK16" i="34" s="1"/>
  <c r="GI16" i="34"/>
  <c r="GJ16" i="34"/>
  <c r="GK16" i="34"/>
  <c r="GN16" i="34"/>
  <c r="GO16" i="34"/>
  <c r="GP16" i="34"/>
  <c r="GQ16" i="34"/>
  <c r="GR16" i="34"/>
  <c r="GS16" i="34"/>
  <c r="GT16" i="34"/>
  <c r="GU16" i="34"/>
  <c r="GV16" i="34"/>
  <c r="GW16" i="34"/>
  <c r="GX16" i="34"/>
  <c r="GY16" i="34"/>
  <c r="GZ16" i="34"/>
  <c r="HA16" i="34"/>
  <c r="HB16" i="34"/>
  <c r="HC16" i="34"/>
  <c r="HD16" i="34"/>
  <c r="HE16" i="34"/>
  <c r="HF16" i="34"/>
  <c r="HG16" i="34"/>
  <c r="HH16" i="34"/>
  <c r="HI16" i="34"/>
  <c r="HJ16" i="34"/>
  <c r="HK16" i="34"/>
  <c r="HL16" i="34"/>
  <c r="HM16" i="34"/>
  <c r="HN16" i="34"/>
  <c r="HO16" i="34"/>
  <c r="HP16" i="34"/>
  <c r="HQ16" i="34"/>
  <c r="HR16" i="34"/>
  <c r="HS16" i="34"/>
  <c r="HT16" i="34"/>
  <c r="HU16" i="34"/>
  <c r="HV16" i="34"/>
  <c r="HW16" i="34"/>
  <c r="HX16" i="34"/>
  <c r="HY16" i="34"/>
  <c r="HZ16" i="34"/>
  <c r="IA16" i="34"/>
  <c r="IB16" i="34"/>
  <c r="IC16" i="34"/>
  <c r="ID16" i="34"/>
  <c r="IE16" i="34"/>
  <c r="IF16" i="34"/>
  <c r="IG16" i="34"/>
  <c r="IH16" i="34"/>
  <c r="BH15" i="34"/>
  <c r="GH15" i="34" s="1"/>
  <c r="IK15" i="34" s="1"/>
  <c r="BK15" i="34"/>
  <c r="BL15" i="34"/>
  <c r="BM15" i="34"/>
  <c r="BN15" i="34"/>
  <c r="BO15" i="34"/>
  <c r="BP15" i="34"/>
  <c r="BQ15" i="34"/>
  <c r="BR15" i="34"/>
  <c r="BS15" i="34"/>
  <c r="BT15" i="34"/>
  <c r="BU15" i="34"/>
  <c r="BV15" i="34"/>
  <c r="BW15" i="34"/>
  <c r="BX15" i="34"/>
  <c r="BY15" i="34"/>
  <c r="BZ15" i="34"/>
  <c r="CA15" i="34"/>
  <c r="CB15" i="34"/>
  <c r="CC15" i="34"/>
  <c r="CD15" i="34"/>
  <c r="CE15" i="34"/>
  <c r="CF15" i="34"/>
  <c r="CG15" i="34"/>
  <c r="CH15" i="34"/>
  <c r="CI15" i="34"/>
  <c r="CJ15" i="34"/>
  <c r="CK15" i="34"/>
  <c r="CL15" i="34"/>
  <c r="CM15" i="34"/>
  <c r="CN15" i="34"/>
  <c r="CO15" i="34"/>
  <c r="CP15" i="34"/>
  <c r="CQ15" i="34"/>
  <c r="CR15" i="34"/>
  <c r="CS15" i="34"/>
  <c r="CT15" i="34"/>
  <c r="CU15" i="34"/>
  <c r="CV15" i="34"/>
  <c r="CW15" i="34"/>
  <c r="CX15" i="34"/>
  <c r="CY15" i="34"/>
  <c r="CZ15" i="34"/>
  <c r="DA15" i="34"/>
  <c r="DB15" i="34"/>
  <c r="DC15" i="34"/>
  <c r="DD15" i="34"/>
  <c r="DE15" i="34"/>
  <c r="DF15" i="34"/>
  <c r="DG15" i="34"/>
  <c r="DH15" i="34"/>
  <c r="DI15" i="34"/>
  <c r="DJ15" i="34"/>
  <c r="DL15" i="34"/>
  <c r="DM15" i="34"/>
  <c r="DN15" i="34"/>
  <c r="DO15" i="34"/>
  <c r="DQ15" i="34"/>
  <c r="DR15" i="34"/>
  <c r="DS15" i="34"/>
  <c r="DT15" i="34"/>
  <c r="DV15" i="34"/>
  <c r="DW15" i="34" s="1"/>
  <c r="DY15" i="34"/>
  <c r="DZ15" i="34"/>
  <c r="EA15" i="34"/>
  <c r="EB15" i="34"/>
  <c r="ED15" i="34"/>
  <c r="EE15" i="34"/>
  <c r="EG15" i="34"/>
  <c r="EH15" i="34"/>
  <c r="EI15" i="34"/>
  <c r="EK15" i="34"/>
  <c r="EL15" i="34" s="1"/>
  <c r="EM15" i="34"/>
  <c r="EN15" i="34" s="1"/>
  <c r="EO15" i="34"/>
  <c r="EP15" i="34"/>
  <c r="EQ15" i="34"/>
  <c r="ES15" i="34"/>
  <c r="ET15" i="34"/>
  <c r="EV15" i="34"/>
  <c r="EW15" i="34"/>
  <c r="EX15" i="34"/>
  <c r="EY15" i="34"/>
  <c r="EZ15" i="34"/>
  <c r="FA15" i="34"/>
  <c r="FD15" i="34"/>
  <c r="FE15" i="34"/>
  <c r="FF15" i="34"/>
  <c r="FG15" i="34"/>
  <c r="FH15" i="34"/>
  <c r="FI15" i="34"/>
  <c r="FK15" i="34"/>
  <c r="FL15" i="34" s="1"/>
  <c r="FM15" i="34"/>
  <c r="FN15" i="34"/>
  <c r="FO15" i="34"/>
  <c r="FQ15" i="34"/>
  <c r="FR15" i="34" s="1"/>
  <c r="FT15" i="34"/>
  <c r="FU15" i="34" s="1"/>
  <c r="FV15" i="34"/>
  <c r="FW15" i="34"/>
  <c r="FY15" i="34"/>
  <c r="FZ15" i="34" s="1"/>
  <c r="GG15" i="34"/>
  <c r="GI15" i="34"/>
  <c r="GJ15" i="34"/>
  <c r="GK15" i="34"/>
  <c r="GN15" i="34"/>
  <c r="GO15" i="34"/>
  <c r="GP15" i="34"/>
  <c r="GQ15" i="34"/>
  <c r="GR15" i="34"/>
  <c r="GS15" i="34"/>
  <c r="GT15" i="34"/>
  <c r="GU15" i="34"/>
  <c r="GV15" i="34"/>
  <c r="GW15" i="34"/>
  <c r="GX15" i="34"/>
  <c r="GY15" i="34"/>
  <c r="GZ15" i="34"/>
  <c r="HA15" i="34"/>
  <c r="HB15" i="34"/>
  <c r="HC15" i="34"/>
  <c r="HD15" i="34"/>
  <c r="HE15" i="34"/>
  <c r="HF15" i="34"/>
  <c r="HG15" i="34"/>
  <c r="HH15" i="34"/>
  <c r="HI15" i="34"/>
  <c r="HJ15" i="34"/>
  <c r="HK15" i="34"/>
  <c r="HL15" i="34"/>
  <c r="HM15" i="34"/>
  <c r="HN15" i="34"/>
  <c r="HO15" i="34"/>
  <c r="HP15" i="34"/>
  <c r="HQ15" i="34"/>
  <c r="HR15" i="34"/>
  <c r="HS15" i="34"/>
  <c r="HT15" i="34"/>
  <c r="HU15" i="34"/>
  <c r="HV15" i="34"/>
  <c r="HW15" i="34"/>
  <c r="HX15" i="34"/>
  <c r="HY15" i="34"/>
  <c r="HZ15" i="34"/>
  <c r="IA15" i="34"/>
  <c r="IB15" i="34"/>
  <c r="IC15" i="34"/>
  <c r="ID15" i="34"/>
  <c r="IE15" i="34"/>
  <c r="IF15" i="34"/>
  <c r="IG15" i="34"/>
  <c r="IH15" i="34"/>
  <c r="BH14" i="34"/>
  <c r="GH14" i="34" s="1"/>
  <c r="IK14" i="34" s="1"/>
  <c r="IL14" i="34" s="1"/>
  <c r="BK14" i="34"/>
  <c r="BL14" i="34"/>
  <c r="BM14" i="34"/>
  <c r="BN14" i="34"/>
  <c r="BO14" i="34"/>
  <c r="BP14" i="34"/>
  <c r="BQ14" i="34"/>
  <c r="BR14" i="34"/>
  <c r="BS14" i="34"/>
  <c r="BT14" i="34"/>
  <c r="BU14" i="34"/>
  <c r="BV14" i="34"/>
  <c r="BW14" i="34"/>
  <c r="BX14" i="34"/>
  <c r="BY14" i="34"/>
  <c r="BZ14" i="34"/>
  <c r="CA14" i="34"/>
  <c r="CB14" i="34"/>
  <c r="CC14" i="34"/>
  <c r="CD14" i="34"/>
  <c r="CE14" i="34"/>
  <c r="CF14" i="34"/>
  <c r="CG14" i="34"/>
  <c r="CH14" i="34"/>
  <c r="CI14" i="34"/>
  <c r="CJ14" i="34"/>
  <c r="CK14" i="34"/>
  <c r="CL14" i="34"/>
  <c r="CM14" i="34"/>
  <c r="CN14" i="34"/>
  <c r="CO14" i="34"/>
  <c r="CP14" i="34"/>
  <c r="CQ14" i="34"/>
  <c r="CR14" i="34"/>
  <c r="CS14" i="34"/>
  <c r="CT14" i="34"/>
  <c r="CU14" i="34"/>
  <c r="CV14" i="34"/>
  <c r="CW14" i="34"/>
  <c r="CX14" i="34"/>
  <c r="CY14" i="34"/>
  <c r="CZ14" i="34"/>
  <c r="DA14" i="34"/>
  <c r="DB14" i="34"/>
  <c r="DC14" i="34"/>
  <c r="DD14" i="34"/>
  <c r="DE14" i="34"/>
  <c r="DF14" i="34"/>
  <c r="DG14" i="34"/>
  <c r="DH14" i="34"/>
  <c r="DI14" i="34"/>
  <c r="DJ14" i="34"/>
  <c r="DL14" i="34"/>
  <c r="DM14" i="34"/>
  <c r="DN14" i="34"/>
  <c r="DO14" i="34"/>
  <c r="DQ14" i="34"/>
  <c r="DR14" i="34"/>
  <c r="DS14" i="34"/>
  <c r="DT14" i="34"/>
  <c r="DV14" i="34"/>
  <c r="DW14" i="34" s="1"/>
  <c r="DY14" i="34"/>
  <c r="DZ14" i="34"/>
  <c r="EA14" i="34"/>
  <c r="EB14" i="34"/>
  <c r="ED14" i="34"/>
  <c r="EE14" i="34"/>
  <c r="EG14" i="34"/>
  <c r="EH14" i="34"/>
  <c r="EI14" i="34"/>
  <c r="EK14" i="34"/>
  <c r="EL14" i="34" s="1"/>
  <c r="EM14" i="34"/>
  <c r="EN14" i="34" s="1"/>
  <c r="EO14" i="34"/>
  <c r="EP14" i="34"/>
  <c r="EQ14" i="34"/>
  <c r="ES14" i="34"/>
  <c r="ET14" i="34"/>
  <c r="EV14" i="34"/>
  <c r="EW14" i="34"/>
  <c r="EX14" i="34"/>
  <c r="EY14" i="34"/>
  <c r="EZ14" i="34"/>
  <c r="FA14" i="34"/>
  <c r="FD14" i="34"/>
  <c r="FE14" i="34"/>
  <c r="FF14" i="34"/>
  <c r="FG14" i="34"/>
  <c r="FH14" i="34"/>
  <c r="FI14" i="34"/>
  <c r="FK14" i="34"/>
  <c r="FL14" i="34" s="1"/>
  <c r="FM14" i="34"/>
  <c r="FN14" i="34"/>
  <c r="FO14" i="34"/>
  <c r="FQ14" i="34"/>
  <c r="FR14" i="34" s="1"/>
  <c r="FT14" i="34"/>
  <c r="FU14" i="34" s="1"/>
  <c r="FV14" i="34"/>
  <c r="FW14" i="34"/>
  <c r="FY14" i="34"/>
  <c r="FZ14" i="34" s="1"/>
  <c r="GG14" i="34"/>
  <c r="GI14" i="34"/>
  <c r="GJ14" i="34"/>
  <c r="GK14" i="34"/>
  <c r="GN14" i="34"/>
  <c r="GO14" i="34"/>
  <c r="GP14" i="34"/>
  <c r="GQ14" i="34"/>
  <c r="GR14" i="34"/>
  <c r="GS14" i="34"/>
  <c r="GT14" i="34"/>
  <c r="GU14" i="34"/>
  <c r="GV14" i="34"/>
  <c r="GW14" i="34"/>
  <c r="GX14" i="34"/>
  <c r="GY14" i="34"/>
  <c r="GZ14" i="34"/>
  <c r="HA14" i="34"/>
  <c r="HB14" i="34"/>
  <c r="HC14" i="34"/>
  <c r="HD14" i="34"/>
  <c r="HE14" i="34"/>
  <c r="HF14" i="34"/>
  <c r="HG14" i="34"/>
  <c r="HH14" i="34"/>
  <c r="HI14" i="34"/>
  <c r="HJ14" i="34"/>
  <c r="HK14" i="34"/>
  <c r="HL14" i="34"/>
  <c r="HM14" i="34"/>
  <c r="HN14" i="34"/>
  <c r="HO14" i="34"/>
  <c r="HP14" i="34"/>
  <c r="HQ14" i="34"/>
  <c r="HR14" i="34"/>
  <c r="HS14" i="34"/>
  <c r="HT14" i="34"/>
  <c r="HU14" i="34"/>
  <c r="HV14" i="34"/>
  <c r="HW14" i="34"/>
  <c r="HX14" i="34"/>
  <c r="HY14" i="34"/>
  <c r="HZ14" i="34"/>
  <c r="IA14" i="34"/>
  <c r="IB14" i="34"/>
  <c r="IC14" i="34"/>
  <c r="ID14" i="34"/>
  <c r="IE14" i="34"/>
  <c r="IF14" i="34"/>
  <c r="IG14" i="34"/>
  <c r="IH14" i="34"/>
  <c r="BH13" i="34"/>
  <c r="GH13" i="34" s="1"/>
  <c r="IK13" i="34" s="1"/>
  <c r="BK13" i="34"/>
  <c r="BL13" i="34"/>
  <c r="BM13" i="34"/>
  <c r="BN13" i="34"/>
  <c r="BO13" i="34"/>
  <c r="BP13" i="34"/>
  <c r="BQ13" i="34"/>
  <c r="BR13" i="34"/>
  <c r="BS13" i="34"/>
  <c r="BT13" i="34"/>
  <c r="BU13" i="34"/>
  <c r="BV13" i="34"/>
  <c r="BW13" i="34"/>
  <c r="BX13" i="34"/>
  <c r="BY13" i="34"/>
  <c r="BZ13" i="34"/>
  <c r="CA13" i="34"/>
  <c r="CB13" i="34"/>
  <c r="CC13" i="34"/>
  <c r="CD13" i="34"/>
  <c r="CE13" i="34"/>
  <c r="CF13" i="34"/>
  <c r="CG13" i="34"/>
  <c r="CH13" i="34"/>
  <c r="CI13" i="34"/>
  <c r="CJ13" i="34"/>
  <c r="CK13" i="34"/>
  <c r="CL13" i="34"/>
  <c r="CM13" i="34"/>
  <c r="CN13" i="34"/>
  <c r="CO13" i="34"/>
  <c r="CP13" i="34"/>
  <c r="CQ13" i="34"/>
  <c r="CR13" i="34"/>
  <c r="CS13" i="34"/>
  <c r="CT13" i="34"/>
  <c r="CU13" i="34"/>
  <c r="CV13" i="34"/>
  <c r="CW13" i="34"/>
  <c r="CX13" i="34"/>
  <c r="CY13" i="34"/>
  <c r="CZ13" i="34"/>
  <c r="DA13" i="34"/>
  <c r="DB13" i="34"/>
  <c r="DC13" i="34"/>
  <c r="DD13" i="34"/>
  <c r="DE13" i="34"/>
  <c r="DF13" i="34"/>
  <c r="DG13" i="34"/>
  <c r="DH13" i="34"/>
  <c r="DI13" i="34"/>
  <c r="DJ13" i="34"/>
  <c r="DL13" i="34"/>
  <c r="DM13" i="34"/>
  <c r="DN13" i="34"/>
  <c r="DO13" i="34"/>
  <c r="DQ13" i="34"/>
  <c r="DR13" i="34"/>
  <c r="DS13" i="34"/>
  <c r="DT13" i="34"/>
  <c r="DV13" i="34"/>
  <c r="DW13" i="34" s="1"/>
  <c r="DY13" i="34"/>
  <c r="DZ13" i="34"/>
  <c r="EA13" i="34"/>
  <c r="EB13" i="34"/>
  <c r="ED13" i="34"/>
  <c r="EE13" i="34"/>
  <c r="EG13" i="34"/>
  <c r="EH13" i="34"/>
  <c r="EI13" i="34"/>
  <c r="EK13" i="34"/>
  <c r="EL13" i="34" s="1"/>
  <c r="EM13" i="34"/>
  <c r="EN13" i="34" s="1"/>
  <c r="EO13" i="34"/>
  <c r="EP13" i="34"/>
  <c r="EQ13" i="34"/>
  <c r="ES13" i="34"/>
  <c r="ET13" i="34"/>
  <c r="EV13" i="34"/>
  <c r="EW13" i="34"/>
  <c r="EX13" i="34"/>
  <c r="EY13" i="34"/>
  <c r="EZ13" i="34"/>
  <c r="FA13" i="34"/>
  <c r="FD13" i="34"/>
  <c r="FE13" i="34"/>
  <c r="FF13" i="34"/>
  <c r="FG13" i="34"/>
  <c r="FH13" i="34"/>
  <c r="FI13" i="34"/>
  <c r="FK13" i="34"/>
  <c r="FL13" i="34" s="1"/>
  <c r="FM13" i="34"/>
  <c r="FN13" i="34"/>
  <c r="FO13" i="34"/>
  <c r="FQ13" i="34"/>
  <c r="FR13" i="34" s="1"/>
  <c r="FT13" i="34"/>
  <c r="FU13" i="34" s="1"/>
  <c r="FV13" i="34"/>
  <c r="FW13" i="34"/>
  <c r="FY13" i="34"/>
  <c r="FZ13" i="34" s="1"/>
  <c r="GG13" i="34"/>
  <c r="GI13" i="34"/>
  <c r="GJ13" i="34"/>
  <c r="GK13" i="34"/>
  <c r="GN13" i="34"/>
  <c r="GO13" i="34"/>
  <c r="GP13" i="34"/>
  <c r="GQ13" i="34"/>
  <c r="GR13" i="34"/>
  <c r="GS13" i="34"/>
  <c r="GT13" i="34"/>
  <c r="GU13" i="34"/>
  <c r="GV13" i="34"/>
  <c r="GW13" i="34"/>
  <c r="GX13" i="34"/>
  <c r="GY13" i="34"/>
  <c r="GZ13" i="34"/>
  <c r="HA13" i="34"/>
  <c r="HB13" i="34"/>
  <c r="HC13" i="34"/>
  <c r="HD13" i="34"/>
  <c r="HE13" i="34"/>
  <c r="HF13" i="34"/>
  <c r="HG13" i="34"/>
  <c r="HH13" i="34"/>
  <c r="HI13" i="34"/>
  <c r="HJ13" i="34"/>
  <c r="HK13" i="34"/>
  <c r="HL13" i="34"/>
  <c r="HM13" i="34"/>
  <c r="HN13" i="34"/>
  <c r="HO13" i="34"/>
  <c r="HP13" i="34"/>
  <c r="HQ13" i="34"/>
  <c r="HR13" i="34"/>
  <c r="HS13" i="34"/>
  <c r="HT13" i="34"/>
  <c r="HU13" i="34"/>
  <c r="HV13" i="34"/>
  <c r="HW13" i="34"/>
  <c r="HX13" i="34"/>
  <c r="HY13" i="34"/>
  <c r="HZ13" i="34"/>
  <c r="IA13" i="34"/>
  <c r="IB13" i="34"/>
  <c r="IC13" i="34"/>
  <c r="ID13" i="34"/>
  <c r="IE13" i="34"/>
  <c r="IF13" i="34"/>
  <c r="IG13" i="34"/>
  <c r="IH13" i="34"/>
  <c r="BH12" i="34"/>
  <c r="GH12" i="34" s="1"/>
  <c r="IK12" i="34" s="1"/>
  <c r="BK12" i="34"/>
  <c r="BL12" i="34"/>
  <c r="BM12" i="34"/>
  <c r="BN12" i="34"/>
  <c r="BO12" i="34"/>
  <c r="BP12" i="34"/>
  <c r="BQ12" i="34"/>
  <c r="BR12" i="34"/>
  <c r="BS12" i="34"/>
  <c r="BT12" i="34"/>
  <c r="BU12" i="34"/>
  <c r="BV12" i="34"/>
  <c r="BW12" i="34"/>
  <c r="BX12" i="34"/>
  <c r="BY12" i="34"/>
  <c r="BZ12" i="34"/>
  <c r="CA12" i="34"/>
  <c r="CB12" i="34"/>
  <c r="CC12" i="34"/>
  <c r="CD12" i="34"/>
  <c r="CE12" i="34"/>
  <c r="CF12" i="34"/>
  <c r="CG12" i="34"/>
  <c r="CH12" i="34"/>
  <c r="CI12" i="34"/>
  <c r="CJ12" i="34"/>
  <c r="CK12" i="34"/>
  <c r="CL12" i="34"/>
  <c r="CM12" i="34"/>
  <c r="CN12" i="34"/>
  <c r="CO12" i="34"/>
  <c r="CP12" i="34"/>
  <c r="CQ12" i="34"/>
  <c r="CR12" i="34"/>
  <c r="CS12" i="34"/>
  <c r="CT12" i="34"/>
  <c r="CU12" i="34"/>
  <c r="CV12" i="34"/>
  <c r="CW12" i="34"/>
  <c r="CX12" i="34"/>
  <c r="CY12" i="34"/>
  <c r="CZ12" i="34"/>
  <c r="DA12" i="34"/>
  <c r="DB12" i="34"/>
  <c r="DC12" i="34"/>
  <c r="DD12" i="34"/>
  <c r="DE12" i="34"/>
  <c r="DF12" i="34"/>
  <c r="DG12" i="34"/>
  <c r="DH12" i="34"/>
  <c r="DI12" i="34"/>
  <c r="DJ12" i="34"/>
  <c r="DL12" i="34"/>
  <c r="DM12" i="34"/>
  <c r="DN12" i="34"/>
  <c r="DO12" i="34"/>
  <c r="DQ12" i="34"/>
  <c r="DR12" i="34"/>
  <c r="DS12" i="34"/>
  <c r="DT12" i="34"/>
  <c r="DV12" i="34"/>
  <c r="DW12" i="34" s="1"/>
  <c r="DY12" i="34"/>
  <c r="DZ12" i="34"/>
  <c r="EA12" i="34"/>
  <c r="EB12" i="34"/>
  <c r="ED12" i="34"/>
  <c r="EE12" i="34"/>
  <c r="EG12" i="34"/>
  <c r="EH12" i="34"/>
  <c r="EI12" i="34"/>
  <c r="EK12" i="34"/>
  <c r="EL12" i="34" s="1"/>
  <c r="EM12" i="34"/>
  <c r="EN12" i="34" s="1"/>
  <c r="EO12" i="34"/>
  <c r="EP12" i="34"/>
  <c r="EQ12" i="34"/>
  <c r="ES12" i="34"/>
  <c r="ET12" i="34"/>
  <c r="EV12" i="34"/>
  <c r="EW12" i="34"/>
  <c r="EX12" i="34"/>
  <c r="EY12" i="34"/>
  <c r="EZ12" i="34"/>
  <c r="FA12" i="34"/>
  <c r="FD12" i="34"/>
  <c r="FE12" i="34"/>
  <c r="FF12" i="34"/>
  <c r="FG12" i="34"/>
  <c r="FH12" i="34"/>
  <c r="FI12" i="34"/>
  <c r="FK12" i="34"/>
  <c r="FL12" i="34" s="1"/>
  <c r="FM12" i="34"/>
  <c r="FN12" i="34"/>
  <c r="FO12" i="34"/>
  <c r="FQ12" i="34"/>
  <c r="FR12" i="34" s="1"/>
  <c r="FT12" i="34"/>
  <c r="FU12" i="34" s="1"/>
  <c r="FV12" i="34"/>
  <c r="FW12" i="34"/>
  <c r="FY12" i="34"/>
  <c r="FZ12" i="34" s="1"/>
  <c r="GG12" i="34"/>
  <c r="GI12" i="34"/>
  <c r="GJ12" i="34"/>
  <c r="GK12" i="34"/>
  <c r="GN12" i="34"/>
  <c r="GO12" i="34"/>
  <c r="GP12" i="34"/>
  <c r="GQ12" i="34"/>
  <c r="GR12" i="34"/>
  <c r="GS12" i="34"/>
  <c r="GT12" i="34"/>
  <c r="GU12" i="34"/>
  <c r="GV12" i="34"/>
  <c r="GW12" i="34"/>
  <c r="GX12" i="34"/>
  <c r="GY12" i="34"/>
  <c r="GZ12" i="34"/>
  <c r="HA12" i="34"/>
  <c r="HB12" i="34"/>
  <c r="HC12" i="34"/>
  <c r="HD12" i="34"/>
  <c r="HE12" i="34"/>
  <c r="HF12" i="34"/>
  <c r="HG12" i="34"/>
  <c r="HH12" i="34"/>
  <c r="HI12" i="34"/>
  <c r="HJ12" i="34"/>
  <c r="HK12" i="34"/>
  <c r="HL12" i="34"/>
  <c r="HM12" i="34"/>
  <c r="HN12" i="34"/>
  <c r="HO12" i="34"/>
  <c r="HP12" i="34"/>
  <c r="HQ12" i="34"/>
  <c r="HR12" i="34"/>
  <c r="HS12" i="34"/>
  <c r="HT12" i="34"/>
  <c r="HU12" i="34"/>
  <c r="HV12" i="34"/>
  <c r="HW12" i="34"/>
  <c r="HX12" i="34"/>
  <c r="HY12" i="34"/>
  <c r="HZ12" i="34"/>
  <c r="IA12" i="34"/>
  <c r="IB12" i="34"/>
  <c r="IC12" i="34"/>
  <c r="ID12" i="34"/>
  <c r="IE12" i="34"/>
  <c r="IF12" i="34"/>
  <c r="IG12" i="34"/>
  <c r="IH12" i="34"/>
  <c r="BH11" i="34"/>
  <c r="GH11" i="34" s="1"/>
  <c r="IK11" i="34" s="1"/>
  <c r="BK11" i="34"/>
  <c r="BL11" i="34"/>
  <c r="BM11" i="34"/>
  <c r="BN11" i="34"/>
  <c r="BO11" i="34"/>
  <c r="BP11" i="34"/>
  <c r="BQ11" i="34"/>
  <c r="BR11" i="34"/>
  <c r="BS11" i="34"/>
  <c r="BT11" i="34"/>
  <c r="BU11" i="34"/>
  <c r="BV11" i="34"/>
  <c r="BW11" i="34"/>
  <c r="BX11" i="34"/>
  <c r="BY11" i="34"/>
  <c r="BZ11" i="34"/>
  <c r="CA11" i="34"/>
  <c r="CB11" i="34"/>
  <c r="CC11" i="34"/>
  <c r="CD11" i="34"/>
  <c r="CE11" i="34"/>
  <c r="CF11" i="34"/>
  <c r="CG11" i="34"/>
  <c r="CH11" i="34"/>
  <c r="CI11" i="34"/>
  <c r="CJ11" i="34"/>
  <c r="CK11" i="34"/>
  <c r="CL11" i="34"/>
  <c r="CM11" i="34"/>
  <c r="CN11" i="34"/>
  <c r="CO11" i="34"/>
  <c r="CP11" i="34"/>
  <c r="CQ11" i="34"/>
  <c r="CR11" i="34"/>
  <c r="CS11" i="34"/>
  <c r="CT11" i="34"/>
  <c r="CU11" i="34"/>
  <c r="CV11" i="34"/>
  <c r="CW11" i="34"/>
  <c r="CX11" i="34"/>
  <c r="CY11" i="34"/>
  <c r="CZ11" i="34"/>
  <c r="DA11" i="34"/>
  <c r="DB11" i="34"/>
  <c r="DC11" i="34"/>
  <c r="DD11" i="34"/>
  <c r="DE11" i="34"/>
  <c r="DF11" i="34"/>
  <c r="DG11" i="34"/>
  <c r="DH11" i="34"/>
  <c r="DI11" i="34"/>
  <c r="DJ11" i="34"/>
  <c r="DL11" i="34"/>
  <c r="DM11" i="34"/>
  <c r="DN11" i="34"/>
  <c r="DO11" i="34"/>
  <c r="DQ11" i="34"/>
  <c r="DR11" i="34"/>
  <c r="DS11" i="34"/>
  <c r="DT11" i="34"/>
  <c r="DV11" i="34"/>
  <c r="DW11" i="34" s="1"/>
  <c r="DY11" i="34"/>
  <c r="DZ11" i="34"/>
  <c r="EA11" i="34"/>
  <c r="EB11" i="34"/>
  <c r="ED11" i="34"/>
  <c r="EE11" i="34"/>
  <c r="EG11" i="34"/>
  <c r="EH11" i="34"/>
  <c r="EI11" i="34"/>
  <c r="EK11" i="34"/>
  <c r="EL11" i="34" s="1"/>
  <c r="EM11" i="34"/>
  <c r="EN11" i="34" s="1"/>
  <c r="EO11" i="34"/>
  <c r="EP11" i="34"/>
  <c r="EQ11" i="34"/>
  <c r="ES11" i="34"/>
  <c r="ET11" i="34"/>
  <c r="EV11" i="34"/>
  <c r="EW11" i="34"/>
  <c r="EX11" i="34"/>
  <c r="EY11" i="34"/>
  <c r="EZ11" i="34"/>
  <c r="FA11" i="34"/>
  <c r="FD11" i="34"/>
  <c r="FE11" i="34"/>
  <c r="FF11" i="34"/>
  <c r="FG11" i="34"/>
  <c r="FH11" i="34"/>
  <c r="FI11" i="34"/>
  <c r="FK11" i="34"/>
  <c r="FL11" i="34" s="1"/>
  <c r="FM11" i="34"/>
  <c r="FN11" i="34"/>
  <c r="FO11" i="34"/>
  <c r="FQ11" i="34"/>
  <c r="FR11" i="34" s="1"/>
  <c r="FT11" i="34"/>
  <c r="FU11" i="34" s="1"/>
  <c r="FV11" i="34"/>
  <c r="FW11" i="34"/>
  <c r="FY11" i="34"/>
  <c r="FZ11" i="34" s="1"/>
  <c r="GG11" i="34"/>
  <c r="GI11" i="34"/>
  <c r="GJ11" i="34"/>
  <c r="GK11" i="34"/>
  <c r="GN11" i="34"/>
  <c r="GO11" i="34"/>
  <c r="GP11" i="34"/>
  <c r="GQ11" i="34"/>
  <c r="GR11" i="34"/>
  <c r="GS11" i="34"/>
  <c r="GT11" i="34"/>
  <c r="GU11" i="34"/>
  <c r="GV11" i="34"/>
  <c r="GW11" i="34"/>
  <c r="GX11" i="34"/>
  <c r="GY11" i="34"/>
  <c r="GZ11" i="34"/>
  <c r="HA11" i="34"/>
  <c r="HB11" i="34"/>
  <c r="HC11" i="34"/>
  <c r="HD11" i="34"/>
  <c r="HE11" i="34"/>
  <c r="HF11" i="34"/>
  <c r="HG11" i="34"/>
  <c r="HH11" i="34"/>
  <c r="HI11" i="34"/>
  <c r="HJ11" i="34"/>
  <c r="HK11" i="34"/>
  <c r="HL11" i="34"/>
  <c r="HM11" i="34"/>
  <c r="HN11" i="34"/>
  <c r="HO11" i="34"/>
  <c r="HP11" i="34"/>
  <c r="HQ11" i="34"/>
  <c r="HR11" i="34"/>
  <c r="HS11" i="34"/>
  <c r="HT11" i="34"/>
  <c r="HU11" i="34"/>
  <c r="HV11" i="34"/>
  <c r="HW11" i="34"/>
  <c r="HX11" i="34"/>
  <c r="HY11" i="34"/>
  <c r="HZ11" i="34"/>
  <c r="IA11" i="34"/>
  <c r="IB11" i="34"/>
  <c r="IC11" i="34"/>
  <c r="ID11" i="34"/>
  <c r="IE11" i="34"/>
  <c r="IF11" i="34"/>
  <c r="IG11" i="34"/>
  <c r="IH11" i="34"/>
  <c r="BH10" i="34"/>
  <c r="GH10" i="34" s="1"/>
  <c r="IK10" i="34" s="1"/>
  <c r="IL10" i="34" s="1"/>
  <c r="BK10" i="34"/>
  <c r="BL10" i="34"/>
  <c r="BM10" i="34"/>
  <c r="BN10" i="34"/>
  <c r="BO10" i="34"/>
  <c r="BP10" i="34"/>
  <c r="BQ10" i="34"/>
  <c r="BR10" i="34"/>
  <c r="BS10" i="34"/>
  <c r="BT10" i="34"/>
  <c r="BU10" i="34"/>
  <c r="BV10" i="34"/>
  <c r="BW10" i="34"/>
  <c r="BX10" i="34"/>
  <c r="BY10" i="34"/>
  <c r="BZ10" i="34"/>
  <c r="CA10" i="34"/>
  <c r="CB10" i="34"/>
  <c r="CC10" i="34"/>
  <c r="CD10" i="34"/>
  <c r="CE10" i="34"/>
  <c r="CF10" i="34"/>
  <c r="CG10" i="34"/>
  <c r="CH10" i="34"/>
  <c r="CI10" i="34"/>
  <c r="CJ10" i="34"/>
  <c r="CK10" i="34"/>
  <c r="CL10" i="34"/>
  <c r="CM10" i="34"/>
  <c r="CN10" i="34"/>
  <c r="CO10" i="34"/>
  <c r="CP10" i="34"/>
  <c r="CQ10" i="34"/>
  <c r="CR10" i="34"/>
  <c r="CS10" i="34"/>
  <c r="CT10" i="34"/>
  <c r="CU10" i="34"/>
  <c r="CV10" i="34"/>
  <c r="CW10" i="34"/>
  <c r="CX10" i="34"/>
  <c r="CY10" i="34"/>
  <c r="CZ10" i="34"/>
  <c r="DA10" i="34"/>
  <c r="DB10" i="34"/>
  <c r="DC10" i="34"/>
  <c r="DD10" i="34"/>
  <c r="DE10" i="34"/>
  <c r="DF10" i="34"/>
  <c r="DG10" i="34"/>
  <c r="DH10" i="34"/>
  <c r="DI10" i="34"/>
  <c r="DJ10" i="34"/>
  <c r="DL10" i="34"/>
  <c r="DM10" i="34"/>
  <c r="DN10" i="34"/>
  <c r="DO10" i="34"/>
  <c r="DQ10" i="34"/>
  <c r="DR10" i="34"/>
  <c r="DS10" i="34"/>
  <c r="DT10" i="34"/>
  <c r="DV10" i="34"/>
  <c r="DW10" i="34" s="1"/>
  <c r="DY10" i="34"/>
  <c r="DZ10" i="34"/>
  <c r="EA10" i="34"/>
  <c r="EB10" i="34"/>
  <c r="ED10" i="34"/>
  <c r="EE10" i="34"/>
  <c r="EG10" i="34"/>
  <c r="EH10" i="34"/>
  <c r="EI10" i="34"/>
  <c r="EK10" i="34"/>
  <c r="EL10" i="34" s="1"/>
  <c r="EM10" i="34"/>
  <c r="EN10" i="34" s="1"/>
  <c r="EO10" i="34"/>
  <c r="EP10" i="34"/>
  <c r="EQ10" i="34"/>
  <c r="ES10" i="34"/>
  <c r="ET10" i="34"/>
  <c r="EV10" i="34"/>
  <c r="EW10" i="34"/>
  <c r="EX10" i="34"/>
  <c r="EY10" i="34"/>
  <c r="EZ10" i="34"/>
  <c r="FA10" i="34"/>
  <c r="FD10" i="34"/>
  <c r="FE10" i="34"/>
  <c r="FF10" i="34"/>
  <c r="FG10" i="34"/>
  <c r="FH10" i="34"/>
  <c r="FI10" i="34"/>
  <c r="FK10" i="34"/>
  <c r="FL10" i="34" s="1"/>
  <c r="FM10" i="34"/>
  <c r="FN10" i="34"/>
  <c r="FO10" i="34"/>
  <c r="FQ10" i="34"/>
  <c r="FR10" i="34" s="1"/>
  <c r="FT10" i="34"/>
  <c r="FU10" i="34" s="1"/>
  <c r="FV10" i="34"/>
  <c r="FW10" i="34"/>
  <c r="FY10" i="34"/>
  <c r="FZ10" i="34" s="1"/>
  <c r="GG10" i="34"/>
  <c r="GI10" i="34"/>
  <c r="GJ10" i="34"/>
  <c r="GK10" i="34"/>
  <c r="GN10" i="34"/>
  <c r="GO10" i="34"/>
  <c r="GP10" i="34"/>
  <c r="GQ10" i="34"/>
  <c r="GR10" i="34"/>
  <c r="GS10" i="34"/>
  <c r="GT10" i="34"/>
  <c r="GU10" i="34"/>
  <c r="GV10" i="34"/>
  <c r="GW10" i="34"/>
  <c r="GX10" i="34"/>
  <c r="GY10" i="34"/>
  <c r="GZ10" i="34"/>
  <c r="HA10" i="34"/>
  <c r="HB10" i="34"/>
  <c r="HC10" i="34"/>
  <c r="HD10" i="34"/>
  <c r="HE10" i="34"/>
  <c r="HF10" i="34"/>
  <c r="HG10" i="34"/>
  <c r="HH10" i="34"/>
  <c r="HI10" i="34"/>
  <c r="HJ10" i="34"/>
  <c r="HK10" i="34"/>
  <c r="HL10" i="34"/>
  <c r="HM10" i="34"/>
  <c r="HN10" i="34"/>
  <c r="HO10" i="34"/>
  <c r="HP10" i="34"/>
  <c r="HQ10" i="34"/>
  <c r="HR10" i="34"/>
  <c r="HS10" i="34"/>
  <c r="HT10" i="34"/>
  <c r="HU10" i="34"/>
  <c r="HV10" i="34"/>
  <c r="HW10" i="34"/>
  <c r="HX10" i="34"/>
  <c r="HY10" i="34"/>
  <c r="HZ10" i="34"/>
  <c r="IA10" i="34"/>
  <c r="IB10" i="34"/>
  <c r="IC10" i="34"/>
  <c r="ID10" i="34"/>
  <c r="IE10" i="34"/>
  <c r="IF10" i="34"/>
  <c r="IG10" i="34"/>
  <c r="IH10" i="34"/>
  <c r="BH9" i="34"/>
  <c r="BK9" i="34"/>
  <c r="BL9" i="34"/>
  <c r="BM9" i="34"/>
  <c r="BN9" i="34"/>
  <c r="BO9" i="34"/>
  <c r="BP9" i="34"/>
  <c r="BQ9" i="34"/>
  <c r="BR9" i="34"/>
  <c r="BS9" i="34"/>
  <c r="BT9" i="34"/>
  <c r="BU9" i="34"/>
  <c r="BV9" i="34"/>
  <c r="BW9" i="34"/>
  <c r="BX9" i="34"/>
  <c r="BY9" i="34"/>
  <c r="BZ9" i="34"/>
  <c r="CA9" i="34"/>
  <c r="CB9" i="34"/>
  <c r="CC9" i="34"/>
  <c r="CD9" i="34"/>
  <c r="CE9" i="34"/>
  <c r="CF9" i="34"/>
  <c r="CG9" i="34"/>
  <c r="CH9" i="34"/>
  <c r="CI9" i="34"/>
  <c r="CJ9" i="34"/>
  <c r="CK9" i="34"/>
  <c r="CL9" i="34"/>
  <c r="CM9" i="34"/>
  <c r="CN9" i="34"/>
  <c r="CO9" i="34"/>
  <c r="CP9" i="34"/>
  <c r="CQ9" i="34"/>
  <c r="CR9" i="34"/>
  <c r="CS9" i="34"/>
  <c r="CT9" i="34"/>
  <c r="CU9" i="34"/>
  <c r="CV9" i="34"/>
  <c r="CW9" i="34"/>
  <c r="CX9" i="34"/>
  <c r="CY9" i="34"/>
  <c r="CZ9" i="34"/>
  <c r="DA9" i="34"/>
  <c r="DB9" i="34"/>
  <c r="DC9" i="34"/>
  <c r="DD9" i="34"/>
  <c r="DE9" i="34"/>
  <c r="DF9" i="34"/>
  <c r="DG9" i="34"/>
  <c r="DH9" i="34"/>
  <c r="DI9" i="34"/>
  <c r="DJ9" i="34"/>
  <c r="DL9" i="34"/>
  <c r="DM9" i="34"/>
  <c r="DN9" i="34"/>
  <c r="DO9" i="34"/>
  <c r="DQ9" i="34"/>
  <c r="DR9" i="34"/>
  <c r="DS9" i="34"/>
  <c r="DT9" i="34"/>
  <c r="DV9" i="34"/>
  <c r="DW9" i="34" s="1"/>
  <c r="DY9" i="34"/>
  <c r="DZ9" i="34"/>
  <c r="EA9" i="34"/>
  <c r="EB9" i="34"/>
  <c r="ED9" i="34"/>
  <c r="EE9" i="34"/>
  <c r="EG9" i="34"/>
  <c r="EH9" i="34"/>
  <c r="EI9" i="34"/>
  <c r="EK9" i="34"/>
  <c r="EL9" i="34" s="1"/>
  <c r="EM9" i="34"/>
  <c r="EN9" i="34" s="1"/>
  <c r="EO9" i="34"/>
  <c r="EP9" i="34"/>
  <c r="EQ9" i="34"/>
  <c r="ES9" i="34"/>
  <c r="ET9" i="34"/>
  <c r="EV9" i="34"/>
  <c r="EW9" i="34"/>
  <c r="EX9" i="34"/>
  <c r="EY9" i="34"/>
  <c r="EZ9" i="34"/>
  <c r="FA9" i="34"/>
  <c r="FD9" i="34"/>
  <c r="FE9" i="34"/>
  <c r="FF9" i="34"/>
  <c r="FG9" i="34"/>
  <c r="FH9" i="34"/>
  <c r="FI9" i="34"/>
  <c r="FK9" i="34"/>
  <c r="FL9" i="34" s="1"/>
  <c r="FM9" i="34"/>
  <c r="FN9" i="34"/>
  <c r="FO9" i="34"/>
  <c r="FQ9" i="34"/>
  <c r="FR9" i="34" s="1"/>
  <c r="FT9" i="34"/>
  <c r="FU9" i="34" s="1"/>
  <c r="FV9" i="34"/>
  <c r="FW9" i="34"/>
  <c r="FY9" i="34"/>
  <c r="FZ9" i="34" s="1"/>
  <c r="GG9" i="34"/>
  <c r="GH9" i="34"/>
  <c r="IK9" i="34" s="1"/>
  <c r="GI9" i="34"/>
  <c r="GJ9" i="34"/>
  <c r="GK9" i="34"/>
  <c r="GN9" i="34"/>
  <c r="GO9" i="34"/>
  <c r="GP9" i="34"/>
  <c r="GQ9" i="34"/>
  <c r="GR9" i="34"/>
  <c r="GS9" i="34"/>
  <c r="GT9" i="34"/>
  <c r="GU9" i="34"/>
  <c r="GV9" i="34"/>
  <c r="GW9" i="34"/>
  <c r="GX9" i="34"/>
  <c r="GY9" i="34"/>
  <c r="GZ9" i="34"/>
  <c r="HA9" i="34"/>
  <c r="HB9" i="34"/>
  <c r="HC9" i="34"/>
  <c r="HD9" i="34"/>
  <c r="HE9" i="34"/>
  <c r="HF9" i="34"/>
  <c r="HG9" i="34"/>
  <c r="HH9" i="34"/>
  <c r="HI9" i="34"/>
  <c r="HJ9" i="34"/>
  <c r="HK9" i="34"/>
  <c r="HL9" i="34"/>
  <c r="HM9" i="34"/>
  <c r="HN9" i="34"/>
  <c r="HO9" i="34"/>
  <c r="HP9" i="34"/>
  <c r="HQ9" i="34"/>
  <c r="HR9" i="34"/>
  <c r="HS9" i="34"/>
  <c r="HT9" i="34"/>
  <c r="HU9" i="34"/>
  <c r="HV9" i="34"/>
  <c r="HW9" i="34"/>
  <c r="HX9" i="34"/>
  <c r="HY9" i="34"/>
  <c r="HZ9" i="34"/>
  <c r="IA9" i="34"/>
  <c r="IB9" i="34"/>
  <c r="IC9" i="34"/>
  <c r="ID9" i="34"/>
  <c r="IE9" i="34"/>
  <c r="IF9" i="34"/>
  <c r="IG9" i="34"/>
  <c r="IH9" i="34"/>
  <c r="BH8" i="34"/>
  <c r="BK8" i="34"/>
  <c r="BL8" i="34"/>
  <c r="BM8" i="34"/>
  <c r="BN8" i="34"/>
  <c r="BO8" i="34"/>
  <c r="BP8" i="34"/>
  <c r="BQ8" i="34"/>
  <c r="BR8" i="34"/>
  <c r="BS8" i="34"/>
  <c r="BT8" i="34"/>
  <c r="BU8" i="34"/>
  <c r="BV8" i="34"/>
  <c r="BW8" i="34"/>
  <c r="BX8" i="34"/>
  <c r="BY8" i="34"/>
  <c r="BZ8" i="34"/>
  <c r="CA8" i="34"/>
  <c r="CB8" i="34"/>
  <c r="CC8" i="34"/>
  <c r="CD8" i="34"/>
  <c r="CE8" i="34"/>
  <c r="CF8" i="34"/>
  <c r="CG8" i="34"/>
  <c r="CH8" i="34"/>
  <c r="CI8" i="34"/>
  <c r="CJ8" i="34"/>
  <c r="CK8" i="34"/>
  <c r="CL8" i="34"/>
  <c r="CM8" i="34"/>
  <c r="CN8" i="34"/>
  <c r="CO8" i="34"/>
  <c r="CP8" i="34"/>
  <c r="CQ8" i="34"/>
  <c r="CR8" i="34"/>
  <c r="CS8" i="34"/>
  <c r="CT8" i="34"/>
  <c r="CU8" i="34"/>
  <c r="CV8" i="34"/>
  <c r="CW8" i="34"/>
  <c r="CX8" i="34"/>
  <c r="CY8" i="34"/>
  <c r="CZ8" i="34"/>
  <c r="DA8" i="34"/>
  <c r="DB8" i="34"/>
  <c r="DC8" i="34"/>
  <c r="DD8" i="34"/>
  <c r="DE8" i="34"/>
  <c r="DF8" i="34"/>
  <c r="DG8" i="34"/>
  <c r="DH8" i="34"/>
  <c r="DI8" i="34"/>
  <c r="DJ8" i="34"/>
  <c r="DL8" i="34"/>
  <c r="DM8" i="34"/>
  <c r="DN8" i="34"/>
  <c r="DO8" i="34"/>
  <c r="DQ8" i="34"/>
  <c r="DR8" i="34"/>
  <c r="DS8" i="34"/>
  <c r="DT8" i="34"/>
  <c r="DV8" i="34"/>
  <c r="DW8" i="34" s="1"/>
  <c r="DY8" i="34"/>
  <c r="DZ8" i="34"/>
  <c r="EA8" i="34"/>
  <c r="EB8" i="34"/>
  <c r="ED8" i="34"/>
  <c r="EE8" i="34"/>
  <c r="EG8" i="34"/>
  <c r="EH8" i="34"/>
  <c r="EI8" i="34"/>
  <c r="EK8" i="34"/>
  <c r="EL8" i="34" s="1"/>
  <c r="EM8" i="34"/>
  <c r="EN8" i="34" s="1"/>
  <c r="EO8" i="34"/>
  <c r="EP8" i="34"/>
  <c r="EQ8" i="34"/>
  <c r="ES8" i="34"/>
  <c r="ET8" i="34"/>
  <c r="EV8" i="34"/>
  <c r="EW8" i="34"/>
  <c r="EX8" i="34"/>
  <c r="EY8" i="34"/>
  <c r="EZ8" i="34"/>
  <c r="FA8" i="34"/>
  <c r="FD8" i="34"/>
  <c r="FE8" i="34"/>
  <c r="FF8" i="34"/>
  <c r="FG8" i="34"/>
  <c r="FH8" i="34"/>
  <c r="FI8" i="34"/>
  <c r="FK8" i="34"/>
  <c r="FL8" i="34" s="1"/>
  <c r="FM8" i="34"/>
  <c r="FN8" i="34"/>
  <c r="FO8" i="34"/>
  <c r="FQ8" i="34"/>
  <c r="FR8" i="34" s="1"/>
  <c r="FT8" i="34"/>
  <c r="FU8" i="34" s="1"/>
  <c r="FV8" i="34"/>
  <c r="FW8" i="34"/>
  <c r="FY8" i="34"/>
  <c r="FZ8" i="34" s="1"/>
  <c r="GG8" i="34"/>
  <c r="GH8" i="34"/>
  <c r="IK8" i="34" s="1"/>
  <c r="IL36" i="34" s="1"/>
  <c r="IM36" i="34" s="1"/>
  <c r="GI8" i="34"/>
  <c r="GJ8" i="34"/>
  <c r="GK8" i="34"/>
  <c r="GN8" i="34"/>
  <c r="GO8" i="34"/>
  <c r="GP8" i="34"/>
  <c r="GQ8" i="34"/>
  <c r="GR8" i="34"/>
  <c r="GS8" i="34"/>
  <c r="GT8" i="34"/>
  <c r="GU8" i="34"/>
  <c r="GV8" i="34"/>
  <c r="GW8" i="34"/>
  <c r="GX8" i="34"/>
  <c r="GY8" i="34"/>
  <c r="GZ8" i="34"/>
  <c r="HA8" i="34"/>
  <c r="HB8" i="34"/>
  <c r="HC8" i="34"/>
  <c r="HD8" i="34"/>
  <c r="HE8" i="34"/>
  <c r="HF8" i="34"/>
  <c r="HG8" i="34"/>
  <c r="HH8" i="34"/>
  <c r="HI8" i="34"/>
  <c r="HJ8" i="34"/>
  <c r="HK8" i="34"/>
  <c r="HL8" i="34"/>
  <c r="HM8" i="34"/>
  <c r="HN8" i="34"/>
  <c r="HO8" i="34"/>
  <c r="HP8" i="34"/>
  <c r="HQ8" i="34"/>
  <c r="HR8" i="34"/>
  <c r="HS8" i="34"/>
  <c r="HT8" i="34"/>
  <c r="HU8" i="34"/>
  <c r="HV8" i="34"/>
  <c r="HW8" i="34"/>
  <c r="HX8" i="34"/>
  <c r="HY8" i="34"/>
  <c r="HZ8" i="34"/>
  <c r="IA8" i="34"/>
  <c r="IB8" i="34"/>
  <c r="IC8" i="34"/>
  <c r="ID8" i="34"/>
  <c r="IE8" i="34"/>
  <c r="IF8" i="34"/>
  <c r="IG8" i="34"/>
  <c r="IH8" i="34"/>
  <c r="BH7" i="34"/>
  <c r="GH7" i="34" s="1"/>
  <c r="IK7" i="34" s="1"/>
  <c r="BK7" i="34"/>
  <c r="BL7" i="34"/>
  <c r="BM7" i="34"/>
  <c r="BN7" i="34"/>
  <c r="BO7" i="34"/>
  <c r="BP7" i="34"/>
  <c r="BQ7" i="34"/>
  <c r="BR7" i="34"/>
  <c r="BS7" i="34"/>
  <c r="BT7" i="34"/>
  <c r="BU7" i="34"/>
  <c r="BV7" i="34"/>
  <c r="BW7" i="34"/>
  <c r="BX7" i="34"/>
  <c r="BY7" i="34"/>
  <c r="BZ7" i="34"/>
  <c r="CA7" i="34"/>
  <c r="CB7" i="34"/>
  <c r="CC7" i="34"/>
  <c r="CD7" i="34"/>
  <c r="CE7" i="34"/>
  <c r="CF7" i="34"/>
  <c r="CG7" i="34"/>
  <c r="CH7" i="34"/>
  <c r="CI7" i="34"/>
  <c r="CJ7" i="34"/>
  <c r="CK7" i="34"/>
  <c r="CL7" i="34"/>
  <c r="CM7" i="34"/>
  <c r="CN7" i="34"/>
  <c r="CO7" i="34"/>
  <c r="CP7" i="34"/>
  <c r="CQ7" i="34"/>
  <c r="CR7" i="34"/>
  <c r="CS7" i="34"/>
  <c r="CT7" i="34"/>
  <c r="CU7" i="34"/>
  <c r="CV7" i="34"/>
  <c r="CW7" i="34"/>
  <c r="CX7" i="34"/>
  <c r="CY7" i="34"/>
  <c r="CZ7" i="34"/>
  <c r="DA7" i="34"/>
  <c r="DB7" i="34"/>
  <c r="DC7" i="34"/>
  <c r="DD7" i="34"/>
  <c r="DE7" i="34"/>
  <c r="DF7" i="34"/>
  <c r="DG7" i="34"/>
  <c r="DH7" i="34"/>
  <c r="DI7" i="34"/>
  <c r="DJ7" i="34"/>
  <c r="DL7" i="34"/>
  <c r="DM7" i="34"/>
  <c r="DN7" i="34"/>
  <c r="DO7" i="34"/>
  <c r="DQ7" i="34"/>
  <c r="DR7" i="34"/>
  <c r="DS7" i="34"/>
  <c r="DT7" i="34"/>
  <c r="DV7" i="34"/>
  <c r="DW7" i="34" s="1"/>
  <c r="DY7" i="34"/>
  <c r="DZ7" i="34"/>
  <c r="EA7" i="34"/>
  <c r="EB7" i="34"/>
  <c r="ED7" i="34"/>
  <c r="EE7" i="34"/>
  <c r="EG7" i="34"/>
  <c r="EH7" i="34"/>
  <c r="EI7" i="34"/>
  <c r="EK7" i="34"/>
  <c r="EL7" i="34" s="1"/>
  <c r="EM7" i="34"/>
  <c r="EN7" i="34" s="1"/>
  <c r="EO7" i="34"/>
  <c r="EP7" i="34"/>
  <c r="EQ7" i="34"/>
  <c r="ES7" i="34"/>
  <c r="ET7" i="34"/>
  <c r="EV7" i="34"/>
  <c r="EW7" i="34"/>
  <c r="EX7" i="34"/>
  <c r="EY7" i="34"/>
  <c r="EZ7" i="34"/>
  <c r="FA7" i="34"/>
  <c r="FD7" i="34"/>
  <c r="FE7" i="34"/>
  <c r="FF7" i="34"/>
  <c r="FG7" i="34"/>
  <c r="FH7" i="34"/>
  <c r="FI7" i="34"/>
  <c r="FK7" i="34"/>
  <c r="FL7" i="34" s="1"/>
  <c r="FM7" i="34"/>
  <c r="FN7" i="34"/>
  <c r="FO7" i="34"/>
  <c r="FQ7" i="34"/>
  <c r="FR7" i="34" s="1"/>
  <c r="FT7" i="34"/>
  <c r="FU7" i="34" s="1"/>
  <c r="FV7" i="34"/>
  <c r="FW7" i="34"/>
  <c r="FY7" i="34"/>
  <c r="FZ7" i="34" s="1"/>
  <c r="GG7" i="34"/>
  <c r="GI7" i="34"/>
  <c r="GJ7" i="34"/>
  <c r="GK7" i="34"/>
  <c r="GN7" i="34"/>
  <c r="GO7" i="34"/>
  <c r="GP7" i="34"/>
  <c r="GQ7" i="34"/>
  <c r="GR7" i="34"/>
  <c r="GS7" i="34"/>
  <c r="GT7" i="34"/>
  <c r="GU7" i="34"/>
  <c r="GV7" i="34"/>
  <c r="GW7" i="34"/>
  <c r="GX7" i="34"/>
  <c r="GY7" i="34"/>
  <c r="GZ7" i="34"/>
  <c r="HA7" i="34"/>
  <c r="HB7" i="34"/>
  <c r="HC7" i="34"/>
  <c r="HD7" i="34"/>
  <c r="HE7" i="34"/>
  <c r="HF7" i="34"/>
  <c r="HG7" i="34"/>
  <c r="HH7" i="34"/>
  <c r="HI7" i="34"/>
  <c r="HJ7" i="34"/>
  <c r="HK7" i="34"/>
  <c r="HL7" i="34"/>
  <c r="HM7" i="34"/>
  <c r="HN7" i="34"/>
  <c r="HO7" i="34"/>
  <c r="HP7" i="34"/>
  <c r="HQ7" i="34"/>
  <c r="HR7" i="34"/>
  <c r="HS7" i="34"/>
  <c r="HT7" i="34"/>
  <c r="HU7" i="34"/>
  <c r="HV7" i="34"/>
  <c r="HW7" i="34"/>
  <c r="HX7" i="34"/>
  <c r="HY7" i="34"/>
  <c r="HZ7" i="34"/>
  <c r="IA7" i="34"/>
  <c r="IB7" i="34"/>
  <c r="IC7" i="34"/>
  <c r="ID7" i="34"/>
  <c r="IE7" i="34"/>
  <c r="IF7" i="34"/>
  <c r="IG7" i="34"/>
  <c r="IH7" i="34"/>
  <c r="BH6" i="34"/>
  <c r="GH6" i="34" s="1"/>
  <c r="IK6" i="34" s="1"/>
  <c r="BK6" i="34"/>
  <c r="BL6" i="34"/>
  <c r="BM6" i="34"/>
  <c r="BN6" i="34"/>
  <c r="BO6" i="34"/>
  <c r="BP6" i="34"/>
  <c r="BQ6" i="34"/>
  <c r="BR6" i="34"/>
  <c r="BS6" i="34"/>
  <c r="BT6" i="34"/>
  <c r="BU6" i="34"/>
  <c r="BV6" i="34"/>
  <c r="BW6" i="34"/>
  <c r="BX6" i="34"/>
  <c r="BY6" i="34"/>
  <c r="BZ6" i="34"/>
  <c r="CA6" i="34"/>
  <c r="CB6" i="34"/>
  <c r="CC6" i="34"/>
  <c r="CD6" i="34"/>
  <c r="CE6" i="34"/>
  <c r="CF6" i="34"/>
  <c r="CG6" i="34"/>
  <c r="CH6" i="34"/>
  <c r="CI6" i="34"/>
  <c r="CJ6" i="34"/>
  <c r="CK6" i="34"/>
  <c r="CL6" i="34"/>
  <c r="CM6" i="34"/>
  <c r="CN6" i="34"/>
  <c r="CO6" i="34"/>
  <c r="CP6" i="34"/>
  <c r="CQ6" i="34"/>
  <c r="CR6" i="34"/>
  <c r="CS6" i="34"/>
  <c r="CT6" i="34"/>
  <c r="CU6" i="34"/>
  <c r="CV6" i="34"/>
  <c r="CW6" i="34"/>
  <c r="CX6" i="34"/>
  <c r="CY6" i="34"/>
  <c r="CZ6" i="34"/>
  <c r="DA6" i="34"/>
  <c r="DB6" i="34"/>
  <c r="DC6" i="34"/>
  <c r="DD6" i="34"/>
  <c r="DE6" i="34"/>
  <c r="DF6" i="34"/>
  <c r="DG6" i="34"/>
  <c r="DH6" i="34"/>
  <c r="DI6" i="34"/>
  <c r="DJ6" i="34"/>
  <c r="DL6" i="34"/>
  <c r="DM6" i="34"/>
  <c r="DN6" i="34"/>
  <c r="DO6" i="34"/>
  <c r="DQ6" i="34"/>
  <c r="DR6" i="34"/>
  <c r="DS6" i="34"/>
  <c r="DT6" i="34"/>
  <c r="DV6" i="34"/>
  <c r="DW6" i="34" s="1"/>
  <c r="DY6" i="34"/>
  <c r="DZ6" i="34"/>
  <c r="EA6" i="34"/>
  <c r="EB6" i="34"/>
  <c r="ED6" i="34"/>
  <c r="EE6" i="34"/>
  <c r="EG6" i="34"/>
  <c r="EH6" i="34"/>
  <c r="EI6" i="34"/>
  <c r="EK6" i="34"/>
  <c r="EL6" i="34" s="1"/>
  <c r="EM6" i="34"/>
  <c r="EN6" i="34" s="1"/>
  <c r="EO6" i="34"/>
  <c r="EP6" i="34"/>
  <c r="EQ6" i="34"/>
  <c r="ES6" i="34"/>
  <c r="ET6" i="34"/>
  <c r="EV6" i="34"/>
  <c r="EW6" i="34"/>
  <c r="EX6" i="34"/>
  <c r="EY6" i="34"/>
  <c r="EZ6" i="34"/>
  <c r="FA6" i="34"/>
  <c r="FD6" i="34"/>
  <c r="FE6" i="34"/>
  <c r="FF6" i="34"/>
  <c r="FG6" i="34"/>
  <c r="FH6" i="34"/>
  <c r="FI6" i="34"/>
  <c r="FK6" i="34"/>
  <c r="FL6" i="34" s="1"/>
  <c r="FM6" i="34"/>
  <c r="FN6" i="34"/>
  <c r="FO6" i="34"/>
  <c r="FQ6" i="34"/>
  <c r="FR6" i="34" s="1"/>
  <c r="FT6" i="34"/>
  <c r="FU6" i="34" s="1"/>
  <c r="FV6" i="34"/>
  <c r="FW6" i="34"/>
  <c r="FY6" i="34"/>
  <c r="FZ6" i="34" s="1"/>
  <c r="GG6" i="34"/>
  <c r="GI6" i="34"/>
  <c r="GJ6" i="34"/>
  <c r="GK6" i="34"/>
  <c r="GN6" i="34"/>
  <c r="GO6" i="34"/>
  <c r="GP6" i="34"/>
  <c r="GQ6" i="34"/>
  <c r="GR6" i="34"/>
  <c r="GS6" i="34"/>
  <c r="GT6" i="34"/>
  <c r="GU6" i="34"/>
  <c r="GV6" i="34"/>
  <c r="GW6" i="34"/>
  <c r="GX6" i="34"/>
  <c r="GY6" i="34"/>
  <c r="GZ6" i="34"/>
  <c r="HA6" i="34"/>
  <c r="HB6" i="34"/>
  <c r="HC6" i="34"/>
  <c r="HD6" i="34"/>
  <c r="HE6" i="34"/>
  <c r="HF6" i="34"/>
  <c r="HG6" i="34"/>
  <c r="HH6" i="34"/>
  <c r="HI6" i="34"/>
  <c r="HJ6" i="34"/>
  <c r="HK6" i="34"/>
  <c r="HL6" i="34"/>
  <c r="HM6" i="34"/>
  <c r="HN6" i="34"/>
  <c r="HO6" i="34"/>
  <c r="HP6" i="34"/>
  <c r="HQ6" i="34"/>
  <c r="HR6" i="34"/>
  <c r="HS6" i="34"/>
  <c r="HT6" i="34"/>
  <c r="HU6" i="34"/>
  <c r="HV6" i="34"/>
  <c r="HW6" i="34"/>
  <c r="HX6" i="34"/>
  <c r="HY6" i="34"/>
  <c r="HZ6" i="34"/>
  <c r="IA6" i="34"/>
  <c r="IB6" i="34"/>
  <c r="IC6" i="34"/>
  <c r="ID6" i="34"/>
  <c r="IE6" i="34"/>
  <c r="IF6" i="34"/>
  <c r="IG6" i="34"/>
  <c r="IH6" i="34"/>
  <c r="BH5" i="34"/>
  <c r="GH5" i="34" s="1"/>
  <c r="IK5" i="34" s="1"/>
  <c r="BK5" i="34"/>
  <c r="BL5" i="34"/>
  <c r="BM5" i="34"/>
  <c r="BN5" i="34"/>
  <c r="BO5" i="34"/>
  <c r="BP5" i="34"/>
  <c r="BQ5" i="34"/>
  <c r="BR5" i="34"/>
  <c r="BS5" i="34"/>
  <c r="BT5" i="34"/>
  <c r="BU5" i="34"/>
  <c r="BV5" i="34"/>
  <c r="BW5" i="34"/>
  <c r="BX5" i="34"/>
  <c r="BY5" i="34"/>
  <c r="BZ5" i="34"/>
  <c r="CA5" i="34"/>
  <c r="CB5" i="34"/>
  <c r="CC5" i="34"/>
  <c r="CD5" i="34"/>
  <c r="CE5" i="34"/>
  <c r="CF5" i="34"/>
  <c r="CG5" i="34"/>
  <c r="CH5" i="34"/>
  <c r="CI5" i="34"/>
  <c r="CJ5" i="34"/>
  <c r="CK5" i="34"/>
  <c r="CL5" i="34"/>
  <c r="CM5" i="34"/>
  <c r="CN5" i="34"/>
  <c r="CO5" i="34"/>
  <c r="CP5" i="34"/>
  <c r="CQ5" i="34"/>
  <c r="CR5" i="34"/>
  <c r="CS5" i="34"/>
  <c r="CT5" i="34"/>
  <c r="CU5" i="34"/>
  <c r="CV5" i="34"/>
  <c r="CW5" i="34"/>
  <c r="CX5" i="34"/>
  <c r="CY5" i="34"/>
  <c r="CZ5" i="34"/>
  <c r="DA5" i="34"/>
  <c r="DB5" i="34"/>
  <c r="DC5" i="34"/>
  <c r="DD5" i="34"/>
  <c r="DE5" i="34"/>
  <c r="DF5" i="34"/>
  <c r="DG5" i="34"/>
  <c r="DH5" i="34"/>
  <c r="DI5" i="34"/>
  <c r="DJ5" i="34"/>
  <c r="DL5" i="34"/>
  <c r="DM5" i="34"/>
  <c r="DN5" i="34"/>
  <c r="DO5" i="34"/>
  <c r="DQ5" i="34"/>
  <c r="DR5" i="34"/>
  <c r="DS5" i="34"/>
  <c r="DT5" i="34"/>
  <c r="DV5" i="34"/>
  <c r="DW5" i="34" s="1"/>
  <c r="DY5" i="34"/>
  <c r="DZ5" i="34"/>
  <c r="EA5" i="34"/>
  <c r="EB5" i="34"/>
  <c r="ED5" i="34"/>
  <c r="EE5" i="34"/>
  <c r="EG5" i="34"/>
  <c r="EH5" i="34"/>
  <c r="EI5" i="34"/>
  <c r="EK5" i="34"/>
  <c r="EL5" i="34" s="1"/>
  <c r="EM5" i="34"/>
  <c r="EN5" i="34" s="1"/>
  <c r="EO5" i="34"/>
  <c r="EP5" i="34"/>
  <c r="EQ5" i="34"/>
  <c r="ES5" i="34"/>
  <c r="ET5" i="34"/>
  <c r="EV5" i="34"/>
  <c r="EW5" i="34"/>
  <c r="EX5" i="34"/>
  <c r="EY5" i="34"/>
  <c r="EZ5" i="34"/>
  <c r="FA5" i="34"/>
  <c r="FD5" i="34"/>
  <c r="FE5" i="34"/>
  <c r="FF5" i="34"/>
  <c r="FG5" i="34"/>
  <c r="FH5" i="34"/>
  <c r="FI5" i="34"/>
  <c r="FK5" i="34"/>
  <c r="FL5" i="34" s="1"/>
  <c r="FM5" i="34"/>
  <c r="FN5" i="34"/>
  <c r="FO5" i="34"/>
  <c r="FQ5" i="34"/>
  <c r="FR5" i="34" s="1"/>
  <c r="FT5" i="34"/>
  <c r="FU5" i="34" s="1"/>
  <c r="FV5" i="34"/>
  <c r="FW5" i="34"/>
  <c r="FY5" i="34"/>
  <c r="FZ5" i="34" s="1"/>
  <c r="GG5" i="34"/>
  <c r="GI5" i="34"/>
  <c r="GJ5" i="34"/>
  <c r="GK5" i="34"/>
  <c r="GN5" i="34"/>
  <c r="GO5" i="34"/>
  <c r="GP5" i="34"/>
  <c r="GQ5" i="34"/>
  <c r="GR5" i="34"/>
  <c r="GS5" i="34"/>
  <c r="GT5" i="34"/>
  <c r="GU5" i="34"/>
  <c r="GV5" i="34"/>
  <c r="GW5" i="34"/>
  <c r="GX5" i="34"/>
  <c r="GY5" i="34"/>
  <c r="GZ5" i="34"/>
  <c r="HA5" i="34"/>
  <c r="HB5" i="34"/>
  <c r="HC5" i="34"/>
  <c r="HD5" i="34"/>
  <c r="HE5" i="34"/>
  <c r="HF5" i="34"/>
  <c r="HG5" i="34"/>
  <c r="HH5" i="34"/>
  <c r="HI5" i="34"/>
  <c r="HJ5" i="34"/>
  <c r="HK5" i="34"/>
  <c r="HL5" i="34"/>
  <c r="HM5" i="34"/>
  <c r="HN5" i="34"/>
  <c r="HO5" i="34"/>
  <c r="HP5" i="34"/>
  <c r="HQ5" i="34"/>
  <c r="HR5" i="34"/>
  <c r="HS5" i="34"/>
  <c r="HT5" i="34"/>
  <c r="HU5" i="34"/>
  <c r="HV5" i="34"/>
  <c r="HW5" i="34"/>
  <c r="HX5" i="34"/>
  <c r="HY5" i="34"/>
  <c r="HZ5" i="34"/>
  <c r="IA5" i="34"/>
  <c r="IB5" i="34"/>
  <c r="IC5" i="34"/>
  <c r="ID5" i="34"/>
  <c r="IE5" i="34"/>
  <c r="IF5" i="34"/>
  <c r="IG5" i="34"/>
  <c r="IH5" i="34"/>
  <c r="BH4" i="34"/>
  <c r="GH4" i="34" s="1"/>
  <c r="IK4" i="34" s="1"/>
  <c r="BK4" i="34"/>
  <c r="BL4" i="34"/>
  <c r="BM4" i="34"/>
  <c r="BN4" i="34"/>
  <c r="BO4" i="34"/>
  <c r="BP4" i="34"/>
  <c r="BQ4" i="34"/>
  <c r="BR4" i="34"/>
  <c r="BS4" i="34"/>
  <c r="BT4" i="34"/>
  <c r="BU4" i="34"/>
  <c r="BV4" i="34"/>
  <c r="BW4" i="34"/>
  <c r="BX4" i="34"/>
  <c r="BY4" i="34"/>
  <c r="BZ4" i="34"/>
  <c r="CA4" i="34"/>
  <c r="CB4" i="34"/>
  <c r="CC4" i="34"/>
  <c r="CD4" i="34"/>
  <c r="CE4" i="34"/>
  <c r="CF4" i="34"/>
  <c r="CG4" i="34"/>
  <c r="CH4" i="34"/>
  <c r="CI4" i="34"/>
  <c r="CJ4" i="34"/>
  <c r="CK4" i="34"/>
  <c r="CL4" i="34"/>
  <c r="CM4" i="34"/>
  <c r="CN4" i="34"/>
  <c r="CO4" i="34"/>
  <c r="CP4" i="34"/>
  <c r="CQ4" i="34"/>
  <c r="CR4" i="34"/>
  <c r="CS4" i="34"/>
  <c r="CT4" i="34"/>
  <c r="CU4" i="34"/>
  <c r="CV4" i="34"/>
  <c r="CW4" i="34"/>
  <c r="CX4" i="34"/>
  <c r="CY4" i="34"/>
  <c r="CZ4" i="34"/>
  <c r="DA4" i="34"/>
  <c r="DB4" i="34"/>
  <c r="DC4" i="34"/>
  <c r="DD4" i="34"/>
  <c r="DE4" i="34"/>
  <c r="DF4" i="34"/>
  <c r="DG4" i="34"/>
  <c r="DH4" i="34"/>
  <c r="DI4" i="34"/>
  <c r="DJ4" i="34"/>
  <c r="DL4" i="34"/>
  <c r="DM4" i="34"/>
  <c r="DN4" i="34"/>
  <c r="DO4" i="34"/>
  <c r="DQ4" i="34"/>
  <c r="DR4" i="34"/>
  <c r="DS4" i="34"/>
  <c r="DT4" i="34"/>
  <c r="DV4" i="34"/>
  <c r="DW4" i="34" s="1"/>
  <c r="DY4" i="34"/>
  <c r="DZ4" i="34"/>
  <c r="EA4" i="34"/>
  <c r="EB4" i="34"/>
  <c r="ED4" i="34"/>
  <c r="EE4" i="34"/>
  <c r="EG4" i="34"/>
  <c r="EH4" i="34"/>
  <c r="EI4" i="34"/>
  <c r="EK4" i="34"/>
  <c r="EL4" i="34" s="1"/>
  <c r="EM4" i="34"/>
  <c r="EN4" i="34" s="1"/>
  <c r="EO4" i="34"/>
  <c r="EP4" i="34"/>
  <c r="EQ4" i="34"/>
  <c r="ES4" i="34"/>
  <c r="ET4" i="34"/>
  <c r="EV4" i="34"/>
  <c r="EW4" i="34"/>
  <c r="EX4" i="34"/>
  <c r="EY4" i="34"/>
  <c r="EZ4" i="34"/>
  <c r="FA4" i="34"/>
  <c r="FD4" i="34"/>
  <c r="FE4" i="34"/>
  <c r="FF4" i="34"/>
  <c r="FG4" i="34"/>
  <c r="FH4" i="34"/>
  <c r="FI4" i="34"/>
  <c r="FK4" i="34"/>
  <c r="FL4" i="34" s="1"/>
  <c r="FM4" i="34"/>
  <c r="FN4" i="34"/>
  <c r="FO4" i="34"/>
  <c r="FQ4" i="34"/>
  <c r="FR4" i="34" s="1"/>
  <c r="FU4" i="34"/>
  <c r="FV4" i="34"/>
  <c r="FW4" i="34"/>
  <c r="FY4" i="34"/>
  <c r="FZ4" i="34" s="1"/>
  <c r="GG4" i="34"/>
  <c r="GI4" i="34"/>
  <c r="GJ4" i="34"/>
  <c r="GK4" i="34"/>
  <c r="GN4" i="34"/>
  <c r="GO4" i="34"/>
  <c r="GP4" i="34"/>
  <c r="GQ4" i="34"/>
  <c r="GR4" i="34"/>
  <c r="GS4" i="34"/>
  <c r="GT4" i="34"/>
  <c r="GU4" i="34"/>
  <c r="GV4" i="34"/>
  <c r="GW4" i="34"/>
  <c r="GX4" i="34"/>
  <c r="GY4" i="34"/>
  <c r="GZ4" i="34"/>
  <c r="HA4" i="34"/>
  <c r="HB4" i="34"/>
  <c r="HC4" i="34"/>
  <c r="HD4" i="34"/>
  <c r="HE4" i="34"/>
  <c r="HF4" i="34"/>
  <c r="HG4" i="34"/>
  <c r="HH4" i="34"/>
  <c r="HI4" i="34"/>
  <c r="HJ4" i="34"/>
  <c r="HK4" i="34"/>
  <c r="HL4" i="34"/>
  <c r="HM4" i="34"/>
  <c r="HN4" i="34"/>
  <c r="HO4" i="34"/>
  <c r="HP4" i="34"/>
  <c r="HQ4" i="34"/>
  <c r="HR4" i="34"/>
  <c r="HS4" i="34"/>
  <c r="HT4" i="34"/>
  <c r="HU4" i="34"/>
  <c r="HV4" i="34"/>
  <c r="HW4" i="34"/>
  <c r="HX4" i="34"/>
  <c r="HY4" i="34"/>
  <c r="HZ4" i="34"/>
  <c r="IA4" i="34"/>
  <c r="IB4" i="34"/>
  <c r="IC4" i="34"/>
  <c r="ID4" i="34"/>
  <c r="IE4" i="34"/>
  <c r="IF4" i="34"/>
  <c r="IG4" i="34"/>
  <c r="IH4" i="34"/>
  <c r="I28" i="38"/>
  <c r="I17" i="38"/>
  <c r="E2" i="35"/>
  <c r="IS26" i="34" s="1"/>
  <c r="E3" i="35"/>
  <c r="IS28" i="34" s="1"/>
  <c r="E4" i="35"/>
  <c r="IS10" i="34" s="1"/>
  <c r="E5" i="35"/>
  <c r="IS8" i="34" s="1"/>
  <c r="E6" i="35"/>
  <c r="IS7" i="34" s="1"/>
  <c r="E7" i="35"/>
  <c r="E8" i="35"/>
  <c r="IS32" i="34" s="1"/>
  <c r="E9" i="35"/>
  <c r="IS16" i="34" s="1"/>
  <c r="E10" i="35"/>
  <c r="E11" i="35"/>
  <c r="E12" i="35"/>
  <c r="E13" i="35"/>
  <c r="E14" i="35"/>
  <c r="E15" i="35"/>
  <c r="E16" i="35"/>
  <c r="E17" i="35"/>
  <c r="E18" i="35"/>
  <c r="E19" i="35"/>
  <c r="E20" i="35"/>
  <c r="E21" i="35"/>
  <c r="E22" i="35"/>
  <c r="E23" i="35"/>
  <c r="E24" i="35"/>
  <c r="E25" i="35"/>
  <c r="E26" i="35"/>
  <c r="E27" i="35"/>
  <c r="E28" i="35"/>
  <c r="E29" i="35"/>
  <c r="E30" i="35"/>
  <c r="E31" i="35"/>
  <c r="E32" i="35"/>
  <c r="E33" i="35"/>
  <c r="E34" i="35"/>
  <c r="E35" i="35"/>
  <c r="E36" i="35"/>
  <c r="E37" i="35"/>
  <c r="E38" i="35"/>
  <c r="E39" i="35"/>
  <c r="E40" i="35"/>
  <c r="E41" i="35"/>
  <c r="E42" i="35"/>
  <c r="E43" i="35"/>
  <c r="E44" i="35"/>
  <c r="E45" i="35"/>
  <c r="E46" i="35"/>
  <c r="E47" i="35"/>
  <c r="E48" i="35"/>
  <c r="E49" i="35"/>
  <c r="E50" i="35"/>
  <c r="E51" i="35"/>
  <c r="E52" i="35"/>
  <c r="E53" i="35"/>
  <c r="E54" i="35"/>
  <c r="E55" i="35"/>
  <c r="E56" i="35"/>
  <c r="E57" i="35"/>
  <c r="E58" i="35"/>
  <c r="E59" i="35"/>
  <c r="E60" i="35"/>
  <c r="E61" i="35"/>
  <c r="E62" i="35"/>
  <c r="E63" i="35"/>
  <c r="E64" i="35"/>
  <c r="E65" i="35"/>
  <c r="E66" i="35"/>
  <c r="E67" i="35"/>
  <c r="E68" i="35"/>
  <c r="E69" i="35"/>
  <c r="E70" i="35"/>
  <c r="E71" i="35"/>
  <c r="E72" i="35"/>
  <c r="E73" i="35"/>
  <c r="M11" i="36"/>
  <c r="M12" i="36"/>
  <c r="K2" i="36"/>
  <c r="M10" i="36"/>
  <c r="M13" i="36"/>
  <c r="M9" i="36"/>
  <c r="IJ4" i="34" l="1"/>
  <c r="FS34" i="34"/>
  <c r="GD34" i="34" s="1"/>
  <c r="GF36" i="34"/>
  <c r="DX35" i="34"/>
  <c r="GB35" i="34" s="1"/>
  <c r="FS31" i="34"/>
  <c r="GD31" i="34" s="1"/>
  <c r="FC34" i="34"/>
  <c r="GC34" i="34" s="1"/>
  <c r="FC35" i="34"/>
  <c r="GC35" i="34" s="1"/>
  <c r="FS32" i="34"/>
  <c r="GD32" i="34" s="1"/>
  <c r="IS35" i="34"/>
  <c r="IS36" i="34"/>
  <c r="IL4" i="34"/>
  <c r="FC33" i="34"/>
  <c r="GC33" i="34" s="1"/>
  <c r="DX34" i="34"/>
  <c r="GB34" i="34" s="1"/>
  <c r="GF34" i="34" s="1"/>
  <c r="IL35" i="34"/>
  <c r="IM35" i="34" s="1"/>
  <c r="FS30" i="34"/>
  <c r="GD30" i="34" s="1"/>
  <c r="DX33" i="34"/>
  <c r="GB33" i="34" s="1"/>
  <c r="IL34" i="34"/>
  <c r="IM34" i="34" s="1"/>
  <c r="IS33" i="34"/>
  <c r="IS34" i="34"/>
  <c r="DX30" i="34"/>
  <c r="GB30" i="34" s="1"/>
  <c r="IL33" i="34"/>
  <c r="IM33" i="34" s="1"/>
  <c r="FC32" i="34"/>
  <c r="GC32" i="34" s="1"/>
  <c r="DX32" i="34"/>
  <c r="GB32" i="34" s="1"/>
  <c r="FS33" i="34"/>
  <c r="GD33" i="34" s="1"/>
  <c r="DX31" i="34"/>
  <c r="GB31" i="34" s="1"/>
  <c r="FC31" i="34"/>
  <c r="GC31" i="34" s="1"/>
  <c r="FS28" i="34"/>
  <c r="GD28" i="34" s="1"/>
  <c r="FC30" i="34"/>
  <c r="GC30" i="34" s="1"/>
  <c r="IL32" i="34"/>
  <c r="IM32" i="34" s="1"/>
  <c r="IS12" i="34"/>
  <c r="IS31" i="34"/>
  <c r="IL31" i="34"/>
  <c r="IM31" i="34" s="1"/>
  <c r="FX12" i="34"/>
  <c r="FC29" i="34"/>
  <c r="GC29" i="34" s="1"/>
  <c r="FS29" i="34"/>
  <c r="GD29" i="34" s="1"/>
  <c r="DX28" i="34"/>
  <c r="GB28" i="34" s="1"/>
  <c r="IS29" i="34"/>
  <c r="IS30" i="34"/>
  <c r="FC28" i="34"/>
  <c r="GC28" i="34" s="1"/>
  <c r="DX29" i="34"/>
  <c r="GB29" i="34" s="1"/>
  <c r="IL30" i="34"/>
  <c r="IM30" i="34" s="1"/>
  <c r="FS26" i="34"/>
  <c r="GD26" i="34" s="1"/>
  <c r="FX24" i="34"/>
  <c r="EF8" i="34"/>
  <c r="FX16" i="34"/>
  <c r="EU16" i="34"/>
  <c r="ER21" i="34"/>
  <c r="FC26" i="34"/>
  <c r="GC26" i="34" s="1"/>
  <c r="FS25" i="34"/>
  <c r="GD25" i="34" s="1"/>
  <c r="DX26" i="34"/>
  <c r="GB26" i="34" s="1"/>
  <c r="FC27" i="34"/>
  <c r="GC27" i="34" s="1"/>
  <c r="DX27" i="34"/>
  <c r="GB27" i="34" s="1"/>
  <c r="FJ24" i="34"/>
  <c r="IL27" i="34"/>
  <c r="IM27" i="34" s="1"/>
  <c r="DK6" i="34"/>
  <c r="EU8" i="34"/>
  <c r="EJ10" i="34"/>
  <c r="EJ14" i="34"/>
  <c r="EF19" i="34"/>
  <c r="FX5" i="34"/>
  <c r="EU24" i="34"/>
  <c r="FC25" i="34"/>
  <c r="GC25" i="34" s="1"/>
  <c r="IS6" i="34"/>
  <c r="IS27" i="34"/>
  <c r="FB24" i="34"/>
  <c r="IL25" i="34"/>
  <c r="IM25" i="34" s="1"/>
  <c r="FJ22" i="34"/>
  <c r="FP23" i="34"/>
  <c r="EJ23" i="34"/>
  <c r="DX25" i="34"/>
  <c r="GB25" i="34" s="1"/>
  <c r="EF15" i="34"/>
  <c r="DK24" i="34"/>
  <c r="ER6" i="34"/>
  <c r="FP7" i="34"/>
  <c r="DK8" i="34"/>
  <c r="ER9" i="34"/>
  <c r="FP10" i="34"/>
  <c r="ER11" i="34"/>
  <c r="FP12" i="34"/>
  <c r="ER13" i="34"/>
  <c r="FP14" i="34"/>
  <c r="ER15" i="34"/>
  <c r="EJ16" i="34"/>
  <c r="FP17" i="34"/>
  <c r="FJ18" i="34"/>
  <c r="ER18" i="34"/>
  <c r="FX19" i="34"/>
  <c r="EU19" i="34"/>
  <c r="EJ19" i="34"/>
  <c r="FX21" i="34"/>
  <c r="DP21" i="34"/>
  <c r="FP22" i="34"/>
  <c r="FX23" i="34"/>
  <c r="GA23" i="34" s="1"/>
  <c r="GE23" i="34" s="1"/>
  <c r="EU23" i="34"/>
  <c r="EJ24" i="34"/>
  <c r="IS4" i="34"/>
  <c r="IS25" i="34"/>
  <c r="EU20" i="34"/>
  <c r="EJ20" i="34"/>
  <c r="FP21" i="34"/>
  <c r="II24" i="34"/>
  <c r="FP24" i="34"/>
  <c r="ER24" i="34"/>
  <c r="EC24" i="34"/>
  <c r="DP24" i="34"/>
  <c r="EF11" i="34"/>
  <c r="EU12" i="34"/>
  <c r="FX17" i="34"/>
  <c r="EU17" i="34"/>
  <c r="DK18" i="34"/>
  <c r="ER19" i="34"/>
  <c r="EF21" i="34"/>
  <c r="EC21" i="34"/>
  <c r="EU22" i="34"/>
  <c r="EF23" i="34"/>
  <c r="DK23" i="34"/>
  <c r="EF24" i="34"/>
  <c r="DU24" i="34"/>
  <c r="FX4" i="34"/>
  <c r="GA4" i="34" s="1"/>
  <c r="GE4" i="34" s="1"/>
  <c r="EU4" i="34"/>
  <c r="EJ4" i="34"/>
  <c r="EJ18" i="34"/>
  <c r="IL24" i="34"/>
  <c r="IM24" i="34" s="1"/>
  <c r="FP4" i="34"/>
  <c r="EC4" i="34"/>
  <c r="DU4" i="34"/>
  <c r="GA24" i="34"/>
  <c r="GE24" i="34" s="1"/>
  <c r="FB21" i="34"/>
  <c r="EJ22" i="34"/>
  <c r="EF5" i="34"/>
  <c r="DK5" i="34"/>
  <c r="FX6" i="34"/>
  <c r="FJ6" i="34"/>
  <c r="EU6" i="34"/>
  <c r="EJ6" i="34"/>
  <c r="FB7" i="34"/>
  <c r="EF7" i="34"/>
  <c r="EC7" i="34"/>
  <c r="DK7" i="34"/>
  <c r="ER8" i="34"/>
  <c r="EC8" i="34"/>
  <c r="DU8" i="34"/>
  <c r="DP8" i="34"/>
  <c r="FX9" i="34"/>
  <c r="FP9" i="34"/>
  <c r="FJ9" i="34"/>
  <c r="EU9" i="34"/>
  <c r="EJ9" i="34"/>
  <c r="DP9" i="34"/>
  <c r="FJ10" i="34"/>
  <c r="FB10" i="34"/>
  <c r="EF10" i="34"/>
  <c r="EC10" i="34"/>
  <c r="DK10" i="34"/>
  <c r="FX11" i="34"/>
  <c r="FB11" i="34"/>
  <c r="EU11" i="34"/>
  <c r="EJ11" i="34"/>
  <c r="FB12" i="34"/>
  <c r="EF12" i="34"/>
  <c r="EC12" i="34"/>
  <c r="DU12" i="34"/>
  <c r="DK12" i="34"/>
  <c r="FX13" i="34"/>
  <c r="FP13" i="34"/>
  <c r="FJ13" i="34"/>
  <c r="EU13" i="34"/>
  <c r="EJ13" i="34"/>
  <c r="DP13" i="34"/>
  <c r="FJ14" i="34"/>
  <c r="EF14" i="34"/>
  <c r="EC14" i="34"/>
  <c r="DK14" i="34"/>
  <c r="FX15" i="34"/>
  <c r="GA15" i="34" s="1"/>
  <c r="GE15" i="34" s="1"/>
  <c r="FB15" i="34"/>
  <c r="EU15" i="34"/>
  <c r="EJ15" i="34"/>
  <c r="FP16" i="34"/>
  <c r="EC16" i="34"/>
  <c r="DU16" i="34"/>
  <c r="ER17" i="34"/>
  <c r="EF17" i="34"/>
  <c r="EC17" i="34"/>
  <c r="DP17" i="34"/>
  <c r="DK17" i="34"/>
  <c r="FX18" i="34"/>
  <c r="GA18" i="34" s="1"/>
  <c r="GE18" i="34" s="1"/>
  <c r="EU18" i="34"/>
  <c r="FP19" i="34"/>
  <c r="FB19" i="34"/>
  <c r="EF20" i="34"/>
  <c r="EC20" i="34"/>
  <c r="DU20" i="34"/>
  <c r="DK20" i="34"/>
  <c r="DU21" i="34"/>
  <c r="FX22" i="34"/>
  <c r="GA22" i="34" s="1"/>
  <c r="GE22" i="34" s="1"/>
  <c r="FB23" i="34"/>
  <c r="EC23" i="34"/>
  <c r="FP5" i="34"/>
  <c r="ER5" i="34"/>
  <c r="DU5" i="34"/>
  <c r="DP5" i="34"/>
  <c r="EF18" i="34"/>
  <c r="FP20" i="34"/>
  <c r="DK21" i="34"/>
  <c r="ER23" i="34"/>
  <c r="EF6" i="34"/>
  <c r="FX7" i="34"/>
  <c r="EU7" i="34"/>
  <c r="EF9" i="34"/>
  <c r="FX10" i="34"/>
  <c r="GA10" i="34" s="1"/>
  <c r="GE10" i="34" s="1"/>
  <c r="EU10" i="34"/>
  <c r="EF13" i="34"/>
  <c r="FX14" i="34"/>
  <c r="EU14" i="34"/>
  <c r="EC18" i="34"/>
  <c r="DP19" i="34"/>
  <c r="FJ20" i="34"/>
  <c r="DK22" i="34"/>
  <c r="FJ23" i="34"/>
  <c r="DU23" i="34"/>
  <c r="DP23" i="34"/>
  <c r="IS24" i="34"/>
  <c r="IS23" i="34"/>
  <c r="FJ11" i="34"/>
  <c r="ER4" i="34"/>
  <c r="DP4" i="34"/>
  <c r="FB6" i="34"/>
  <c r="EC6" i="34"/>
  <c r="FJ7" i="34"/>
  <c r="EJ7" i="34"/>
  <c r="FP8" i="34"/>
  <c r="FB9" i="34"/>
  <c r="EC9" i="34"/>
  <c r="DK9" i="34"/>
  <c r="DK11" i="34"/>
  <c r="FJ12" i="34"/>
  <c r="EJ12" i="34"/>
  <c r="FB13" i="34"/>
  <c r="EC13" i="34"/>
  <c r="DK15" i="34"/>
  <c r="FJ4" i="34"/>
  <c r="IM4" i="34"/>
  <c r="FB5" i="34"/>
  <c r="EC5" i="34"/>
  <c r="DU6" i="34"/>
  <c r="DP6" i="34"/>
  <c r="FB8" i="34"/>
  <c r="DU9" i="34"/>
  <c r="DU11" i="34"/>
  <c r="DP11" i="34"/>
  <c r="DU13" i="34"/>
  <c r="DP15" i="34"/>
  <c r="FJ16" i="34"/>
  <c r="DU18" i="34"/>
  <c r="DP18" i="34"/>
  <c r="FJ19" i="34"/>
  <c r="FB22" i="34"/>
  <c r="EF22" i="34"/>
  <c r="EC22" i="34"/>
  <c r="II23" i="34"/>
  <c r="FB14" i="34"/>
  <c r="FJ15" i="34"/>
  <c r="FB17" i="34"/>
  <c r="FB20" i="34"/>
  <c r="ER22" i="34"/>
  <c r="DU22" i="34"/>
  <c r="DP22" i="34"/>
  <c r="IL23" i="34"/>
  <c r="IM23" i="34" s="1"/>
  <c r="FB4" i="34"/>
  <c r="EF4" i="34"/>
  <c r="DK4" i="34"/>
  <c r="FJ5" i="34"/>
  <c r="EU5" i="34"/>
  <c r="EJ5" i="34"/>
  <c r="FP6" i="34"/>
  <c r="ER7" i="34"/>
  <c r="DU7" i="34"/>
  <c r="DP7" i="34"/>
  <c r="FX8" i="34"/>
  <c r="GA8" i="34" s="1"/>
  <c r="GE8" i="34" s="1"/>
  <c r="FJ8" i="34"/>
  <c r="EJ8" i="34"/>
  <c r="ER10" i="34"/>
  <c r="DU10" i="34"/>
  <c r="DP10" i="34"/>
  <c r="FP11" i="34"/>
  <c r="EC11" i="34"/>
  <c r="ER12" i="34"/>
  <c r="DP12" i="34"/>
  <c r="DK13" i="34"/>
  <c r="ER14" i="34"/>
  <c r="DU14" i="34"/>
  <c r="DP14" i="34"/>
  <c r="FP15" i="34"/>
  <c r="EC15" i="34"/>
  <c r="DU15" i="34"/>
  <c r="FB16" i="34"/>
  <c r="ER16" i="34"/>
  <c r="EF16" i="34"/>
  <c r="DP16" i="34"/>
  <c r="DK16" i="34"/>
  <c r="FJ17" i="34"/>
  <c r="EJ17" i="34"/>
  <c r="DU17" i="34"/>
  <c r="FP18" i="34"/>
  <c r="FB18" i="34"/>
  <c r="EC19" i="34"/>
  <c r="DU19" i="34"/>
  <c r="DK19" i="34"/>
  <c r="FX20" i="34"/>
  <c r="GA20" i="34" s="1"/>
  <c r="GE20" i="34" s="1"/>
  <c r="ER20" i="34"/>
  <c r="DP20" i="34"/>
  <c r="EU21" i="34"/>
  <c r="EJ21" i="34"/>
  <c r="II4" i="34"/>
  <c r="FJ21" i="34"/>
  <c r="II22" i="34"/>
  <c r="IM10" i="34"/>
  <c r="IM14" i="34"/>
  <c r="IM17" i="34"/>
  <c r="IL6" i="34"/>
  <c r="IM6" i="34" s="1"/>
  <c r="IL11" i="34"/>
  <c r="IM11" i="34" s="1"/>
  <c r="IL12" i="34"/>
  <c r="IM12" i="34" s="1"/>
  <c r="IL19" i="34"/>
  <c r="IM19" i="34" s="1"/>
  <c r="IL9" i="34"/>
  <c r="IM9" i="34" s="1"/>
  <c r="IL16" i="34"/>
  <c r="IM16" i="34" s="1"/>
  <c r="IL22" i="34"/>
  <c r="IM22" i="34" s="1"/>
  <c r="IL8" i="34"/>
  <c r="IM8" i="34" s="1"/>
  <c r="IL15" i="34"/>
  <c r="IM15" i="34" s="1"/>
  <c r="IL20" i="34"/>
  <c r="IM20" i="34" s="1"/>
  <c r="IL7" i="34"/>
  <c r="IM7" i="34" s="1"/>
  <c r="IL13" i="34"/>
  <c r="IM13" i="34" s="1"/>
  <c r="IL18" i="34"/>
  <c r="IM18" i="34" s="1"/>
  <c r="IL21" i="34"/>
  <c r="IM21" i="34" s="1"/>
  <c r="IL5" i="34"/>
  <c r="IM5" i="34" s="1"/>
  <c r="IS22" i="34"/>
  <c r="II21" i="34"/>
  <c r="GA21" i="34"/>
  <c r="GE21" i="34" s="1"/>
  <c r="IS21" i="34"/>
  <c r="II20" i="34"/>
  <c r="II19" i="34"/>
  <c r="IS20" i="34"/>
  <c r="GA19" i="34"/>
  <c r="GE19" i="34" s="1"/>
  <c r="IS19" i="34"/>
  <c r="II18" i="34"/>
  <c r="IS18" i="34"/>
  <c r="II17" i="34"/>
  <c r="GA17" i="34"/>
  <c r="GE17" i="34" s="1"/>
  <c r="IS17" i="34"/>
  <c r="II16" i="34"/>
  <c r="GA16" i="34"/>
  <c r="GE16" i="34" s="1"/>
  <c r="II15" i="34"/>
  <c r="IS15" i="34"/>
  <c r="GA14" i="34"/>
  <c r="GE14" i="34" s="1"/>
  <c r="II14" i="34"/>
  <c r="IS14" i="34"/>
  <c r="GA13" i="34"/>
  <c r="GE13" i="34" s="1"/>
  <c r="II13" i="34"/>
  <c r="IS13" i="34"/>
  <c r="GA12" i="34"/>
  <c r="GE12" i="34" s="1"/>
  <c r="II12" i="34"/>
  <c r="GA11" i="34"/>
  <c r="GE11" i="34" s="1"/>
  <c r="II11" i="34"/>
  <c r="IS11" i="34"/>
  <c r="II10" i="34"/>
  <c r="GA9" i="34"/>
  <c r="GE9" i="34" s="1"/>
  <c r="II9" i="34"/>
  <c r="II8" i="34"/>
  <c r="IS9" i="34"/>
  <c r="II7" i="34"/>
  <c r="GA7" i="34"/>
  <c r="GE7" i="34" s="1"/>
  <c r="II6" i="34"/>
  <c r="GA6" i="34"/>
  <c r="GE6" i="34" s="1"/>
  <c r="IS5" i="34"/>
  <c r="II5" i="34"/>
  <c r="GA5" i="34"/>
  <c r="GE5" i="34" s="1"/>
  <c r="E28" i="38"/>
  <c r="GF35" i="34" l="1"/>
  <c r="GF32" i="34"/>
  <c r="GF33" i="34"/>
  <c r="GF30" i="34"/>
  <c r="GF31" i="34"/>
  <c r="GF29" i="34"/>
  <c r="GF28" i="34"/>
  <c r="FS24" i="34"/>
  <c r="GD24" i="34" s="1"/>
  <c r="GF26" i="34"/>
  <c r="FS22" i="34"/>
  <c r="GD22" i="34" s="1"/>
  <c r="GF27" i="34"/>
  <c r="GF25" i="34"/>
  <c r="FS23" i="34"/>
  <c r="GD23" i="34" s="1"/>
  <c r="FC24" i="34"/>
  <c r="GC24" i="34" s="1"/>
  <c r="DX24" i="34"/>
  <c r="GB24" i="34" s="1"/>
  <c r="DX21" i="34"/>
  <c r="GB21" i="34" s="1"/>
  <c r="FS19" i="34"/>
  <c r="GD19" i="34" s="1"/>
  <c r="FS4" i="34"/>
  <c r="GD4" i="34" s="1"/>
  <c r="DX23" i="34"/>
  <c r="GB23" i="34" s="1"/>
  <c r="FS20" i="34"/>
  <c r="GD20" i="34" s="1"/>
  <c r="FC23" i="34"/>
  <c r="GC23" i="34" s="1"/>
  <c r="DX20" i="34"/>
  <c r="GB20" i="34" s="1"/>
  <c r="FC22" i="34"/>
  <c r="GC22" i="34" s="1"/>
  <c r="FC21" i="34"/>
  <c r="GC21" i="34" s="1"/>
  <c r="FS9" i="34"/>
  <c r="GD9" i="34" s="1"/>
  <c r="FC4" i="34"/>
  <c r="GC4" i="34" s="1"/>
  <c r="DX4" i="34"/>
  <c r="GB4" i="34" s="1"/>
  <c r="DX22" i="34"/>
  <c r="GB22" i="34" s="1"/>
  <c r="FS21" i="34"/>
  <c r="GD21" i="34" s="1"/>
  <c r="FS11" i="34"/>
  <c r="GD11" i="34" s="1"/>
  <c r="FC20" i="34"/>
  <c r="GC20" i="34" s="1"/>
  <c r="DX18" i="34"/>
  <c r="GB18" i="34" s="1"/>
  <c r="FC18" i="34"/>
  <c r="GC18" i="34" s="1"/>
  <c r="FC19" i="34"/>
  <c r="GC19" i="34" s="1"/>
  <c r="FC17" i="34"/>
  <c r="GC17" i="34" s="1"/>
  <c r="FS17" i="34"/>
  <c r="GD17" i="34" s="1"/>
  <c r="DX19" i="34"/>
  <c r="GB19" i="34" s="1"/>
  <c r="DX17" i="34"/>
  <c r="GB17" i="34" s="1"/>
  <c r="DX15" i="34"/>
  <c r="GB15" i="34" s="1"/>
  <c r="DX16" i="34"/>
  <c r="GB16" i="34" s="1"/>
  <c r="FS15" i="34"/>
  <c r="GD15" i="34" s="1"/>
  <c r="FS18" i="34"/>
  <c r="GD18" i="34" s="1"/>
  <c r="DX11" i="34"/>
  <c r="GB11" i="34" s="1"/>
  <c r="FC16" i="34"/>
  <c r="GC16" i="34" s="1"/>
  <c r="FS16" i="34"/>
  <c r="GD16" i="34" s="1"/>
  <c r="DX12" i="34"/>
  <c r="GB12" i="34" s="1"/>
  <c r="FS12" i="34"/>
  <c r="GD12" i="34" s="1"/>
  <c r="FC15" i="34"/>
  <c r="GC15" i="34" s="1"/>
  <c r="DX14" i="34"/>
  <c r="GB14" i="34" s="1"/>
  <c r="FC14" i="34"/>
  <c r="GC14" i="34" s="1"/>
  <c r="FC13" i="34"/>
  <c r="GC13" i="34" s="1"/>
  <c r="DX13" i="34"/>
  <c r="GB13" i="34" s="1"/>
  <c r="FS13" i="34"/>
  <c r="GD13" i="34" s="1"/>
  <c r="FS14" i="34"/>
  <c r="GD14" i="34" s="1"/>
  <c r="DX10" i="34"/>
  <c r="GB10" i="34" s="1"/>
  <c r="FC12" i="34"/>
  <c r="GC12" i="34" s="1"/>
  <c r="DX9" i="34"/>
  <c r="GB9" i="34" s="1"/>
  <c r="FC11" i="34"/>
  <c r="GC11" i="34" s="1"/>
  <c r="FS10" i="34"/>
  <c r="GD10" i="34" s="1"/>
  <c r="DX8" i="34"/>
  <c r="GB8" i="34" s="1"/>
  <c r="FS8" i="34"/>
  <c r="GD8" i="34" s="1"/>
  <c r="FC8" i="34"/>
  <c r="GC8" i="34" s="1"/>
  <c r="FC9" i="34"/>
  <c r="GC9" i="34" s="1"/>
  <c r="FC10" i="34"/>
  <c r="GC10" i="34" s="1"/>
  <c r="FS6" i="34"/>
  <c r="GD6" i="34" s="1"/>
  <c r="FS7" i="34"/>
  <c r="GD7" i="34" s="1"/>
  <c r="DX6" i="34"/>
  <c r="GB6" i="34" s="1"/>
  <c r="FC7" i="34"/>
  <c r="GC7" i="34" s="1"/>
  <c r="DX7" i="34"/>
  <c r="GB7" i="34" s="1"/>
  <c r="DX5" i="34"/>
  <c r="GB5" i="34" s="1"/>
  <c r="FC6" i="34"/>
  <c r="GC6" i="34" s="1"/>
  <c r="FS5" i="34"/>
  <c r="GD5" i="34" s="1"/>
  <c r="FC5" i="34"/>
  <c r="GC5" i="34" s="1"/>
  <c r="B13" i="38"/>
  <c r="E29" i="38"/>
  <c r="GF4" i="34" l="1"/>
  <c r="GF23" i="34"/>
  <c r="GF24" i="34"/>
  <c r="GF20" i="34"/>
  <c r="GF22" i="34"/>
  <c r="GF7" i="34"/>
  <c r="GF21" i="34"/>
  <c r="GF18" i="34"/>
  <c r="GF17" i="34"/>
  <c r="GF16" i="34"/>
  <c r="GF19" i="34"/>
  <c r="GF15" i="34"/>
  <c r="GF5" i="34"/>
  <c r="GF12" i="34"/>
  <c r="GF13" i="34"/>
  <c r="GF9" i="34"/>
  <c r="GF11" i="34"/>
  <c r="GF14" i="34"/>
  <c r="GF8" i="34"/>
  <c r="GF10" i="34"/>
  <c r="GF6" i="34"/>
  <c r="K5" i="36"/>
  <c r="K6" i="36" s="1"/>
  <c r="E62" i="38" l="1"/>
  <c r="F62" i="38" s="1"/>
  <c r="H62" i="38" s="1"/>
  <c r="G10" i="38" s="1"/>
  <c r="E51" i="38"/>
  <c r="H51" i="38" s="1"/>
  <c r="G9" i="38" s="1"/>
  <c r="F29" i="38"/>
  <c r="I27" i="38"/>
  <c r="I26" i="38"/>
  <c r="I25" i="38"/>
  <c r="I24" i="38"/>
  <c r="N23" i="38"/>
  <c r="I23" i="38"/>
  <c r="I22" i="38"/>
  <c r="N21" i="38"/>
  <c r="I21" i="38"/>
  <c r="I20" i="38"/>
  <c r="I19" i="38"/>
  <c r="I18" i="38"/>
  <c r="E17" i="38" l="1"/>
  <c r="H29" i="38"/>
  <c r="E24" i="38"/>
  <c r="F51" i="38"/>
  <c r="E20" i="38"/>
  <c r="M27" i="29"/>
  <c r="M28" i="29"/>
  <c r="M29" i="29"/>
  <c r="M30" i="29"/>
  <c r="M31" i="29"/>
  <c r="M32" i="29"/>
  <c r="M33" i="29"/>
  <c r="M34" i="29"/>
  <c r="M35" i="29"/>
  <c r="M36" i="29"/>
  <c r="M37" i="29"/>
  <c r="M38" i="29"/>
  <c r="M39" i="29"/>
  <c r="M40" i="29"/>
  <c r="M41" i="29"/>
  <c r="M42" i="29"/>
  <c r="M43" i="29"/>
  <c r="M44" i="29"/>
  <c r="M45" i="29"/>
  <c r="M46" i="29"/>
  <c r="M47" i="29"/>
  <c r="M48" i="29"/>
  <c r="M49" i="29"/>
  <c r="M50" i="29"/>
  <c r="M51" i="29"/>
  <c r="M52" i="29"/>
  <c r="M53" i="29"/>
  <c r="M54" i="29"/>
  <c r="M55" i="29"/>
  <c r="M56" i="29"/>
  <c r="M57" i="29"/>
  <c r="M58" i="29"/>
  <c r="M59" i="29"/>
  <c r="M60" i="29"/>
  <c r="M61" i="29"/>
  <c r="M62" i="29"/>
  <c r="M63" i="29"/>
  <c r="M64" i="29"/>
  <c r="M65" i="29"/>
  <c r="M66" i="29"/>
  <c r="M67" i="29"/>
  <c r="M68" i="29"/>
  <c r="M69" i="29"/>
  <c r="M70" i="29"/>
  <c r="M71" i="29"/>
  <c r="M72" i="29"/>
  <c r="M73" i="29"/>
  <c r="M74" i="29"/>
  <c r="M75" i="29"/>
  <c r="M76" i="29"/>
  <c r="M77" i="29"/>
  <c r="M78" i="29"/>
  <c r="M79" i="29"/>
  <c r="M80" i="29"/>
  <c r="M81" i="29"/>
  <c r="M82" i="29"/>
  <c r="M83" i="29"/>
  <c r="M84" i="29"/>
  <c r="M85" i="29"/>
  <c r="M86" i="29"/>
  <c r="M87" i="29"/>
  <c r="M88" i="29"/>
  <c r="M89" i="29"/>
  <c r="M90" i="29"/>
  <c r="M91" i="29"/>
  <c r="M92" i="29"/>
  <c r="M93" i="29"/>
  <c r="M94" i="29"/>
  <c r="M95" i="29"/>
  <c r="M96" i="29"/>
  <c r="M97" i="29"/>
  <c r="M98" i="29"/>
  <c r="M99" i="29"/>
  <c r="M100" i="29"/>
  <c r="M101" i="29"/>
  <c r="M102" i="29"/>
  <c r="M103" i="29"/>
  <c r="M104" i="29"/>
  <c r="M105" i="29"/>
  <c r="M106" i="29"/>
  <c r="M107" i="29"/>
  <c r="M108" i="29"/>
  <c r="M109" i="29"/>
  <c r="M110" i="29"/>
  <c r="M111" i="29"/>
  <c r="M112" i="29"/>
  <c r="M113" i="29"/>
  <c r="M114" i="29"/>
  <c r="M115" i="29"/>
  <c r="M116" i="29"/>
  <c r="M117" i="29"/>
  <c r="M118" i="29"/>
  <c r="M119" i="29"/>
  <c r="M120" i="29"/>
  <c r="M121" i="29"/>
  <c r="M122" i="29"/>
  <c r="M123" i="29"/>
  <c r="M124" i="29"/>
  <c r="M125" i="29"/>
  <c r="M126" i="29"/>
  <c r="M127" i="29"/>
  <c r="M128" i="29"/>
  <c r="M129" i="29"/>
  <c r="M130" i="29"/>
  <c r="M131" i="29"/>
  <c r="M132" i="29"/>
  <c r="M133" i="29"/>
  <c r="M134" i="29"/>
  <c r="M135" i="29"/>
  <c r="M136" i="29"/>
  <c r="M137" i="29"/>
  <c r="M138" i="29"/>
  <c r="M139" i="29"/>
  <c r="M140" i="29"/>
  <c r="M141" i="29"/>
  <c r="M142" i="29"/>
  <c r="M143" i="29"/>
  <c r="M144" i="29"/>
  <c r="M145" i="29"/>
  <c r="M146" i="29"/>
  <c r="M147" i="29"/>
  <c r="M148" i="29"/>
  <c r="M149" i="29"/>
  <c r="M150" i="29"/>
  <c r="M151" i="29"/>
  <c r="M152" i="29"/>
  <c r="M153" i="29"/>
  <c r="M154" i="29"/>
  <c r="M155" i="29"/>
  <c r="M156" i="29"/>
  <c r="M157" i="29"/>
  <c r="M158" i="29"/>
  <c r="M159" i="29"/>
  <c r="M160" i="29"/>
  <c r="M161" i="29"/>
  <c r="M162" i="29"/>
  <c r="M163" i="29"/>
  <c r="M164" i="29"/>
  <c r="M165" i="29"/>
  <c r="M166" i="29"/>
  <c r="M167" i="29"/>
  <c r="M168" i="29"/>
  <c r="M169" i="29"/>
  <c r="M170" i="29"/>
  <c r="M171" i="29"/>
  <c r="M172" i="29"/>
  <c r="M173" i="29"/>
  <c r="M174" i="29"/>
  <c r="M175" i="29"/>
  <c r="M176" i="29"/>
  <c r="M177" i="29"/>
  <c r="M178" i="29"/>
  <c r="M179" i="29"/>
  <c r="M180" i="29"/>
  <c r="M181" i="29"/>
  <c r="M182" i="29"/>
  <c r="M183" i="29"/>
  <c r="M184" i="29"/>
  <c r="M185" i="29"/>
  <c r="M186" i="29"/>
  <c r="M187" i="29"/>
  <c r="M188" i="29"/>
  <c r="M189" i="29"/>
  <c r="M190" i="29"/>
  <c r="M191" i="29"/>
  <c r="M192" i="29"/>
  <c r="M193" i="29"/>
  <c r="M194" i="29"/>
  <c r="M195" i="29"/>
  <c r="M196" i="29"/>
  <c r="M197" i="29"/>
  <c r="M198" i="29"/>
  <c r="M199" i="29"/>
  <c r="M200" i="29"/>
  <c r="M201" i="29"/>
  <c r="M202" i="29"/>
  <c r="M203" i="29"/>
  <c r="M204" i="29"/>
  <c r="M205" i="29"/>
  <c r="M206" i="29"/>
  <c r="M207" i="29"/>
  <c r="M208" i="29"/>
  <c r="M209" i="29"/>
  <c r="M210" i="29"/>
  <c r="M211" i="29"/>
  <c r="M212" i="29"/>
  <c r="M213" i="29"/>
  <c r="M214" i="29"/>
  <c r="M215" i="29"/>
  <c r="M216" i="29"/>
  <c r="M217" i="29"/>
  <c r="M218" i="29"/>
  <c r="M219" i="29"/>
  <c r="M220" i="29"/>
  <c r="M221" i="29"/>
  <c r="M222" i="29"/>
  <c r="M223" i="29"/>
  <c r="M224" i="29"/>
  <c r="M225" i="29"/>
  <c r="M226" i="29"/>
  <c r="M227" i="29"/>
  <c r="M228" i="29"/>
  <c r="M229" i="29"/>
  <c r="M230" i="29"/>
  <c r="M231" i="29"/>
  <c r="M232" i="29"/>
  <c r="M233" i="29"/>
  <c r="M234" i="29"/>
  <c r="M235" i="29"/>
  <c r="M236" i="29"/>
  <c r="M237" i="29"/>
  <c r="M238" i="29"/>
  <c r="M239" i="29"/>
  <c r="M240" i="29"/>
  <c r="M241" i="29"/>
  <c r="M242" i="29"/>
  <c r="M243" i="29"/>
  <c r="M244" i="29"/>
  <c r="M245" i="29"/>
  <c r="M246" i="29"/>
  <c r="M247" i="29"/>
  <c r="M248" i="29"/>
  <c r="M249" i="29"/>
  <c r="M250" i="29"/>
  <c r="M251" i="29"/>
  <c r="M252" i="29"/>
  <c r="M253" i="29"/>
  <c r="M254" i="29"/>
  <c r="M255" i="29"/>
  <c r="M256" i="29"/>
  <c r="M257" i="29"/>
  <c r="M258" i="29"/>
  <c r="M259" i="29"/>
  <c r="M260" i="29"/>
  <c r="M261" i="29"/>
  <c r="M262" i="29"/>
  <c r="M263" i="29"/>
  <c r="M264" i="29"/>
  <c r="M265" i="29"/>
  <c r="M266" i="29"/>
  <c r="M267" i="29"/>
  <c r="M268" i="29"/>
  <c r="M269" i="29"/>
  <c r="M270" i="29"/>
  <c r="M271" i="29"/>
  <c r="M272" i="29"/>
  <c r="M273" i="29"/>
  <c r="M274" i="29"/>
  <c r="M275" i="29"/>
  <c r="M276" i="29"/>
  <c r="M277" i="29"/>
  <c r="M278" i="29"/>
  <c r="M279" i="29"/>
  <c r="M280" i="29"/>
  <c r="M281" i="29"/>
  <c r="M282" i="29"/>
  <c r="M283" i="29"/>
  <c r="M284" i="29"/>
  <c r="M285" i="29"/>
  <c r="M286" i="29"/>
  <c r="M287" i="29"/>
  <c r="M288" i="29"/>
  <c r="M289" i="29"/>
  <c r="M290" i="29"/>
  <c r="M291" i="29"/>
  <c r="M292" i="29"/>
  <c r="M293" i="29"/>
  <c r="M294" i="29"/>
  <c r="M295" i="29"/>
  <c r="M296" i="29"/>
  <c r="M297" i="29"/>
  <c r="M298" i="29"/>
  <c r="M299" i="29"/>
  <c r="M300" i="29"/>
  <c r="M301" i="29"/>
  <c r="M302" i="29"/>
  <c r="M303" i="29"/>
  <c r="M304" i="29"/>
  <c r="M305" i="29"/>
  <c r="M306" i="29"/>
  <c r="M307" i="29"/>
  <c r="M308" i="29"/>
  <c r="M309" i="29"/>
  <c r="M310" i="29"/>
  <c r="M311" i="29"/>
  <c r="M312" i="29"/>
  <c r="M313" i="29"/>
  <c r="M314" i="29"/>
  <c r="M315" i="29"/>
  <c r="M316" i="29"/>
  <c r="M317" i="29"/>
  <c r="M318" i="29"/>
  <c r="M319" i="29"/>
  <c r="M320" i="29"/>
  <c r="M321" i="29"/>
  <c r="M322" i="29"/>
  <c r="M323" i="29"/>
  <c r="M324" i="29"/>
  <c r="M325" i="29"/>
  <c r="M326" i="29"/>
  <c r="M327" i="29"/>
  <c r="M328" i="29"/>
  <c r="M329" i="29"/>
  <c r="M330" i="29"/>
  <c r="M331" i="29"/>
  <c r="M332" i="29"/>
  <c r="M333" i="29"/>
  <c r="M334" i="29"/>
  <c r="M335" i="29"/>
  <c r="M336" i="29"/>
  <c r="M337" i="29"/>
  <c r="M338" i="29"/>
  <c r="M339" i="29"/>
  <c r="M340" i="29"/>
  <c r="M341" i="29"/>
  <c r="M342" i="29"/>
  <c r="M343" i="29"/>
  <c r="M344" i="29"/>
  <c r="M345" i="29"/>
  <c r="M346" i="29"/>
  <c r="M347" i="29"/>
  <c r="M348" i="29"/>
  <c r="M349" i="29"/>
  <c r="M350" i="29"/>
  <c r="M351" i="29"/>
  <c r="M352" i="29"/>
  <c r="M353" i="29"/>
  <c r="M354" i="29"/>
  <c r="M355" i="29"/>
  <c r="M356" i="29"/>
  <c r="M357" i="29"/>
  <c r="M358" i="29"/>
  <c r="M359" i="29"/>
  <c r="M360" i="29"/>
  <c r="M361" i="29"/>
  <c r="M362" i="29"/>
  <c r="M363" i="29"/>
  <c r="M364" i="29"/>
  <c r="M365" i="29"/>
  <c r="M366" i="29"/>
  <c r="M367" i="29"/>
  <c r="M368" i="29"/>
  <c r="M369" i="29"/>
  <c r="M370" i="29"/>
  <c r="M371" i="29"/>
  <c r="M372" i="29"/>
  <c r="M373" i="29"/>
  <c r="M374" i="29"/>
  <c r="M375" i="29"/>
  <c r="M376" i="29"/>
  <c r="M377" i="29"/>
  <c r="M378" i="29"/>
  <c r="M379" i="29"/>
  <c r="M380" i="29"/>
  <c r="M381" i="29"/>
  <c r="M382" i="29"/>
  <c r="M383" i="29"/>
  <c r="M384" i="29"/>
  <c r="M385" i="29"/>
  <c r="M386" i="29"/>
  <c r="M387" i="29"/>
  <c r="M388" i="29"/>
  <c r="M389" i="29"/>
  <c r="M390" i="29"/>
  <c r="M391" i="29"/>
  <c r="M392" i="29"/>
  <c r="M393" i="29"/>
  <c r="M394" i="29"/>
  <c r="M395" i="29"/>
  <c r="M396" i="29"/>
  <c r="M397" i="29"/>
  <c r="M398" i="29"/>
  <c r="M399" i="29"/>
  <c r="M400" i="29"/>
  <c r="M401" i="29"/>
  <c r="M402" i="29"/>
  <c r="M403" i="29"/>
  <c r="M404" i="29"/>
  <c r="M405" i="29"/>
  <c r="M406" i="29"/>
  <c r="M407" i="29"/>
  <c r="M408" i="29"/>
  <c r="M409" i="29"/>
  <c r="M410" i="29"/>
  <c r="M411" i="29"/>
  <c r="M412" i="29"/>
  <c r="M413" i="29"/>
  <c r="M414" i="29"/>
  <c r="M415" i="29"/>
  <c r="M416" i="29"/>
  <c r="M417" i="29"/>
  <c r="M418" i="29"/>
  <c r="M419" i="29"/>
  <c r="M420" i="29"/>
  <c r="M421" i="29"/>
  <c r="M422" i="29"/>
  <c r="M423" i="29"/>
  <c r="M424" i="29"/>
  <c r="M425" i="29"/>
  <c r="M426" i="29"/>
  <c r="M427" i="29"/>
  <c r="M428" i="29"/>
  <c r="M429" i="29"/>
  <c r="M430" i="29"/>
  <c r="M431" i="29"/>
  <c r="M432" i="29"/>
  <c r="M433" i="29"/>
  <c r="M434" i="29"/>
  <c r="M435" i="29"/>
  <c r="M436" i="29"/>
  <c r="M437" i="29"/>
  <c r="M438" i="29"/>
  <c r="M439" i="29"/>
  <c r="M440" i="29"/>
  <c r="M441" i="29"/>
  <c r="M442" i="29"/>
  <c r="M443" i="29"/>
  <c r="M444" i="29"/>
  <c r="M445" i="29"/>
  <c r="M446" i="29"/>
  <c r="M447" i="29"/>
  <c r="M448" i="29"/>
  <c r="M449" i="29"/>
  <c r="M450" i="29"/>
  <c r="M451" i="29"/>
  <c r="M452" i="29"/>
  <c r="M453" i="29"/>
  <c r="M454" i="29"/>
  <c r="M455" i="29"/>
  <c r="M456" i="29"/>
  <c r="M457" i="29"/>
  <c r="M458" i="29"/>
  <c r="M459" i="29"/>
  <c r="M460" i="29"/>
  <c r="M461" i="29"/>
  <c r="M462" i="29"/>
  <c r="M463" i="29"/>
  <c r="M464" i="29"/>
  <c r="M465" i="29"/>
  <c r="M466" i="29"/>
  <c r="M467" i="29"/>
  <c r="M468" i="29"/>
  <c r="M469" i="29"/>
  <c r="M470" i="29"/>
  <c r="M471" i="29"/>
  <c r="M472" i="29"/>
  <c r="M473" i="29"/>
  <c r="M474" i="29"/>
  <c r="M475" i="29"/>
  <c r="M476" i="29"/>
  <c r="M477" i="29"/>
  <c r="M478" i="29"/>
  <c r="M479" i="29"/>
  <c r="M480" i="29"/>
  <c r="M481" i="29"/>
  <c r="M482" i="29"/>
  <c r="M483" i="29"/>
  <c r="M484" i="29"/>
  <c r="M485" i="29"/>
  <c r="M486" i="29"/>
  <c r="M487" i="29"/>
  <c r="M488" i="29"/>
  <c r="M489" i="29"/>
  <c r="M490" i="29"/>
  <c r="M491" i="29"/>
  <c r="M492" i="29"/>
  <c r="M493" i="29"/>
  <c r="M494" i="29"/>
  <c r="M495" i="29"/>
  <c r="M496" i="29"/>
  <c r="M497" i="29"/>
  <c r="M498" i="29"/>
  <c r="M499" i="29"/>
  <c r="M500" i="29"/>
  <c r="M501" i="29"/>
  <c r="M502" i="29"/>
  <c r="M503" i="29"/>
  <c r="M504" i="29"/>
  <c r="M505" i="29"/>
  <c r="M506" i="29"/>
  <c r="M507" i="29"/>
  <c r="M508" i="29"/>
  <c r="M509" i="29"/>
  <c r="M510" i="29"/>
  <c r="M511" i="29"/>
  <c r="M512" i="29"/>
  <c r="M513" i="29"/>
  <c r="M514" i="29"/>
  <c r="M515" i="29"/>
  <c r="M516" i="29"/>
  <c r="M517" i="29"/>
  <c r="M518" i="29"/>
  <c r="M519" i="29"/>
  <c r="M520" i="29"/>
  <c r="M521" i="29"/>
  <c r="M522" i="29"/>
  <c r="M523" i="29"/>
  <c r="M524" i="29"/>
  <c r="M525" i="29"/>
  <c r="M526" i="29"/>
  <c r="M527" i="29"/>
  <c r="M528" i="29"/>
  <c r="M529" i="29"/>
  <c r="M530" i="29"/>
  <c r="M531" i="29"/>
  <c r="M532" i="29"/>
  <c r="M533" i="29"/>
  <c r="M534" i="29"/>
  <c r="M535" i="29"/>
  <c r="M536" i="29"/>
  <c r="M537" i="29"/>
  <c r="M538" i="29"/>
  <c r="M539" i="29"/>
  <c r="M540" i="29"/>
  <c r="M541" i="29"/>
  <c r="M542" i="29"/>
  <c r="M543" i="29"/>
  <c r="M544" i="29"/>
  <c r="M545" i="29"/>
  <c r="M546" i="29"/>
  <c r="M547" i="29"/>
  <c r="M548" i="29"/>
  <c r="M549" i="29"/>
  <c r="M550" i="29"/>
  <c r="M551" i="29"/>
  <c r="M552" i="29"/>
  <c r="M553" i="29"/>
  <c r="M554" i="29"/>
  <c r="M555" i="29"/>
  <c r="M556" i="29"/>
  <c r="M557" i="29"/>
  <c r="M558" i="29"/>
  <c r="M559" i="29"/>
  <c r="M560" i="29"/>
  <c r="M561" i="29"/>
  <c r="M562" i="29"/>
  <c r="M563" i="29"/>
  <c r="M564" i="29"/>
  <c r="M565" i="29"/>
  <c r="M566" i="29"/>
  <c r="M567" i="29"/>
  <c r="M568" i="29"/>
  <c r="M569" i="29"/>
  <c r="M570" i="29"/>
  <c r="M571" i="29"/>
  <c r="M572" i="29"/>
  <c r="M573" i="29"/>
  <c r="M574" i="29"/>
  <c r="M575" i="29"/>
  <c r="M576" i="29"/>
  <c r="M577" i="29"/>
  <c r="M578" i="29"/>
  <c r="M579" i="29"/>
  <c r="M580" i="29"/>
  <c r="M581" i="29"/>
  <c r="M582" i="29"/>
  <c r="M583" i="29"/>
  <c r="M584" i="29"/>
  <c r="M585" i="29"/>
  <c r="M586" i="29"/>
  <c r="M587" i="29"/>
  <c r="M588" i="29"/>
  <c r="M589" i="29"/>
  <c r="M590" i="29"/>
  <c r="M591" i="29"/>
  <c r="M592" i="29"/>
  <c r="M593" i="29"/>
  <c r="M594" i="29"/>
  <c r="M595" i="29"/>
  <c r="M596" i="29"/>
  <c r="M597" i="29"/>
  <c r="M598" i="29"/>
  <c r="M599" i="29"/>
  <c r="M600" i="29"/>
  <c r="M601" i="29"/>
  <c r="M602" i="29"/>
  <c r="M603" i="29"/>
  <c r="M604" i="29"/>
  <c r="M605" i="29"/>
  <c r="M606" i="29"/>
  <c r="M607" i="29"/>
  <c r="M608" i="29"/>
  <c r="M609" i="29"/>
  <c r="M610" i="29"/>
  <c r="M611" i="29"/>
  <c r="M612" i="29"/>
  <c r="M613" i="29"/>
  <c r="M614" i="29"/>
  <c r="M615" i="29"/>
  <c r="M616" i="29"/>
  <c r="M617" i="29"/>
  <c r="M618" i="29"/>
  <c r="M619" i="29"/>
  <c r="M620" i="29"/>
  <c r="M621" i="29"/>
  <c r="M622" i="29"/>
  <c r="M623" i="29"/>
  <c r="M624" i="29"/>
  <c r="M625" i="29"/>
  <c r="M626" i="29"/>
  <c r="M627" i="29"/>
  <c r="M628" i="29"/>
  <c r="M629" i="29"/>
  <c r="M630" i="29"/>
  <c r="M631" i="29"/>
  <c r="M632" i="29"/>
  <c r="M633" i="29"/>
  <c r="M634" i="29"/>
  <c r="M635" i="29"/>
  <c r="M636" i="29"/>
  <c r="M637" i="29"/>
  <c r="M638" i="29"/>
  <c r="M639" i="29"/>
  <c r="M640" i="29"/>
  <c r="M641" i="29"/>
  <c r="M642" i="29"/>
  <c r="M643" i="29"/>
  <c r="M644" i="29"/>
  <c r="M645" i="29"/>
  <c r="M646" i="29"/>
  <c r="M647" i="29"/>
  <c r="M648" i="29"/>
  <c r="M649" i="29"/>
  <c r="M650" i="29"/>
  <c r="M651" i="29"/>
  <c r="M652" i="29"/>
  <c r="M653" i="29"/>
  <c r="M654" i="29"/>
  <c r="M655" i="29"/>
  <c r="M656" i="29"/>
  <c r="M657" i="29"/>
  <c r="M658" i="29"/>
  <c r="M659" i="29"/>
  <c r="M660" i="29"/>
  <c r="M661" i="29"/>
  <c r="M662" i="29"/>
  <c r="M663" i="29"/>
  <c r="M664" i="29"/>
  <c r="M665" i="29"/>
  <c r="M666" i="29"/>
  <c r="M667" i="29"/>
  <c r="M668" i="29"/>
  <c r="M669" i="29"/>
  <c r="M670" i="29"/>
  <c r="M671" i="29"/>
  <c r="M672" i="29"/>
  <c r="M673" i="29"/>
  <c r="M674" i="29"/>
  <c r="M675" i="29"/>
  <c r="M676" i="29"/>
  <c r="M677" i="29"/>
  <c r="M678" i="29"/>
  <c r="M679" i="29"/>
  <c r="M680" i="29"/>
  <c r="M681" i="29"/>
  <c r="M682" i="29"/>
  <c r="M683" i="29"/>
  <c r="M684" i="29"/>
  <c r="M685" i="29"/>
  <c r="M686" i="29"/>
  <c r="M687" i="29"/>
  <c r="M688" i="29"/>
  <c r="M689" i="29"/>
  <c r="M690" i="29"/>
  <c r="M691" i="29"/>
  <c r="M692" i="29"/>
  <c r="M693" i="29"/>
  <c r="M694" i="29"/>
  <c r="M695" i="29"/>
  <c r="M696" i="29"/>
  <c r="M697" i="29"/>
  <c r="M698" i="29"/>
  <c r="M699" i="29"/>
  <c r="M700" i="29"/>
  <c r="M701" i="29"/>
  <c r="M702" i="29"/>
  <c r="M703" i="29"/>
  <c r="M704" i="29"/>
  <c r="M705" i="29"/>
  <c r="M706" i="29"/>
  <c r="M707" i="29"/>
  <c r="M708" i="29"/>
  <c r="M709" i="29"/>
  <c r="M710" i="29"/>
  <c r="M711" i="29"/>
  <c r="M712" i="29"/>
  <c r="M713" i="29"/>
  <c r="M714" i="29"/>
  <c r="M715" i="29"/>
  <c r="M716" i="29"/>
  <c r="M717" i="29"/>
  <c r="M718" i="29"/>
  <c r="M719" i="29"/>
  <c r="M720" i="29"/>
  <c r="M721" i="29"/>
  <c r="M722" i="29"/>
  <c r="M723" i="29"/>
  <c r="M724" i="29"/>
  <c r="M725" i="29"/>
  <c r="M726" i="29"/>
  <c r="M727" i="29"/>
  <c r="M728" i="29"/>
  <c r="M729" i="29"/>
  <c r="M730" i="29"/>
  <c r="M731" i="29"/>
  <c r="M732" i="29"/>
  <c r="M733" i="29"/>
  <c r="M734" i="29"/>
  <c r="M735" i="29"/>
  <c r="M736" i="29"/>
  <c r="M737" i="29"/>
  <c r="M738" i="29"/>
  <c r="M739" i="29"/>
  <c r="M740" i="29"/>
  <c r="M741" i="29"/>
  <c r="M742" i="29"/>
  <c r="M743" i="29"/>
  <c r="M744" i="29"/>
  <c r="M745" i="29"/>
  <c r="M746" i="29"/>
  <c r="M747" i="29"/>
  <c r="M748" i="29"/>
  <c r="M749" i="29"/>
  <c r="M750" i="29"/>
  <c r="M751" i="29"/>
  <c r="M752" i="29"/>
  <c r="M753" i="29"/>
  <c r="M754" i="29"/>
  <c r="M755" i="29"/>
  <c r="M756" i="29"/>
  <c r="M757" i="29"/>
  <c r="M758" i="29"/>
  <c r="M759" i="29"/>
  <c r="M760" i="29"/>
  <c r="M761" i="29"/>
  <c r="M762" i="29"/>
  <c r="M763" i="29"/>
  <c r="M764" i="29"/>
  <c r="M765" i="29"/>
  <c r="M766" i="29"/>
  <c r="M767" i="29"/>
  <c r="M768" i="29"/>
  <c r="M769" i="29"/>
  <c r="M770" i="29"/>
  <c r="M771" i="29"/>
  <c r="M772" i="29"/>
  <c r="M773" i="29"/>
  <c r="M774" i="29"/>
  <c r="M775" i="29"/>
  <c r="M776" i="29"/>
  <c r="M777" i="29"/>
  <c r="M778" i="29"/>
  <c r="M779" i="29"/>
  <c r="M780" i="29"/>
  <c r="M781" i="29"/>
  <c r="M782" i="29"/>
  <c r="M783" i="29"/>
  <c r="M784" i="29"/>
  <c r="M785" i="29"/>
  <c r="M786" i="29"/>
  <c r="M787" i="29"/>
  <c r="M788" i="29"/>
  <c r="M789" i="29"/>
  <c r="M790" i="29"/>
  <c r="M791" i="29"/>
  <c r="M792" i="29"/>
  <c r="M793" i="29"/>
  <c r="M794" i="29"/>
  <c r="M795" i="29"/>
  <c r="M796" i="29"/>
  <c r="M797" i="29"/>
  <c r="M798" i="29"/>
  <c r="M799" i="29"/>
  <c r="M800" i="29"/>
  <c r="M801" i="29"/>
  <c r="M802" i="29"/>
  <c r="M803" i="29"/>
  <c r="M804" i="29"/>
  <c r="M805" i="29"/>
  <c r="M806" i="29"/>
  <c r="M807" i="29"/>
  <c r="M808" i="29"/>
  <c r="M809" i="29"/>
  <c r="M810" i="29"/>
  <c r="M811" i="29"/>
  <c r="M812" i="29"/>
  <c r="M813" i="29"/>
  <c r="M814" i="29"/>
  <c r="M815" i="29"/>
  <c r="M816" i="29"/>
  <c r="M817" i="29"/>
  <c r="M818" i="29"/>
  <c r="M819" i="29"/>
  <c r="M820" i="29"/>
  <c r="M821" i="29"/>
  <c r="M822" i="29"/>
  <c r="M823" i="29"/>
  <c r="M824" i="29"/>
  <c r="M825" i="29"/>
  <c r="M826" i="29"/>
  <c r="M827" i="29"/>
  <c r="M828" i="29"/>
  <c r="M829" i="29"/>
  <c r="M830" i="29"/>
  <c r="M831" i="29"/>
  <c r="M832" i="29"/>
  <c r="M833" i="29"/>
  <c r="M834" i="29"/>
  <c r="M835" i="29"/>
  <c r="M836" i="29"/>
  <c r="M837" i="29"/>
  <c r="M838" i="29"/>
  <c r="M839" i="29"/>
  <c r="M840" i="29"/>
  <c r="M841" i="29"/>
  <c r="M842" i="29"/>
  <c r="M843" i="29"/>
  <c r="M844" i="29"/>
  <c r="M845" i="29"/>
  <c r="M846" i="29"/>
  <c r="M847" i="29"/>
  <c r="M848" i="29"/>
  <c r="M849" i="29"/>
  <c r="M850" i="29"/>
  <c r="M851" i="29"/>
  <c r="M852" i="29"/>
  <c r="M853" i="29"/>
  <c r="M854" i="29"/>
  <c r="M855" i="29"/>
  <c r="M856" i="29"/>
  <c r="M857" i="29"/>
  <c r="M858" i="29"/>
  <c r="M859" i="29"/>
  <c r="M860" i="29"/>
  <c r="M861" i="29"/>
  <c r="M862" i="29"/>
  <c r="M863" i="29"/>
  <c r="M864" i="29"/>
  <c r="M865" i="29"/>
  <c r="M866" i="29"/>
  <c r="M867" i="29"/>
  <c r="M868" i="29"/>
  <c r="M869" i="29"/>
  <c r="M870" i="29"/>
  <c r="M871" i="29"/>
  <c r="M872" i="29"/>
  <c r="M873" i="29"/>
  <c r="M874" i="29"/>
  <c r="M875" i="29"/>
  <c r="M876" i="29"/>
  <c r="M877" i="29"/>
  <c r="M878" i="29"/>
  <c r="M879" i="29"/>
  <c r="M880" i="29"/>
  <c r="M881" i="29"/>
  <c r="M882" i="29"/>
  <c r="M883" i="29"/>
  <c r="M884" i="29"/>
  <c r="M885" i="29"/>
  <c r="M886" i="29"/>
  <c r="M887" i="29"/>
  <c r="M888" i="29"/>
  <c r="M889" i="29"/>
  <c r="M890" i="29"/>
  <c r="M891" i="29"/>
  <c r="M892" i="29"/>
  <c r="M893" i="29"/>
  <c r="M894" i="29"/>
  <c r="M895" i="29"/>
  <c r="M896" i="29"/>
  <c r="M897" i="29"/>
  <c r="M898" i="29"/>
  <c r="M899" i="29"/>
  <c r="M900" i="29"/>
  <c r="M901" i="29"/>
  <c r="M902" i="29"/>
  <c r="M903" i="29"/>
  <c r="M904" i="29"/>
  <c r="M905" i="29"/>
  <c r="M906" i="29"/>
  <c r="M907" i="29"/>
  <c r="M908" i="29"/>
  <c r="M909" i="29"/>
  <c r="M910" i="29"/>
  <c r="M911" i="29"/>
  <c r="M912" i="29"/>
  <c r="M913" i="29"/>
  <c r="M914" i="29"/>
  <c r="M915" i="29"/>
  <c r="M916" i="29"/>
  <c r="M917" i="29"/>
  <c r="M918" i="29"/>
  <c r="M919" i="29"/>
  <c r="M920" i="29"/>
  <c r="M921" i="29"/>
  <c r="M922" i="29"/>
  <c r="M923" i="29"/>
  <c r="M924" i="29"/>
  <c r="M925" i="29"/>
  <c r="M926" i="29"/>
  <c r="M927" i="29"/>
  <c r="M928" i="29"/>
  <c r="M929" i="29"/>
  <c r="M930" i="29"/>
  <c r="M931" i="29"/>
  <c r="M932" i="29"/>
  <c r="M933" i="29"/>
  <c r="M934" i="29"/>
  <c r="M935" i="29"/>
  <c r="M936" i="29"/>
  <c r="M937" i="29"/>
  <c r="M938" i="29"/>
  <c r="M939" i="29"/>
  <c r="M940" i="29"/>
  <c r="M941" i="29"/>
  <c r="M942" i="29"/>
  <c r="M943" i="29"/>
  <c r="M944" i="29"/>
  <c r="M945" i="29"/>
  <c r="M946" i="29"/>
  <c r="M947" i="29"/>
  <c r="M948" i="29"/>
  <c r="M949" i="29"/>
  <c r="M950" i="29"/>
  <c r="M951" i="29"/>
  <c r="M952" i="29"/>
  <c r="M953" i="29"/>
  <c r="M954" i="29"/>
  <c r="M955" i="29"/>
  <c r="M956" i="29"/>
  <c r="M957" i="29"/>
  <c r="M958" i="29"/>
  <c r="M959" i="29"/>
  <c r="M960" i="29"/>
  <c r="M961" i="29"/>
  <c r="M962" i="29"/>
  <c r="M963" i="29"/>
  <c r="M964" i="29"/>
  <c r="M965" i="29"/>
  <c r="M966" i="29"/>
  <c r="M967" i="29"/>
  <c r="M968" i="29"/>
  <c r="M969" i="29"/>
  <c r="M970" i="29"/>
  <c r="M971" i="29"/>
  <c r="M972" i="29"/>
  <c r="M973" i="29"/>
  <c r="M974" i="29"/>
  <c r="M975" i="29"/>
  <c r="M976" i="29"/>
  <c r="M977" i="29"/>
  <c r="M978" i="29"/>
  <c r="M979" i="29"/>
  <c r="M980" i="29"/>
  <c r="M981" i="29"/>
  <c r="M982" i="29"/>
  <c r="M983" i="29"/>
  <c r="M984" i="29"/>
  <c r="M985" i="29"/>
  <c r="M986" i="29"/>
  <c r="M987" i="29"/>
  <c r="M988" i="29"/>
  <c r="M989" i="29"/>
  <c r="M990" i="29"/>
  <c r="M991" i="29"/>
  <c r="M992" i="29"/>
  <c r="M993" i="29"/>
  <c r="M994" i="29"/>
  <c r="M995" i="29"/>
  <c r="M996" i="29"/>
  <c r="M997" i="29"/>
  <c r="M998" i="29"/>
  <c r="M999" i="29"/>
  <c r="M1000" i="29"/>
  <c r="M1001" i="29"/>
  <c r="M1002" i="29"/>
  <c r="M1003" i="29"/>
  <c r="M1004" i="29"/>
  <c r="M1005" i="29"/>
  <c r="M1006" i="29"/>
  <c r="M1007" i="29"/>
  <c r="M12" i="29"/>
  <c r="M13" i="29"/>
  <c r="M14" i="29"/>
  <c r="M15" i="29"/>
  <c r="M16" i="29"/>
  <c r="M18" i="29"/>
  <c r="M19" i="29"/>
  <c r="M20" i="29"/>
  <c r="M21" i="29"/>
  <c r="M22" i="29"/>
  <c r="M23" i="29"/>
  <c r="M24" i="29"/>
  <c r="M25" i="29"/>
  <c r="M26" i="29"/>
  <c r="F17" i="38" l="1"/>
  <c r="H17" i="38" s="1"/>
  <c r="G8" i="38"/>
  <c r="L27" i="29"/>
  <c r="L28" i="29"/>
  <c r="L29" i="29"/>
  <c r="L30" i="29"/>
  <c r="L31" i="29"/>
  <c r="L32" i="29"/>
  <c r="L33" i="29"/>
  <c r="L34" i="29"/>
  <c r="L35" i="29"/>
  <c r="L36" i="29"/>
  <c r="L37" i="29"/>
  <c r="L38" i="29"/>
  <c r="L39" i="29"/>
  <c r="L40" i="29"/>
  <c r="L41" i="29"/>
  <c r="L42" i="29"/>
  <c r="L43" i="29"/>
  <c r="L44" i="29"/>
  <c r="L45" i="29"/>
  <c r="L46" i="29"/>
  <c r="L47" i="29"/>
  <c r="L48" i="29"/>
  <c r="L49" i="29"/>
  <c r="L50" i="29"/>
  <c r="L51" i="29"/>
  <c r="L52" i="29"/>
  <c r="L53" i="29"/>
  <c r="L54" i="29"/>
  <c r="L55" i="29"/>
  <c r="L56" i="29"/>
  <c r="L57" i="29"/>
  <c r="L58" i="29"/>
  <c r="L59" i="29"/>
  <c r="L60" i="29"/>
  <c r="L61" i="29"/>
  <c r="L62" i="29"/>
  <c r="L63" i="29"/>
  <c r="L64" i="29"/>
  <c r="L65" i="29"/>
  <c r="L66" i="29"/>
  <c r="L67" i="29"/>
  <c r="L68" i="29"/>
  <c r="L69" i="29"/>
  <c r="L70" i="29"/>
  <c r="L71" i="29"/>
  <c r="L72" i="29"/>
  <c r="L73" i="29"/>
  <c r="L74" i="29"/>
  <c r="L75" i="29"/>
  <c r="L76" i="29"/>
  <c r="L77" i="29"/>
  <c r="L78" i="29"/>
  <c r="L79" i="29"/>
  <c r="L80" i="29"/>
  <c r="L81" i="29"/>
  <c r="L82" i="29"/>
  <c r="L83" i="29"/>
  <c r="L84" i="29"/>
  <c r="L85" i="29"/>
  <c r="L86" i="29"/>
  <c r="L87" i="29"/>
  <c r="L88" i="29"/>
  <c r="L89" i="29"/>
  <c r="L90" i="29"/>
  <c r="L91" i="29"/>
  <c r="L92" i="29"/>
  <c r="L93" i="29"/>
  <c r="L94" i="29"/>
  <c r="L95" i="29"/>
  <c r="L96" i="29"/>
  <c r="L97" i="29"/>
  <c r="L98" i="29"/>
  <c r="L99" i="29"/>
  <c r="L100" i="29"/>
  <c r="L101" i="29"/>
  <c r="L102" i="29"/>
  <c r="L103" i="29"/>
  <c r="L104" i="29"/>
  <c r="L105" i="29"/>
  <c r="L106" i="29"/>
  <c r="L107" i="29"/>
  <c r="L108" i="29"/>
  <c r="L109" i="29"/>
  <c r="L110" i="29"/>
  <c r="L111" i="29"/>
  <c r="L112" i="29"/>
  <c r="L113" i="29"/>
  <c r="L114" i="29"/>
  <c r="L115" i="29"/>
  <c r="L116" i="29"/>
  <c r="L117" i="29"/>
  <c r="L118" i="29"/>
  <c r="L119" i="29"/>
  <c r="L120" i="29"/>
  <c r="L121" i="29"/>
  <c r="L122" i="29"/>
  <c r="L123" i="29"/>
  <c r="L124" i="29"/>
  <c r="L125" i="29"/>
  <c r="L126" i="29"/>
  <c r="L127" i="29"/>
  <c r="L128" i="29"/>
  <c r="L129" i="29"/>
  <c r="L130" i="29"/>
  <c r="L131" i="29"/>
  <c r="L132" i="29"/>
  <c r="L133" i="29"/>
  <c r="L134" i="29"/>
  <c r="L135" i="29"/>
  <c r="L136" i="29"/>
  <c r="L137" i="29"/>
  <c r="L138" i="29"/>
  <c r="L139" i="29"/>
  <c r="L140" i="29"/>
  <c r="L141" i="29"/>
  <c r="L142" i="29"/>
  <c r="L143" i="29"/>
  <c r="L144" i="29"/>
  <c r="L145" i="29"/>
  <c r="L146" i="29"/>
  <c r="L147" i="29"/>
  <c r="L148" i="29"/>
  <c r="L149" i="29"/>
  <c r="L150" i="29"/>
  <c r="L151" i="29"/>
  <c r="L152" i="29"/>
  <c r="L153" i="29"/>
  <c r="L154" i="29"/>
  <c r="L155" i="29"/>
  <c r="L156" i="29"/>
  <c r="L157" i="29"/>
  <c r="L158" i="29"/>
  <c r="L159" i="29"/>
  <c r="L160" i="29"/>
  <c r="L161" i="29"/>
  <c r="L162" i="29"/>
  <c r="L163" i="29"/>
  <c r="L164" i="29"/>
  <c r="L165" i="29"/>
  <c r="L166" i="29"/>
  <c r="L167" i="29"/>
  <c r="L168" i="29"/>
  <c r="L169" i="29"/>
  <c r="L170" i="29"/>
  <c r="L171" i="29"/>
  <c r="L172" i="29"/>
  <c r="L173" i="29"/>
  <c r="L174" i="29"/>
  <c r="L175" i="29"/>
  <c r="L176" i="29"/>
  <c r="L177" i="29"/>
  <c r="L178" i="29"/>
  <c r="L179" i="29"/>
  <c r="L180" i="29"/>
  <c r="L181" i="29"/>
  <c r="L182" i="29"/>
  <c r="L183" i="29"/>
  <c r="L184" i="29"/>
  <c r="L185" i="29"/>
  <c r="L186" i="29"/>
  <c r="L187" i="29"/>
  <c r="L188" i="29"/>
  <c r="L189" i="29"/>
  <c r="L190" i="29"/>
  <c r="L191" i="29"/>
  <c r="L192" i="29"/>
  <c r="L193" i="29"/>
  <c r="L194" i="29"/>
  <c r="L195" i="29"/>
  <c r="L196" i="29"/>
  <c r="L197" i="29"/>
  <c r="L198" i="29"/>
  <c r="L199" i="29"/>
  <c r="L200" i="29"/>
  <c r="L201" i="29"/>
  <c r="L202" i="29"/>
  <c r="L203" i="29"/>
  <c r="L204" i="29"/>
  <c r="L205" i="29"/>
  <c r="L206" i="29"/>
  <c r="L207" i="29"/>
  <c r="L208" i="29"/>
  <c r="L209" i="29"/>
  <c r="L210" i="29"/>
  <c r="L211" i="29"/>
  <c r="L212" i="29"/>
  <c r="L213" i="29"/>
  <c r="L214" i="29"/>
  <c r="L215" i="29"/>
  <c r="L216" i="29"/>
  <c r="L217" i="29"/>
  <c r="L218" i="29"/>
  <c r="L219" i="29"/>
  <c r="L220" i="29"/>
  <c r="L221" i="29"/>
  <c r="L222" i="29"/>
  <c r="L223" i="29"/>
  <c r="L224" i="29"/>
  <c r="L225" i="29"/>
  <c r="L226" i="29"/>
  <c r="L227" i="29"/>
  <c r="L228" i="29"/>
  <c r="L229" i="29"/>
  <c r="L230" i="29"/>
  <c r="L231" i="29"/>
  <c r="L232" i="29"/>
  <c r="L233" i="29"/>
  <c r="L234" i="29"/>
  <c r="L235" i="29"/>
  <c r="L236" i="29"/>
  <c r="L237" i="29"/>
  <c r="L238" i="29"/>
  <c r="L239" i="29"/>
  <c r="L240" i="29"/>
  <c r="L241" i="29"/>
  <c r="L242" i="29"/>
  <c r="L243" i="29"/>
  <c r="L244" i="29"/>
  <c r="L245" i="29"/>
  <c r="L246" i="29"/>
  <c r="L247" i="29"/>
  <c r="L248" i="29"/>
  <c r="L249" i="29"/>
  <c r="L250" i="29"/>
  <c r="L251" i="29"/>
  <c r="L252" i="29"/>
  <c r="L253" i="29"/>
  <c r="L254" i="29"/>
  <c r="L255" i="29"/>
  <c r="L256" i="29"/>
  <c r="L257" i="29"/>
  <c r="L258" i="29"/>
  <c r="L259" i="29"/>
  <c r="L260" i="29"/>
  <c r="L261" i="29"/>
  <c r="L262" i="29"/>
  <c r="L263" i="29"/>
  <c r="L264" i="29"/>
  <c r="L265" i="29"/>
  <c r="L266" i="29"/>
  <c r="L267" i="29"/>
  <c r="L268" i="29"/>
  <c r="L269" i="29"/>
  <c r="L270" i="29"/>
  <c r="L271" i="29"/>
  <c r="L272" i="29"/>
  <c r="L273" i="29"/>
  <c r="L274" i="29"/>
  <c r="L275" i="29"/>
  <c r="L276" i="29"/>
  <c r="L277" i="29"/>
  <c r="L278" i="29"/>
  <c r="L279" i="29"/>
  <c r="L280" i="29"/>
  <c r="L281" i="29"/>
  <c r="L282" i="29"/>
  <c r="L283" i="29"/>
  <c r="L284" i="29"/>
  <c r="L285" i="29"/>
  <c r="L286" i="29"/>
  <c r="L287" i="29"/>
  <c r="L288" i="29"/>
  <c r="L289" i="29"/>
  <c r="L290" i="29"/>
  <c r="L291" i="29"/>
  <c r="L292" i="29"/>
  <c r="L293" i="29"/>
  <c r="L294" i="29"/>
  <c r="L295" i="29"/>
  <c r="L296" i="29"/>
  <c r="L297" i="29"/>
  <c r="L298" i="29"/>
  <c r="L299" i="29"/>
  <c r="L300" i="29"/>
  <c r="L301" i="29"/>
  <c r="L302" i="29"/>
  <c r="L303" i="29"/>
  <c r="L304" i="29"/>
  <c r="L305" i="29"/>
  <c r="L306" i="29"/>
  <c r="L307" i="29"/>
  <c r="L308" i="29"/>
  <c r="L309" i="29"/>
  <c r="L310" i="29"/>
  <c r="L311" i="29"/>
  <c r="L312" i="29"/>
  <c r="L313" i="29"/>
  <c r="L314" i="29"/>
  <c r="L315" i="29"/>
  <c r="L316" i="29"/>
  <c r="L317" i="29"/>
  <c r="L318" i="29"/>
  <c r="L319" i="29"/>
  <c r="L320" i="29"/>
  <c r="L321" i="29"/>
  <c r="L322" i="29"/>
  <c r="L323" i="29"/>
  <c r="L324" i="29"/>
  <c r="L325" i="29"/>
  <c r="L326" i="29"/>
  <c r="L327" i="29"/>
  <c r="L328" i="29"/>
  <c r="L329" i="29"/>
  <c r="L330" i="29"/>
  <c r="L331" i="29"/>
  <c r="L332" i="29"/>
  <c r="L333" i="29"/>
  <c r="L334" i="29"/>
  <c r="L335" i="29"/>
  <c r="L336" i="29"/>
  <c r="L337" i="29"/>
  <c r="L338" i="29"/>
  <c r="L339" i="29"/>
  <c r="L340" i="29"/>
  <c r="L341" i="29"/>
  <c r="L342" i="29"/>
  <c r="L343" i="29"/>
  <c r="L344" i="29"/>
  <c r="L345" i="29"/>
  <c r="L346" i="29"/>
  <c r="L347" i="29"/>
  <c r="L348" i="29"/>
  <c r="L349" i="29"/>
  <c r="L350" i="29"/>
  <c r="L351" i="29"/>
  <c r="L352" i="29"/>
  <c r="L353" i="29"/>
  <c r="L354" i="29"/>
  <c r="L355" i="29"/>
  <c r="L356" i="29"/>
  <c r="L357" i="29"/>
  <c r="L358" i="29"/>
  <c r="L359" i="29"/>
  <c r="L360" i="29"/>
  <c r="L361" i="29"/>
  <c r="L362" i="29"/>
  <c r="L363" i="29"/>
  <c r="L364" i="29"/>
  <c r="L365" i="29"/>
  <c r="L366" i="29"/>
  <c r="L367" i="29"/>
  <c r="L368" i="29"/>
  <c r="L369" i="29"/>
  <c r="L370" i="29"/>
  <c r="L371" i="29"/>
  <c r="L372" i="29"/>
  <c r="L373" i="29"/>
  <c r="L374" i="29"/>
  <c r="L375" i="29"/>
  <c r="L376" i="29"/>
  <c r="L377" i="29"/>
  <c r="L378" i="29"/>
  <c r="L379" i="29"/>
  <c r="L380" i="29"/>
  <c r="L381" i="29"/>
  <c r="L382" i="29"/>
  <c r="L383" i="29"/>
  <c r="L384" i="29"/>
  <c r="L385" i="29"/>
  <c r="L386" i="29"/>
  <c r="L387" i="29"/>
  <c r="L388" i="29"/>
  <c r="L389" i="29"/>
  <c r="L390" i="29"/>
  <c r="L391" i="29"/>
  <c r="L392" i="29"/>
  <c r="L393" i="29"/>
  <c r="L394" i="29"/>
  <c r="L395" i="29"/>
  <c r="L396" i="29"/>
  <c r="L397" i="29"/>
  <c r="L398" i="29"/>
  <c r="L399" i="29"/>
  <c r="L400" i="29"/>
  <c r="L401" i="29"/>
  <c r="L402" i="29"/>
  <c r="L403" i="29"/>
  <c r="L404" i="29"/>
  <c r="L405" i="29"/>
  <c r="L406" i="29"/>
  <c r="L407" i="29"/>
  <c r="L408" i="29"/>
  <c r="L409" i="29"/>
  <c r="L410" i="29"/>
  <c r="L411" i="29"/>
  <c r="L412" i="29"/>
  <c r="L413" i="29"/>
  <c r="L414" i="29"/>
  <c r="L415" i="29"/>
  <c r="L416" i="29"/>
  <c r="L417" i="29"/>
  <c r="L418" i="29"/>
  <c r="L419" i="29"/>
  <c r="L420" i="29"/>
  <c r="L421" i="29"/>
  <c r="L422" i="29"/>
  <c r="L423" i="29"/>
  <c r="L424" i="29"/>
  <c r="L425" i="29"/>
  <c r="L426" i="29"/>
  <c r="L427" i="29"/>
  <c r="L428" i="29"/>
  <c r="L429" i="29"/>
  <c r="L430" i="29"/>
  <c r="L431" i="29"/>
  <c r="L432" i="29"/>
  <c r="L433" i="29"/>
  <c r="L434" i="29"/>
  <c r="L435" i="29"/>
  <c r="L436" i="29"/>
  <c r="L437" i="29"/>
  <c r="L438" i="29"/>
  <c r="L439" i="29"/>
  <c r="L440" i="29"/>
  <c r="L441" i="29"/>
  <c r="L442" i="29"/>
  <c r="L443" i="29"/>
  <c r="L444" i="29"/>
  <c r="L445" i="29"/>
  <c r="L446" i="29"/>
  <c r="L447" i="29"/>
  <c r="L448" i="29"/>
  <c r="L449" i="29"/>
  <c r="L450" i="29"/>
  <c r="L451" i="29"/>
  <c r="L452" i="29"/>
  <c r="L453" i="29"/>
  <c r="L454" i="29"/>
  <c r="L455" i="29"/>
  <c r="L456" i="29"/>
  <c r="L457" i="29"/>
  <c r="L458" i="29"/>
  <c r="L459" i="29"/>
  <c r="L460" i="29"/>
  <c r="L461" i="29"/>
  <c r="L462" i="29"/>
  <c r="L463" i="29"/>
  <c r="L464" i="29"/>
  <c r="L465" i="29"/>
  <c r="L466" i="29"/>
  <c r="L467" i="29"/>
  <c r="L468" i="29"/>
  <c r="L469" i="29"/>
  <c r="L470" i="29"/>
  <c r="L471" i="29"/>
  <c r="L472" i="29"/>
  <c r="L473" i="29"/>
  <c r="L474" i="29"/>
  <c r="L475" i="29"/>
  <c r="L476" i="29"/>
  <c r="L477" i="29"/>
  <c r="L478" i="29"/>
  <c r="L479" i="29"/>
  <c r="L480" i="29"/>
  <c r="L481" i="29"/>
  <c r="L482" i="29"/>
  <c r="L483" i="29"/>
  <c r="L484" i="29"/>
  <c r="L485" i="29"/>
  <c r="L486" i="29"/>
  <c r="L487" i="29"/>
  <c r="L488" i="29"/>
  <c r="L489" i="29"/>
  <c r="L490" i="29"/>
  <c r="L491" i="29"/>
  <c r="L492" i="29"/>
  <c r="L493" i="29"/>
  <c r="L494" i="29"/>
  <c r="L495" i="29"/>
  <c r="L496" i="29"/>
  <c r="L497" i="29"/>
  <c r="L498" i="29"/>
  <c r="L499" i="29"/>
  <c r="L500" i="29"/>
  <c r="L501" i="29"/>
  <c r="L502" i="29"/>
  <c r="L503" i="29"/>
  <c r="L504" i="29"/>
  <c r="L505" i="29"/>
  <c r="L506" i="29"/>
  <c r="L507" i="29"/>
  <c r="L508" i="29"/>
  <c r="L509" i="29"/>
  <c r="L510" i="29"/>
  <c r="L511" i="29"/>
  <c r="L512" i="29"/>
  <c r="L513" i="29"/>
  <c r="L514" i="29"/>
  <c r="L515" i="29"/>
  <c r="L516" i="29"/>
  <c r="L517" i="29"/>
  <c r="L518" i="29"/>
  <c r="L519" i="29"/>
  <c r="L520" i="29"/>
  <c r="L521" i="29"/>
  <c r="L522" i="29"/>
  <c r="L523" i="29"/>
  <c r="L524" i="29"/>
  <c r="L525" i="29"/>
  <c r="L526" i="29"/>
  <c r="L527" i="29"/>
  <c r="L528" i="29"/>
  <c r="L529" i="29"/>
  <c r="L530" i="29"/>
  <c r="L531" i="29"/>
  <c r="L532" i="29"/>
  <c r="L533" i="29"/>
  <c r="L534" i="29"/>
  <c r="L535" i="29"/>
  <c r="L536" i="29"/>
  <c r="L537" i="29"/>
  <c r="L538" i="29"/>
  <c r="L539" i="29"/>
  <c r="L540" i="29"/>
  <c r="L541" i="29"/>
  <c r="L542" i="29"/>
  <c r="L543" i="29"/>
  <c r="L544" i="29"/>
  <c r="L545" i="29"/>
  <c r="L546" i="29"/>
  <c r="L547" i="29"/>
  <c r="L548" i="29"/>
  <c r="L549" i="29"/>
  <c r="L550" i="29"/>
  <c r="L551" i="29"/>
  <c r="L552" i="29"/>
  <c r="L553" i="29"/>
  <c r="L554" i="29"/>
  <c r="L555" i="29"/>
  <c r="L556" i="29"/>
  <c r="L557" i="29"/>
  <c r="L558" i="29"/>
  <c r="L559" i="29"/>
  <c r="L560" i="29"/>
  <c r="L561" i="29"/>
  <c r="L562" i="29"/>
  <c r="L563" i="29"/>
  <c r="L564" i="29"/>
  <c r="L565" i="29"/>
  <c r="L566" i="29"/>
  <c r="L567" i="29"/>
  <c r="L568" i="29"/>
  <c r="L569" i="29"/>
  <c r="L570" i="29"/>
  <c r="L571" i="29"/>
  <c r="L572" i="29"/>
  <c r="L573" i="29"/>
  <c r="L574" i="29"/>
  <c r="L575" i="29"/>
  <c r="L576" i="29"/>
  <c r="L577" i="29"/>
  <c r="L578" i="29"/>
  <c r="L579" i="29"/>
  <c r="L580" i="29"/>
  <c r="L581" i="29"/>
  <c r="L582" i="29"/>
  <c r="L583" i="29"/>
  <c r="L584" i="29"/>
  <c r="L585" i="29"/>
  <c r="L586" i="29"/>
  <c r="L587" i="29"/>
  <c r="L588" i="29"/>
  <c r="L589" i="29"/>
  <c r="L590" i="29"/>
  <c r="L591" i="29"/>
  <c r="L592" i="29"/>
  <c r="L593" i="29"/>
  <c r="L594" i="29"/>
  <c r="L595" i="29"/>
  <c r="L596" i="29"/>
  <c r="L597" i="29"/>
  <c r="L598" i="29"/>
  <c r="L599" i="29"/>
  <c r="L600" i="29"/>
  <c r="L601" i="29"/>
  <c r="L602" i="29"/>
  <c r="L603" i="29"/>
  <c r="L604" i="29"/>
  <c r="L605" i="29"/>
  <c r="L606" i="29"/>
  <c r="L607" i="29"/>
  <c r="L608" i="29"/>
  <c r="L609" i="29"/>
  <c r="L610" i="29"/>
  <c r="L611" i="29"/>
  <c r="L612" i="29"/>
  <c r="L613" i="29"/>
  <c r="L614" i="29"/>
  <c r="L615" i="29"/>
  <c r="L616" i="29"/>
  <c r="L617" i="29"/>
  <c r="L618" i="29"/>
  <c r="L619" i="29"/>
  <c r="L620" i="29"/>
  <c r="L621" i="29"/>
  <c r="L622" i="29"/>
  <c r="L623" i="29"/>
  <c r="L624" i="29"/>
  <c r="L625" i="29"/>
  <c r="L626" i="29"/>
  <c r="L627" i="29"/>
  <c r="L628" i="29"/>
  <c r="L629" i="29"/>
  <c r="L630" i="29"/>
  <c r="L631" i="29"/>
  <c r="L632" i="29"/>
  <c r="L633" i="29"/>
  <c r="L634" i="29"/>
  <c r="L635" i="29"/>
  <c r="L636" i="29"/>
  <c r="L637" i="29"/>
  <c r="L638" i="29"/>
  <c r="L639" i="29"/>
  <c r="L640" i="29"/>
  <c r="L641" i="29"/>
  <c r="L642" i="29"/>
  <c r="L643" i="29"/>
  <c r="L644" i="29"/>
  <c r="L645" i="29"/>
  <c r="L646" i="29"/>
  <c r="L647" i="29"/>
  <c r="L648" i="29"/>
  <c r="L649" i="29"/>
  <c r="L650" i="29"/>
  <c r="L651" i="29"/>
  <c r="L652" i="29"/>
  <c r="L653" i="29"/>
  <c r="L654" i="29"/>
  <c r="L655" i="29"/>
  <c r="L656" i="29"/>
  <c r="L657" i="29"/>
  <c r="L658" i="29"/>
  <c r="L659" i="29"/>
  <c r="L660" i="29"/>
  <c r="L661" i="29"/>
  <c r="L662" i="29"/>
  <c r="L663" i="29"/>
  <c r="L664" i="29"/>
  <c r="L665" i="29"/>
  <c r="L666" i="29"/>
  <c r="L667" i="29"/>
  <c r="L668" i="29"/>
  <c r="L669" i="29"/>
  <c r="L670" i="29"/>
  <c r="L671" i="29"/>
  <c r="L672" i="29"/>
  <c r="L673" i="29"/>
  <c r="L674" i="29"/>
  <c r="L675" i="29"/>
  <c r="L676" i="29"/>
  <c r="L677" i="29"/>
  <c r="L678" i="29"/>
  <c r="L679" i="29"/>
  <c r="L680" i="29"/>
  <c r="L681" i="29"/>
  <c r="L682" i="29"/>
  <c r="L683" i="29"/>
  <c r="L684" i="29"/>
  <c r="L685" i="29"/>
  <c r="L686" i="29"/>
  <c r="L687" i="29"/>
  <c r="L688" i="29"/>
  <c r="L689" i="29"/>
  <c r="L690" i="29"/>
  <c r="L691" i="29"/>
  <c r="L692" i="29"/>
  <c r="L693" i="29"/>
  <c r="L694" i="29"/>
  <c r="L695" i="29"/>
  <c r="L696" i="29"/>
  <c r="L697" i="29"/>
  <c r="L698" i="29"/>
  <c r="L699" i="29"/>
  <c r="L700" i="29"/>
  <c r="L701" i="29"/>
  <c r="L702" i="29"/>
  <c r="L703" i="29"/>
  <c r="L704" i="29"/>
  <c r="L705" i="29"/>
  <c r="L706" i="29"/>
  <c r="L707" i="29"/>
  <c r="L708" i="29"/>
  <c r="L709" i="29"/>
  <c r="L710" i="29"/>
  <c r="L711" i="29"/>
  <c r="L712" i="29"/>
  <c r="L713" i="29"/>
  <c r="L714" i="29"/>
  <c r="L715" i="29"/>
  <c r="L716" i="29"/>
  <c r="L717" i="29"/>
  <c r="L718" i="29"/>
  <c r="L719" i="29"/>
  <c r="L720" i="29"/>
  <c r="L721" i="29"/>
  <c r="L722" i="29"/>
  <c r="L723" i="29"/>
  <c r="L724" i="29"/>
  <c r="L725" i="29"/>
  <c r="L726" i="29"/>
  <c r="L727" i="29"/>
  <c r="L728" i="29"/>
  <c r="L729" i="29"/>
  <c r="L730" i="29"/>
  <c r="L731" i="29"/>
  <c r="L732" i="29"/>
  <c r="L733" i="29"/>
  <c r="L734" i="29"/>
  <c r="L735" i="29"/>
  <c r="L736" i="29"/>
  <c r="L737" i="29"/>
  <c r="L738" i="29"/>
  <c r="L739" i="29"/>
  <c r="L740" i="29"/>
  <c r="L741" i="29"/>
  <c r="L742" i="29"/>
  <c r="L743" i="29"/>
  <c r="L744" i="29"/>
  <c r="L745" i="29"/>
  <c r="L746" i="29"/>
  <c r="L747" i="29"/>
  <c r="L748" i="29"/>
  <c r="L749" i="29"/>
  <c r="L750" i="29"/>
  <c r="L751" i="29"/>
  <c r="L752" i="29"/>
  <c r="L753" i="29"/>
  <c r="L754" i="29"/>
  <c r="L755" i="29"/>
  <c r="L756" i="29"/>
  <c r="L757" i="29"/>
  <c r="L758" i="29"/>
  <c r="L759" i="29"/>
  <c r="L760" i="29"/>
  <c r="L761" i="29"/>
  <c r="L762" i="29"/>
  <c r="L763" i="29"/>
  <c r="L764" i="29"/>
  <c r="L765" i="29"/>
  <c r="L766" i="29"/>
  <c r="L767" i="29"/>
  <c r="L768" i="29"/>
  <c r="L769" i="29"/>
  <c r="L770" i="29"/>
  <c r="L771" i="29"/>
  <c r="L772" i="29"/>
  <c r="L773" i="29"/>
  <c r="L774" i="29"/>
  <c r="L775" i="29"/>
  <c r="L776" i="29"/>
  <c r="L777" i="29"/>
  <c r="L778" i="29"/>
  <c r="L779" i="29"/>
  <c r="L780" i="29"/>
  <c r="L781" i="29"/>
  <c r="L782" i="29"/>
  <c r="L783" i="29"/>
  <c r="L784" i="29"/>
  <c r="L785" i="29"/>
  <c r="L786" i="29"/>
  <c r="L787" i="29"/>
  <c r="L788" i="29"/>
  <c r="L789" i="29"/>
  <c r="L790" i="29"/>
  <c r="L791" i="29"/>
  <c r="L792" i="29"/>
  <c r="L793" i="29"/>
  <c r="L794" i="29"/>
  <c r="L795" i="29"/>
  <c r="L796" i="29"/>
  <c r="L797" i="29"/>
  <c r="L798" i="29"/>
  <c r="L799" i="29"/>
  <c r="L800" i="29"/>
  <c r="L801" i="29"/>
  <c r="L802" i="29"/>
  <c r="L803" i="29"/>
  <c r="L804" i="29"/>
  <c r="L805" i="29"/>
  <c r="L806" i="29"/>
  <c r="L807" i="29"/>
  <c r="L808" i="29"/>
  <c r="L809" i="29"/>
  <c r="L810" i="29"/>
  <c r="L811" i="29"/>
  <c r="L812" i="29"/>
  <c r="L813" i="29"/>
  <c r="L814" i="29"/>
  <c r="L815" i="29"/>
  <c r="L816" i="29"/>
  <c r="L817" i="29"/>
  <c r="L818" i="29"/>
  <c r="L819" i="29"/>
  <c r="L820" i="29"/>
  <c r="L821" i="29"/>
  <c r="L822" i="29"/>
  <c r="L823" i="29"/>
  <c r="L824" i="29"/>
  <c r="L825" i="29"/>
  <c r="L826" i="29"/>
  <c r="L827" i="29"/>
  <c r="L828" i="29"/>
  <c r="L829" i="29"/>
  <c r="L830" i="29"/>
  <c r="L831" i="29"/>
  <c r="L832" i="29"/>
  <c r="L833" i="29"/>
  <c r="L834" i="29"/>
  <c r="L835" i="29"/>
  <c r="L836" i="29"/>
  <c r="L837" i="29"/>
  <c r="L838" i="29"/>
  <c r="L839" i="29"/>
  <c r="L840" i="29"/>
  <c r="L841" i="29"/>
  <c r="L842" i="29"/>
  <c r="L843" i="29"/>
  <c r="L844" i="29"/>
  <c r="L845" i="29"/>
  <c r="L846" i="29"/>
  <c r="L847" i="29"/>
  <c r="L848" i="29"/>
  <c r="L849" i="29"/>
  <c r="L850" i="29"/>
  <c r="L851" i="29"/>
  <c r="L852" i="29"/>
  <c r="L853" i="29"/>
  <c r="L854" i="29"/>
  <c r="L855" i="29"/>
  <c r="L856" i="29"/>
  <c r="L857" i="29"/>
  <c r="L858" i="29"/>
  <c r="L859" i="29"/>
  <c r="L860" i="29"/>
  <c r="L861" i="29"/>
  <c r="L862" i="29"/>
  <c r="L863" i="29"/>
  <c r="L864" i="29"/>
  <c r="L865" i="29"/>
  <c r="L866" i="29"/>
  <c r="L867" i="29"/>
  <c r="L868" i="29"/>
  <c r="L869" i="29"/>
  <c r="L870" i="29"/>
  <c r="L871" i="29"/>
  <c r="L872" i="29"/>
  <c r="L873" i="29"/>
  <c r="L874" i="29"/>
  <c r="L875" i="29"/>
  <c r="L876" i="29"/>
  <c r="L877" i="29"/>
  <c r="L878" i="29"/>
  <c r="L879" i="29"/>
  <c r="L880" i="29"/>
  <c r="L881" i="29"/>
  <c r="L882" i="29"/>
  <c r="L883" i="29"/>
  <c r="L884" i="29"/>
  <c r="L885" i="29"/>
  <c r="L886" i="29"/>
  <c r="L887" i="29"/>
  <c r="L888" i="29"/>
  <c r="L889" i="29"/>
  <c r="L890" i="29"/>
  <c r="L891" i="29"/>
  <c r="L892" i="29"/>
  <c r="L893" i="29"/>
  <c r="L894" i="29"/>
  <c r="L895" i="29"/>
  <c r="L896" i="29"/>
  <c r="L897" i="29"/>
  <c r="L898" i="29"/>
  <c r="L899" i="29"/>
  <c r="L900" i="29"/>
  <c r="L901" i="29"/>
  <c r="L902" i="29"/>
  <c r="L903" i="29"/>
  <c r="L904" i="29"/>
  <c r="L905" i="29"/>
  <c r="L906" i="29"/>
  <c r="L907" i="29"/>
  <c r="L908" i="29"/>
  <c r="L909" i="29"/>
  <c r="L910" i="29"/>
  <c r="L911" i="29"/>
  <c r="L912" i="29"/>
  <c r="L913" i="29"/>
  <c r="L914" i="29"/>
  <c r="L915" i="29"/>
  <c r="L916" i="29"/>
  <c r="L917" i="29"/>
  <c r="L918" i="29"/>
  <c r="L919" i="29"/>
  <c r="L920" i="29"/>
  <c r="L921" i="29"/>
  <c r="L922" i="29"/>
  <c r="L923" i="29"/>
  <c r="L924" i="29"/>
  <c r="L925" i="29"/>
  <c r="L926" i="29"/>
  <c r="L927" i="29"/>
  <c r="L928" i="29"/>
  <c r="L929" i="29"/>
  <c r="L930" i="29"/>
  <c r="L931" i="29"/>
  <c r="L932" i="29"/>
  <c r="L933" i="29"/>
  <c r="L934" i="29"/>
  <c r="L935" i="29"/>
  <c r="L936" i="29"/>
  <c r="L937" i="29"/>
  <c r="L938" i="29"/>
  <c r="L939" i="29"/>
  <c r="L940" i="29"/>
  <c r="L941" i="29"/>
  <c r="L942" i="29"/>
  <c r="L943" i="29"/>
  <c r="L944" i="29"/>
  <c r="L945" i="29"/>
  <c r="L946" i="29"/>
  <c r="L947" i="29"/>
  <c r="L948" i="29"/>
  <c r="L949" i="29"/>
  <c r="L950" i="29"/>
  <c r="L951" i="29"/>
  <c r="L952" i="29"/>
  <c r="L953" i="29"/>
  <c r="L954" i="29"/>
  <c r="L955" i="29"/>
  <c r="L956" i="29"/>
  <c r="L957" i="29"/>
  <c r="L958" i="29"/>
  <c r="L959" i="29"/>
  <c r="L960" i="29"/>
  <c r="L961" i="29"/>
  <c r="L962" i="29"/>
  <c r="L963" i="29"/>
  <c r="L964" i="29"/>
  <c r="L965" i="29"/>
  <c r="L966" i="29"/>
  <c r="L967" i="29"/>
  <c r="L968" i="29"/>
  <c r="L969" i="29"/>
  <c r="L970" i="29"/>
  <c r="L971" i="29"/>
  <c r="L972" i="29"/>
  <c r="L973" i="29"/>
  <c r="L974" i="29"/>
  <c r="L975" i="29"/>
  <c r="L976" i="29"/>
  <c r="L977" i="29"/>
  <c r="L978" i="29"/>
  <c r="L979" i="29"/>
  <c r="L980" i="29"/>
  <c r="L981" i="29"/>
  <c r="L982" i="29"/>
  <c r="L983" i="29"/>
  <c r="L984" i="29"/>
  <c r="L985" i="29"/>
  <c r="L986" i="29"/>
  <c r="L987" i="29"/>
  <c r="L988" i="29"/>
  <c r="L989" i="29"/>
  <c r="L990" i="29"/>
  <c r="L991" i="29"/>
  <c r="L992" i="29"/>
  <c r="L993" i="29"/>
  <c r="L994" i="29"/>
  <c r="L995" i="29"/>
  <c r="L996" i="29"/>
  <c r="L997" i="29"/>
  <c r="L998" i="29"/>
  <c r="L999" i="29"/>
  <c r="L1000" i="29"/>
  <c r="L1001" i="29"/>
  <c r="L1002" i="29"/>
  <c r="L1003" i="29"/>
  <c r="L1004" i="29"/>
  <c r="L1005" i="29"/>
  <c r="L1006" i="29"/>
  <c r="L1007" i="29"/>
  <c r="M2" i="36"/>
  <c r="G6" i="38" l="1"/>
  <c r="B14" i="38" s="1"/>
  <c r="G7" i="38"/>
  <c r="L11" i="29"/>
  <c r="L19" i="29"/>
  <c r="L25" i="29"/>
  <c r="L26" i="29"/>
  <c r="L18" i="29"/>
  <c r="L24" i="29"/>
  <c r="L16" i="29"/>
  <c r="L23" i="29"/>
  <c r="L15" i="29"/>
  <c r="L22" i="29"/>
  <c r="L14" i="29"/>
  <c r="L21" i="29"/>
  <c r="L13" i="29"/>
  <c r="L20" i="29"/>
  <c r="L12" i="29"/>
  <c r="P2" i="36"/>
  <c r="O2" i="36"/>
  <c r="N2" i="36"/>
  <c r="T12" i="29" l="1"/>
  <c r="L6" i="36"/>
  <c r="V12" i="29"/>
  <c r="W12" i="29"/>
  <c r="U12" i="29"/>
</calcChain>
</file>

<file path=xl/sharedStrings.xml><?xml version="1.0" encoding="utf-8"?>
<sst xmlns="http://schemas.openxmlformats.org/spreadsheetml/2006/main" count="2691" uniqueCount="445">
  <si>
    <t xml:space="preserve">Score calidad </t>
  </si>
  <si>
    <t xml:space="preserve">PENC </t>
  </si>
  <si>
    <t>Proceso</t>
  </si>
  <si>
    <t>Agente Mon.</t>
  </si>
  <si>
    <t xml:space="preserve"> PECUF</t>
  </si>
  <si>
    <t xml:space="preserve"> PECNE</t>
  </si>
  <si>
    <t xml:space="preserve"> PECCUM</t>
  </si>
  <si>
    <t>Semana</t>
  </si>
  <si>
    <t xml:space="preserve">Precisión Error No Crítico </t>
  </si>
  <si>
    <t>Supervisor</t>
  </si>
  <si>
    <t>Auditor</t>
  </si>
  <si>
    <t>Resultado auditoria</t>
  </si>
  <si>
    <t>PECUF</t>
  </si>
  <si>
    <t>PECCUM</t>
  </si>
  <si>
    <t>PESO PECNE</t>
  </si>
  <si>
    <t>SCORE CALIDAD</t>
  </si>
  <si>
    <t>Muestra</t>
  </si>
  <si>
    <t>agent key</t>
  </si>
  <si>
    <t>agent count</t>
  </si>
  <si>
    <t>agent unico</t>
  </si>
  <si>
    <t>agente critico  key</t>
  </si>
  <si>
    <t>agent critico count</t>
  </si>
  <si>
    <t>agent critico unico</t>
  </si>
  <si>
    <t>mes</t>
  </si>
  <si>
    <t xml:space="preserve"> Precisión Error No Crítico</t>
  </si>
  <si>
    <t xml:space="preserve"> Precisión Error Crítico Usuario Final</t>
  </si>
  <si>
    <t xml:space="preserve"> Precisión Error Crítico Negocio</t>
  </si>
  <si>
    <t xml:space="preserve"> Precisión Error Crítico Cumplimiento</t>
  </si>
  <si>
    <t>Observaciones</t>
  </si>
  <si>
    <t>PESO PENC</t>
  </si>
  <si>
    <t>PESO PECUF</t>
  </si>
  <si>
    <t>PESO PECCUM</t>
  </si>
  <si>
    <t>Outbound</t>
  </si>
  <si>
    <t>Si</t>
  </si>
  <si>
    <t>No</t>
  </si>
  <si>
    <t>Apertura y cierre corporativo</t>
  </si>
  <si>
    <t>Comunicación Comercial</t>
  </si>
  <si>
    <t>Inteligencia Emocional en Venta</t>
  </si>
  <si>
    <t>Profesionalismo y Control de la Llamada</t>
  </si>
  <si>
    <t>Facturación</t>
  </si>
  <si>
    <t>Presentación de valor del producto</t>
  </si>
  <si>
    <t xml:space="preserve">Confirmación Operativa </t>
  </si>
  <si>
    <t>Terminos y condiciones</t>
  </si>
  <si>
    <t>Derivación erronea</t>
  </si>
  <si>
    <t>Activación errada</t>
  </si>
  <si>
    <t>Trato profesiona</t>
  </si>
  <si>
    <t>Politicas de activación</t>
  </si>
  <si>
    <t>Identificación de oportunidad comercial</t>
  </si>
  <si>
    <t>Adherencia a la oferta</t>
  </si>
  <si>
    <t>Utilización herramientas de apoyo</t>
  </si>
  <si>
    <t>Registro en CRM</t>
  </si>
  <si>
    <t>Titularidad</t>
  </si>
  <si>
    <t>Fraude</t>
  </si>
  <si>
    <t>Protección de datos y privacidad</t>
  </si>
  <si>
    <t>¿El agente cumple con la identificación formal y profesional?2</t>
  </si>
  <si>
    <t>¿El agente personaliza la interacción?3</t>
  </si>
  <si>
    <t>¿El agente realiza despedida corporativa?4</t>
  </si>
  <si>
    <t>¿El agente demuestra escucha activa durante la gestión?5</t>
  </si>
  <si>
    <t>¿El agente evita interrumpir al cliente?6</t>
  </si>
  <si>
    <t>¿El agente se comunica con claridad y estructura?7</t>
  </si>
  <si>
    <t>¿El agente parafrasea para confirmar entendimiento?8</t>
  </si>
  <si>
    <t>¿El agente adapta su comunicación al cliente?9</t>
  </si>
  <si>
    <t>¿El agente muestra entusiasmo genuino?10</t>
  </si>
  <si>
    <t>¿El agente transmite confianza durante la llamada?11</t>
  </si>
  <si>
    <t>¿El agente utiliza el plural corporativo correctamente?12</t>
  </si>
  <si>
    <t>¿El agente mantiene control de la conversación?13</t>
  </si>
  <si>
    <t>¿El agente informa correctamente sobre los centros de pago?15</t>
  </si>
  <si>
    <t>¿El agente comunica claramente el precio mensual más impuestos?16</t>
  </si>
  <si>
    <t>¿El agente informa sobre cargos adicionales relacionados?17</t>
  </si>
  <si>
    <t>¿El agente explica el ciclo de facturación adecuadamente?18</t>
  </si>
  <si>
    <t>¿El agente presenta correctamente los beneficios del producto?19</t>
  </si>
  <si>
    <t>¿El agente comunica beneficios emocionales al cliente?20</t>
  </si>
  <si>
    <t>¿El agente realiza un resumen comercial adecuado?21</t>
  </si>
  <si>
    <t>¿El agente detalla correctamente los tiempos operativos?22</t>
  </si>
  <si>
    <t>¿El agente formaliza correctamente el acuerdo de venta?23</t>
  </si>
  <si>
    <t>¿El agente explica los términos y condiciones del servicio?24</t>
  </si>
  <si>
    <t>¿El agente identifica correctamente la solicitud del cliente?25</t>
  </si>
  <si>
    <t>¿El agente evita activar un servicio diferente al solicitado?26</t>
  </si>
  <si>
    <t>¿El agente utiliza correctamente la herramienta de activación?27</t>
  </si>
  <si>
    <t>¿El agente configura adecuadamente el producto contratado?28</t>
  </si>
  <si>
    <t>¿El agente mantiene respeto y cordialidad en toda la interacción?29</t>
  </si>
  <si>
    <t>¿El agente utiliza un lenguaje adecuado y profesional?30</t>
  </si>
  <si>
    <t>¿El agente verifica correctamente la cobertura?31</t>
  </si>
  <si>
    <t>¿El agente solicita la documentación requerida?32</t>
  </si>
  <si>
    <t>¿El agente adjunta correctamente la documentación al sistema?33</t>
  </si>
  <si>
    <t>¿El agente identifica cuentas malas cuando corresponde?34</t>
  </si>
  <si>
    <t>¿El agente realiza la verificación APC según procedimiento?35</t>
  </si>
  <si>
    <t>¿El agente aplica las políticas comerciales de forma correcta?36</t>
  </si>
  <si>
    <t>¿El agente ofrece adecuadamente un producto adicional?38</t>
  </si>
  <si>
    <t>¿El agente realiza venta cruzada cuando corresponde?39</t>
  </si>
  <si>
    <t>¿El agente indaga o sondea adecuadamente las necesidades del cliente?40</t>
  </si>
  <si>
    <t>El agente solicita y gestiona referidos cuando aplica?41</t>
  </si>
  <si>
    <t>¿El agente realiza seguimiento adecuado al caso o solicitud?42</t>
  </si>
  <si>
    <t>¿El agente maneja correctamente las objeciones del cliente?43</t>
  </si>
  <si>
    <t>¿El agente gestiona la oferta según la campaña vigente?44</t>
  </si>
  <si>
    <t>¿El agente solicita coordenadas cuando es necesario?45</t>
  </si>
  <si>
    <t>¿El agente gestiona la recepción de documentos por WhatsApp o correo?46</t>
  </si>
  <si>
    <t>¿El agente maneja adecuadamente llamadas en conferencia?47</t>
  </si>
  <si>
    <t>¿El agente registra correctamente todas las interacciones?48</t>
  </si>
  <si>
    <t>¿El agente confirma la titularidad del cliente adecuadamente?49</t>
  </si>
  <si>
    <t>¿El agente evita la omisión de alertas importantes?50</t>
  </si>
  <si>
    <t>¿El agente mantiene conducta ética durante la interacción?51</t>
  </si>
  <si>
    <t>¿El agente evita compartir información sensible?52</t>
  </si>
  <si>
    <t>¿El agente cumple con la identificación formal y profesional?3</t>
  </si>
  <si>
    <t>¿El agente personaliza la interacción?4</t>
  </si>
  <si>
    <t>¿El agente realiza despedida corporativa?5</t>
  </si>
  <si>
    <t>¿El agente demuestra escucha activa durante la gestión?6</t>
  </si>
  <si>
    <t>¿El agente evita interrumpir al cliente?7</t>
  </si>
  <si>
    <t>¿El agente se comunica con claridad y estructura?8</t>
  </si>
  <si>
    <t>¿El agente parafrasea para confirmar entendimiento?9</t>
  </si>
  <si>
    <t>¿El agente adapta su comunicación al cliente?11</t>
  </si>
  <si>
    <t>¿El agente muestra entusiasmo genuino?12</t>
  </si>
  <si>
    <t>¿El agente transmite confianza durante la llamada?13</t>
  </si>
  <si>
    <t>¿El agente utiliza el plural corporativo correctamente?14</t>
  </si>
  <si>
    <t>¿El agente mantiene control de la conversación?16</t>
  </si>
  <si>
    <t>¿El agente informa correctamente sobre los centros de pago?19</t>
  </si>
  <si>
    <t>¿El agente comunica claramente el precio mensual más impuestos?20</t>
  </si>
  <si>
    <t>¿El agente informa sobre cargos adicionales relacionados?21</t>
  </si>
  <si>
    <t>¿El agente explica el ciclo de facturación adecuadamente?22</t>
  </si>
  <si>
    <t>¿El agente presenta correctamente los beneficios del producto?23</t>
  </si>
  <si>
    <t>¿El agente comunica beneficios emocionales al cliente?24</t>
  </si>
  <si>
    <t>¿El agente realiza un resumen comercial adecuado?25</t>
  </si>
  <si>
    <t>¿El agente detalla correctamente los tiempos operativos?26</t>
  </si>
  <si>
    <t>¿El agente formaliza correctamente el acuerdo de venta?27</t>
  </si>
  <si>
    <t>¿El agente explica los términos y condiciones del servicio?28</t>
  </si>
  <si>
    <t>¿El agente identifica correctamente la solicitud del cliente?29</t>
  </si>
  <si>
    <t>¿El agente evita activar un servicio diferente al solicitado?30</t>
  </si>
  <si>
    <t>¿El agente utiliza correctamente la herramienta de activación?31</t>
  </si>
  <si>
    <t>¿El agente configura adecuadamente el producto contratado?32</t>
  </si>
  <si>
    <t>¿El agente mantiene respeto y cordialidad en toda la interacción?33</t>
  </si>
  <si>
    <t>¿El agente utiliza un lenguaje adecuado y profesional?34</t>
  </si>
  <si>
    <t>¿El agente verifica correctamente la cobertura?35</t>
  </si>
  <si>
    <t>¿El agente solicita la documentación requerida?36</t>
  </si>
  <si>
    <t>¿El agente adjunta correctamente la documentación al sistema?37</t>
  </si>
  <si>
    <t>¿El agente identifica cuentas malas cuando corresponde?38</t>
  </si>
  <si>
    <t>¿El agente realiza la verificación APC según procedimiento?39</t>
  </si>
  <si>
    <t>¿El agente agenda citas o gestiones cuando es necesario?41</t>
  </si>
  <si>
    <t>¿El agente ofrece adecuadamente un producto adicional?42</t>
  </si>
  <si>
    <t>¿El agente realiza venta cruzada cuando corresponde?43</t>
  </si>
  <si>
    <t>¿El agente indaga o sondea adecuadamente las necesidades del cliente?44</t>
  </si>
  <si>
    <t>El agente solicita y gestiona referidos cuando aplica?45</t>
  </si>
  <si>
    <t>¿El agente realiza seguimiento adecuado al caso o solicitud?46</t>
  </si>
  <si>
    <t>¿El agente maneja correctamente las objeciones del cliente?47</t>
  </si>
  <si>
    <t>¿El agente gestiona la oferta según la campaña vigente?48</t>
  </si>
  <si>
    <t>¿El agente solicita coordenadas cuando es necesario?49</t>
  </si>
  <si>
    <t>¿El agente gestiona la recepción de documentos por WhatsApp o correo?50</t>
  </si>
  <si>
    <t>¿El agente maneja adecuadamente llamadas en conferencia?51</t>
  </si>
  <si>
    <t>¿El agente registra correctamente todas las interacciones?52</t>
  </si>
  <si>
    <t>¿El agente confirma la titularidad del cliente adecuadamente?53</t>
  </si>
  <si>
    <t>¿El agente evita la omisión de alertas importantes?54</t>
  </si>
  <si>
    <t>¿El agente mantiene conducta ética durante la interacción?55</t>
  </si>
  <si>
    <t>¿El agente evita compartir información sensible?56</t>
  </si>
  <si>
    <t>Muestra Critica</t>
  </si>
  <si>
    <t>¿El agente cumple con la identificación formal y profesional?4</t>
  </si>
  <si>
    <t>¿El agente personaliza la interacción?5</t>
  </si>
  <si>
    <t>¿El agente realiza despedida corporativa?6</t>
  </si>
  <si>
    <t>¿El agente demuestra escucha activa durante la gestión?7</t>
  </si>
  <si>
    <t>¿El agente evita interrumpir al cliente?8</t>
  </si>
  <si>
    <t>¿El agente se comunica con claridad y estructura?9</t>
  </si>
  <si>
    <t>¿El agente parafrasea para confirmar entendimiento?10</t>
  </si>
  <si>
    <t>¿El agente adapta su comunicación al cliente?12</t>
  </si>
  <si>
    <t>¿El agente muestra entusiasmo genuino?13</t>
  </si>
  <si>
    <t>¿El agente transmite confianza durante la llamada?14</t>
  </si>
  <si>
    <t>¿El agente utiliza el plural corporativo correctamente?15</t>
  </si>
  <si>
    <t>¿El agente mantiene control de la conversación?17</t>
  </si>
  <si>
    <t>¿El agente gestiona bien el tiempo de la interacción?18</t>
  </si>
  <si>
    <t>¿El agente informa correctamente sobre los centros de pago?20</t>
  </si>
  <si>
    <t>¿El agente comunica claramente el precio mensual más impuestos?21</t>
  </si>
  <si>
    <t>¿El agente informa sobre cargos adicionales relacionados?22</t>
  </si>
  <si>
    <t>¿El agente explica el ciclo de facturación adecuadamente?23</t>
  </si>
  <si>
    <t>¿El agente presenta correctamente los beneficios del producto?24</t>
  </si>
  <si>
    <t>¿El agente comunica beneficios emocionales al cliente?25</t>
  </si>
  <si>
    <t>¿El agente realiza un resumen comercial adecuado?26</t>
  </si>
  <si>
    <t>¿El agente detalla correctamente los tiempos operativos?27</t>
  </si>
  <si>
    <t>¿El agente formaliza correctamente el acuerdo de venta?28</t>
  </si>
  <si>
    <t>¿El agente explica los términos y condiciones del servicio?29</t>
  </si>
  <si>
    <t>¿El agente identifica correctamente la solicitud del cliente?30</t>
  </si>
  <si>
    <t>¿El agente evita activar un servicio diferente al solicitado?31</t>
  </si>
  <si>
    <t>¿El agente utiliza correctamente la herramienta de activación?32</t>
  </si>
  <si>
    <t>¿El agente configura adecuadamente el producto contratado?33</t>
  </si>
  <si>
    <t>¿El agente mantiene respeto y cordialidad en toda la interacción?34</t>
  </si>
  <si>
    <t>¿El agente utiliza un lenguaje adecuado y profesional?35</t>
  </si>
  <si>
    <t>¿El agente verifica correctamente la cobertura?36</t>
  </si>
  <si>
    <t>¿El agente solicita la documentación requerida?37</t>
  </si>
  <si>
    <t>¿El agente adjunta correctamente la documentación al sistema?38</t>
  </si>
  <si>
    <t>¿El agente identifica cuentas malas cuando corresponde?39</t>
  </si>
  <si>
    <t>¿El agente realiza la verificación APC según procedimiento?40</t>
  </si>
  <si>
    <t>¿El agente aplica las políticas comerciales de forma correcta?41</t>
  </si>
  <si>
    <t>¿El agente agenda citas o gestiones cuando es necesario?42</t>
  </si>
  <si>
    <t>¿El agente ofrece adecuadamente un producto adicional?43</t>
  </si>
  <si>
    <t>¿El agente realiza venta cruzada cuando corresponde?44</t>
  </si>
  <si>
    <t>¿El agente indaga o sondea adecuadamente las necesidades del cliente?45</t>
  </si>
  <si>
    <t>El agente solicita y gestiona referidos cuando aplica?46</t>
  </si>
  <si>
    <t>¿El agente realiza seguimiento adecuado al caso o solicitud?47</t>
  </si>
  <si>
    <t>¿El agente maneja correctamente las objeciones del cliente?48</t>
  </si>
  <si>
    <t>¿El agente gestiona la oferta según la campaña vigente?49</t>
  </si>
  <si>
    <t>¿El agente solicita coordenadas cuando es necesario?50</t>
  </si>
  <si>
    <t>¿El agente gestiona la recepción de documentos por WhatsApp o correo?51</t>
  </si>
  <si>
    <t>¿El agente maneja adecuadamente llamadas en conferencia?52</t>
  </si>
  <si>
    <t>¿El agente registra correctamente todas las interacciones?53</t>
  </si>
  <si>
    <t>¿El agente confirma la titularidad del cliente adecuadamente?54</t>
  </si>
  <si>
    <t>¿El agente evita la omisión de alertas importantes?55</t>
  </si>
  <si>
    <t>¿El agente mantiene conducta ética durante la interacción?56</t>
  </si>
  <si>
    <t>¿El agente evita compartir información sensible?57</t>
  </si>
  <si>
    <t>SCORE PENC</t>
  </si>
  <si>
    <t>Apertura y cierre corporativo Score</t>
  </si>
  <si>
    <t>Comunicación comercial Score</t>
  </si>
  <si>
    <t>Inteligencia emocional en venta Score</t>
  </si>
  <si>
    <t>Profesionalismo y control de la llamada Score</t>
  </si>
  <si>
    <t>Acepta Oferta</t>
  </si>
  <si>
    <t xml:space="preserve">Precisión Error Crítico Usuario Final </t>
  </si>
  <si>
    <t xml:space="preserve">Precisión Error Crítico Cumplimiento </t>
  </si>
  <si>
    <t xml:space="preserve">Apertura y cierre corporativo Score </t>
  </si>
  <si>
    <t xml:space="preserve">¿El agente realiza despedida corporativa? </t>
  </si>
  <si>
    <t xml:space="preserve">¿El agente personaliza la interacción? </t>
  </si>
  <si>
    <t xml:space="preserve">¿El agente cumple con la identificación formal y profesional? </t>
  </si>
  <si>
    <t xml:space="preserve">Comunicación comercial Score </t>
  </si>
  <si>
    <t xml:space="preserve">¿El agente demuestra escucha activa durante la gestión? </t>
  </si>
  <si>
    <t xml:space="preserve">¿El agente evita interrumpir al cliente? </t>
  </si>
  <si>
    <t xml:space="preserve">¿El agente se comunica con claridad y estructura? </t>
  </si>
  <si>
    <t xml:space="preserve">¿El agente parafrasea para confirmar entendimiento? </t>
  </si>
  <si>
    <t xml:space="preserve">Inteligencia emocional en venta Score </t>
  </si>
  <si>
    <t xml:space="preserve">¿El agente adapta su comunicación al cliente? </t>
  </si>
  <si>
    <t xml:space="preserve">¿El agente muestra entusiasmo genuino? </t>
  </si>
  <si>
    <t xml:space="preserve">¿El agente transmite confianza durante la llamada? </t>
  </si>
  <si>
    <t xml:space="preserve">¿El agente utiliza el plural corporativo correctamente? </t>
  </si>
  <si>
    <t xml:space="preserve">Profesionalismo y control de la llamada Score </t>
  </si>
  <si>
    <t xml:space="preserve">¿El agente mantiene control de la conversación? </t>
  </si>
  <si>
    <t xml:space="preserve">¿El agente gestiona bien el tiempo de la interacción? </t>
  </si>
  <si>
    <t xml:space="preserve">¿El agente informa correctamente sobre los centros de pago? </t>
  </si>
  <si>
    <t xml:space="preserve">¿El agente comunica claramente el precio mensual más impuestos? </t>
  </si>
  <si>
    <t xml:space="preserve">¿El agente informa sobre cargos adicionales relacionados? </t>
  </si>
  <si>
    <t xml:space="preserve">¿El agente explica el ciclo de facturación adecuadamente? </t>
  </si>
  <si>
    <t xml:space="preserve">¿El agente presenta correctamente los beneficios del producto? </t>
  </si>
  <si>
    <t xml:space="preserve">¿El agente comunica beneficios emocionales al cliente? </t>
  </si>
  <si>
    <t xml:space="preserve">¿El agente realiza un resumen comercial adecuado? </t>
  </si>
  <si>
    <t xml:space="preserve">¿El agente detalla correctamente los tiempos operativos? </t>
  </si>
  <si>
    <t xml:space="preserve">¿El agente formaliza correctamente el acuerdo de venta? </t>
  </si>
  <si>
    <t xml:space="preserve">¿El agente explica los términos y condiciones del servicio? </t>
  </si>
  <si>
    <t xml:space="preserve">¿El agente identifica correctamente la solicitud del cliente? </t>
  </si>
  <si>
    <t xml:space="preserve">¿El agente evita activar un servicio diferente al solicitado? </t>
  </si>
  <si>
    <t xml:space="preserve">¿El agente utiliza correctamente la herramienta de activación? </t>
  </si>
  <si>
    <t xml:space="preserve">¿El agente configura adecuadamente el producto contratado? </t>
  </si>
  <si>
    <t xml:space="preserve">¿El agente mantiene respeto y cordialidad en toda la interacción? </t>
  </si>
  <si>
    <t xml:space="preserve">¿El agente utiliza un lenguaje adecuado y profesional? </t>
  </si>
  <si>
    <t xml:space="preserve">¿El agente verifica correctamente la cobertura? </t>
  </si>
  <si>
    <t xml:space="preserve">¿El agente solicita la documentación requerida? </t>
  </si>
  <si>
    <t xml:space="preserve">¿El agente adjunta correctamente la documentación al sistema? </t>
  </si>
  <si>
    <t xml:space="preserve">¿El agente identifica cuentas malas cuando corresponde? </t>
  </si>
  <si>
    <t xml:space="preserve">¿El agente realiza la verificación APC según procedimiento? </t>
  </si>
  <si>
    <t xml:space="preserve">¿El agente aplica las políticas comerciales de forma correcta? </t>
  </si>
  <si>
    <t xml:space="preserve">¿El agente agenda citas o gestiones cuando es necesario? </t>
  </si>
  <si>
    <t xml:space="preserve">¿El agente ofrece adecuadamente un producto adicional? </t>
  </si>
  <si>
    <t xml:space="preserve">¿El agente realiza venta cruzada cuando corresponde? </t>
  </si>
  <si>
    <t xml:space="preserve">¿El agente indaga o sondea adecuadamente las necesidades del cliente? </t>
  </si>
  <si>
    <t>¿El agente solicita y gestiona referidos cuando aplica?</t>
  </si>
  <si>
    <t xml:space="preserve">¿El agente realiza seguimiento adecuado al caso o solicitud? </t>
  </si>
  <si>
    <t xml:space="preserve">¿El agente maneja correctamente las objeciones del cliente? </t>
  </si>
  <si>
    <t xml:space="preserve">¿El agente gestiona la oferta según la campaña vigente? </t>
  </si>
  <si>
    <t xml:space="preserve">¿El agente solicita coordenadas cuando es necesario? </t>
  </si>
  <si>
    <t xml:space="preserve">¿El agente gestiona la recepción de documentos por WhatsApp o correo? </t>
  </si>
  <si>
    <t xml:space="preserve">¿El agente maneja adecuadamente llamadas en conferencia? </t>
  </si>
  <si>
    <t xml:space="preserve">¿El agente registra correctamente todas las interacciones? </t>
  </si>
  <si>
    <t xml:space="preserve">¿El agente confirma la titularidad del cliente adecuadamente? </t>
  </si>
  <si>
    <t xml:space="preserve">¿El agente evita la omisión de alertas importantes? </t>
  </si>
  <si>
    <t xml:space="preserve">¿El agente mantiene conducta ética durante la interacción? </t>
  </si>
  <si>
    <t xml:space="preserve">¿El agente evita compartir información sensible? </t>
  </si>
  <si>
    <t>SCORE</t>
  </si>
  <si>
    <t>Agent único</t>
  </si>
  <si>
    <t>PENC</t>
  </si>
  <si>
    <t>Nombre</t>
  </si>
  <si>
    <t>Antigüedad</t>
  </si>
  <si>
    <t>1 a 30 dias</t>
  </si>
  <si>
    <t>&gt; 60 dias</t>
  </si>
  <si>
    <t>CUARTIL</t>
  </si>
  <si>
    <t>M. Critica</t>
  </si>
  <si>
    <t>% M.Criticas</t>
  </si>
  <si>
    <t>Rango Cuartiles</t>
  </si>
  <si>
    <t>Q1</t>
  </si>
  <si>
    <t>Q2</t>
  </si>
  <si>
    <t>Q3</t>
  </si>
  <si>
    <t>Q4</t>
  </si>
  <si>
    <t>Score Acum Mes en Curso</t>
  </si>
  <si>
    <t>Muestras Evaluadas</t>
  </si>
  <si>
    <t>Agentes Monitoreados</t>
  </si>
  <si>
    <t>Mes</t>
  </si>
  <si>
    <t>Motivo de no aceptacion</t>
  </si>
  <si>
    <t xml:space="preserve">Muestra Critica </t>
  </si>
  <si>
    <t>PECNE2</t>
  </si>
  <si>
    <t>Registro en CRM2</t>
  </si>
  <si>
    <t>Utilización herramientas de apoyo2</t>
  </si>
  <si>
    <t>Adherencia a la oferta2</t>
  </si>
  <si>
    <t>Trato profesional2</t>
  </si>
  <si>
    <t>Activación errada2</t>
  </si>
  <si>
    <t>Terminos y condiciones2</t>
  </si>
  <si>
    <t>Confirmación Operativa 2</t>
  </si>
  <si>
    <t>Presentación de valor del producto2</t>
  </si>
  <si>
    <t>HC Activo</t>
  </si>
  <si>
    <t>% de cumplimiento</t>
  </si>
  <si>
    <t>RESULTADO GENERAL</t>
  </si>
  <si>
    <t>HISTORICO DE CALIDAD</t>
  </si>
  <si>
    <t>RESULTADOS POR CAMPAÑA</t>
  </si>
  <si>
    <t>RESULTADOS POR SUPERVISOR</t>
  </si>
  <si>
    <t>RESULTADOS POR AGENTE</t>
  </si>
  <si>
    <t>Agente unico</t>
  </si>
  <si>
    <t>RESULTADO POR ATRIBUTO</t>
  </si>
  <si>
    <t xml:space="preserve"> Facturación</t>
  </si>
  <si>
    <t xml:space="preserve"> Presentación de valor del producto</t>
  </si>
  <si>
    <t xml:space="preserve"> Confirmación Operativa</t>
  </si>
  <si>
    <t xml:space="preserve"> Terminos y condiciones</t>
  </si>
  <si>
    <t xml:space="preserve"> Derivación erronea</t>
  </si>
  <si>
    <t xml:space="preserve"> Activación errada</t>
  </si>
  <si>
    <t xml:space="preserve"> Trato profesional</t>
  </si>
  <si>
    <t xml:space="preserve"> Politicas de activación</t>
  </si>
  <si>
    <t>Precision Error Critico Negocio</t>
  </si>
  <si>
    <t xml:space="preserve"> Identificación de oportunidad comercial</t>
  </si>
  <si>
    <t xml:space="preserve"> Adherencia a la oferta</t>
  </si>
  <si>
    <t xml:space="preserve"> Utilización herramientas de apoyo</t>
  </si>
  <si>
    <t xml:space="preserve"> Registro en CRM</t>
  </si>
  <si>
    <t xml:space="preserve"> Titularidad</t>
  </si>
  <si>
    <t xml:space="preserve"> Fraude</t>
  </si>
  <si>
    <t xml:space="preserve"> Protección de datos y privacidad</t>
  </si>
  <si>
    <t xml:space="preserve"> M. Critica</t>
  </si>
  <si>
    <t xml:space="preserve"> % M. Criticas</t>
  </si>
  <si>
    <t>31 a 60 dias</t>
  </si>
  <si>
    <t>Cumplimiento</t>
  </si>
  <si>
    <t>Campaña</t>
  </si>
  <si>
    <t>DIRECCIÓN COMERCIAL DE VENTAS B2C</t>
  </si>
  <si>
    <t>CANALES NO PRESENCIALES</t>
  </si>
  <si>
    <t xml:space="preserve">FORMATO DE EVALUACIÓN </t>
  </si>
  <si>
    <t>Datos de la llamada</t>
  </si>
  <si>
    <t>Resultados</t>
  </si>
  <si>
    <t>Nombre del Agente:</t>
  </si>
  <si>
    <t>SCORE:</t>
  </si>
  <si>
    <t>ID Transacción:</t>
  </si>
  <si>
    <t>Fecha:</t>
  </si>
  <si>
    <t>Campaña:</t>
  </si>
  <si>
    <t>PECNE</t>
  </si>
  <si>
    <t>Item</t>
  </si>
  <si>
    <t>Atributo</t>
  </si>
  <si>
    <t>Factor causal</t>
  </si>
  <si>
    <t>Cumple</t>
  </si>
  <si>
    <t>Peso por Atributo</t>
  </si>
  <si>
    <t>Peso de Score</t>
  </si>
  <si>
    <t>Cumplimineto</t>
  </si>
  <si>
    <t>Formula</t>
  </si>
  <si>
    <t>Ponderación</t>
  </si>
  <si>
    <t>Identificación formal y profesional</t>
  </si>
  <si>
    <t xml:space="preserve">Personalización </t>
  </si>
  <si>
    <t>Despedida corporativa</t>
  </si>
  <si>
    <t>Escucha activa</t>
  </si>
  <si>
    <t>No interrumpe.</t>
  </si>
  <si>
    <t xml:space="preserve">Claridad y estructura </t>
  </si>
  <si>
    <t>Parafrasea</t>
  </si>
  <si>
    <t>Adaptacion comunicativa</t>
  </si>
  <si>
    <t>Entusiasmo genuino</t>
  </si>
  <si>
    <t>Transmite confianza</t>
  </si>
  <si>
    <t>Plural corporativo</t>
  </si>
  <si>
    <t>Gestión del tiempo</t>
  </si>
  <si>
    <t>Centros de pago</t>
  </si>
  <si>
    <t xml:space="preserve">Precio mensual+ Impuestos </t>
  </si>
  <si>
    <t>Cargos adicionales</t>
  </si>
  <si>
    <t>Ciclo de facturación</t>
  </si>
  <si>
    <t xml:space="preserve">Presentación de beneficios del producto </t>
  </si>
  <si>
    <t xml:space="preserve">Beneficios Emocionales </t>
  </si>
  <si>
    <t>Resumen Comercial</t>
  </si>
  <si>
    <t>Detalle de Tiempos Operativos</t>
  </si>
  <si>
    <t xml:space="preserve">Términos y condiciones  del servicio </t>
  </si>
  <si>
    <t>Identificación de la Solicitud del Cliente</t>
  </si>
  <si>
    <t>Activa un servicio diferente al requerido</t>
  </si>
  <si>
    <t xml:space="preserve">Configuración del producto </t>
  </si>
  <si>
    <t>Trato profesional</t>
  </si>
  <si>
    <t>Mantenga respeto y cordialidad.</t>
  </si>
  <si>
    <t>Lenguaje adecuado y profesional.</t>
  </si>
  <si>
    <t>Cobertura</t>
  </si>
  <si>
    <t>Documentación requerida</t>
  </si>
  <si>
    <t xml:space="preserve">Adjuntar documentación </t>
  </si>
  <si>
    <t xml:space="preserve">Cuentas malas </t>
  </si>
  <si>
    <t>Verificación APC</t>
  </si>
  <si>
    <t xml:space="preserve">Políticas comerciales </t>
  </si>
  <si>
    <t>Producto adicional</t>
  </si>
  <si>
    <t>Venta cruzada</t>
  </si>
  <si>
    <t>Indaga / Sondea</t>
  </si>
  <si>
    <t xml:space="preserve">Referidos </t>
  </si>
  <si>
    <t xml:space="preserve">Seguimento </t>
  </si>
  <si>
    <t>Manejo de objeciones</t>
  </si>
  <si>
    <t>Gestión de Oferta según Campaña</t>
  </si>
  <si>
    <t>Solicitud Coordenadas</t>
  </si>
  <si>
    <t>Recepción de documentos WA/Correo.</t>
  </si>
  <si>
    <t>Llamadas en conferencia.</t>
  </si>
  <si>
    <t>Registro de las  interacciones</t>
  </si>
  <si>
    <t>Confirmación de Titularidad</t>
  </si>
  <si>
    <t>Omisión de alertas</t>
  </si>
  <si>
    <t xml:space="preserve">Conducta Ética </t>
  </si>
  <si>
    <t xml:space="preserve">Compartir información sensible </t>
  </si>
  <si>
    <t>Fecha de Ingreso</t>
  </si>
  <si>
    <t>Manuel García</t>
  </si>
  <si>
    <t>Lizeth González Mendoza</t>
  </si>
  <si>
    <t>Maycol Lima</t>
  </si>
  <si>
    <t>Jonathan Rene Ortega de la Cruz</t>
  </si>
  <si>
    <t>Auditores</t>
  </si>
  <si>
    <t>Shanyda Botello</t>
  </si>
  <si>
    <t>Ingris Quintero</t>
  </si>
  <si>
    <t>Semanas</t>
  </si>
  <si>
    <t xml:space="preserve"> </t>
  </si>
  <si>
    <t>Pregunta con Valor</t>
  </si>
  <si>
    <t>Pre2Pos</t>
  </si>
  <si>
    <t>Profesionalismo y Control de la llamada</t>
  </si>
  <si>
    <t>Herramienta de activacion</t>
  </si>
  <si>
    <t>Agendamiento</t>
  </si>
  <si>
    <t>Tipo de Muestra</t>
  </si>
  <si>
    <t>No Critica</t>
  </si>
  <si>
    <t>Critica</t>
  </si>
  <si>
    <t>Suma de Muestra</t>
  </si>
  <si>
    <t xml:space="preserve">Max Heurtematte  </t>
  </si>
  <si>
    <t>Gina Batista</t>
  </si>
  <si>
    <t>David Gonzalez</t>
  </si>
  <si>
    <t>Astrid Carolina Camaño</t>
  </si>
  <si>
    <t>Evelyn Torres</t>
  </si>
  <si>
    <t>Mitxely Naar</t>
  </si>
  <si>
    <t>Semana 25</t>
  </si>
  <si>
    <t>jun-26</t>
  </si>
  <si>
    <t>Yaelin Bethancourt</t>
  </si>
  <si>
    <t xml:space="preserve">  Muestra</t>
  </si>
  <si>
    <t>Nedier Barria</t>
  </si>
  <si>
    <t>Lizeth González</t>
  </si>
  <si>
    <t>Jonathan Ortega</t>
  </si>
  <si>
    <t>Semana 26</t>
  </si>
  <si>
    <t>Anabel González Torres</t>
  </si>
  <si>
    <t>Yasmara Tejeira Hernández</t>
  </si>
  <si>
    <t>Rosa Yailene Grenald Tuñón</t>
  </si>
  <si>
    <t>Mary Ann Arenas Bloise</t>
  </si>
  <si>
    <t>Ruth Mariela Rodríguez Guzmán</t>
  </si>
  <si>
    <t>Génesis Deniss Batista</t>
  </si>
  <si>
    <t>Katherine Julibeth Arroyo Gutierrez</t>
  </si>
  <si>
    <t>Isaamelly Ennith Mariscal Muñóz</t>
  </si>
  <si>
    <t>Abdiel Hernández</t>
  </si>
  <si>
    <t>Edgar Alberto Marín Reyes</t>
  </si>
  <si>
    <t>Total general</t>
  </si>
  <si>
    <t>Miliceth Ortega</t>
  </si>
  <si>
    <t>Renovacion</t>
  </si>
  <si>
    <t>Semana 28</t>
  </si>
  <si>
    <t>Cuenta de agent unico</t>
  </si>
  <si>
    <t>Promedio de agent unico</t>
  </si>
  <si>
    <t>jul-26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</si>
</sst>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64" formatCode="0.0%"/>
    <numFmt numFmtId="165" formatCode="dd/mmmm/yyyy"/>
  </numFmts>
  <fonts count="40" x14ac:knownFonts="1">
    <font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6"/>
      <color theme="0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20"/>
      <color theme="0"/>
      <name val="Calibri"/>
      <family val="2"/>
      <scheme val="minor"/>
    </font>
    <font>
      <b/>
      <sz val="24"/>
      <color theme="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name val="Calibri"/>
      <family val="2"/>
      <scheme val="minor"/>
    </font>
    <font>
      <sz val="12"/>
      <name val="Calibri"/>
      <family val="2"/>
      <scheme val="minor"/>
    </font>
    <font>
      <sz val="12"/>
      <color theme="1"/>
      <name val="Calibri"/>
      <family val="2"/>
      <scheme val="minor"/>
    </font>
    <font>
      <b/>
      <u/>
      <sz val="12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theme="1"/>
      <name val="Calibri"/>
      <family val="2"/>
    </font>
    <font>
      <sz val="11"/>
      <color rgb="FF000000"/>
      <name val="Calibri"/>
      <family val="2"/>
    </font>
    <font>
      <b/>
      <sz val="11"/>
      <color theme="0"/>
      <name val="Calibri"/>
      <family val="2"/>
    </font>
    <font>
      <b/>
      <sz val="10.5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2"/>
      <color rgb="FFFF0000"/>
      <name val="Calibri"/>
      <family val="2"/>
      <scheme val="minor"/>
    </font>
    <font>
      <sz val="8"/>
      <name val="Calibri"/>
      <family val="2"/>
      <scheme val="minor"/>
    </font>
    <font>
      <sz val="12"/>
      <color rgb="FF222222"/>
      <name val="Arial"/>
      <family val="2"/>
    </font>
    <font>
      <sz val="9"/>
      <color theme="1"/>
      <name val="Calibri"/>
      <family val="2"/>
      <scheme val="minor"/>
    </font>
    <font>
      <sz val="11"/>
      <color theme="1"/>
      <name val="Calibri"/>
      <scheme val="minor"/>
    </font>
  </fonts>
  <fills count="65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F000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/>
        <bgColor theme="4"/>
      </patternFill>
    </fill>
    <fill>
      <patternFill patternType="solid">
        <fgColor theme="0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5"/>
        <bgColor theme="5"/>
      </patternFill>
    </fill>
    <fill>
      <patternFill patternType="solid">
        <fgColor rgb="FFE94C22"/>
        <bgColor indexed="64"/>
      </patternFill>
    </fill>
    <fill>
      <patternFill patternType="solid">
        <fgColor rgb="FFE84C22"/>
        <bgColor indexed="64"/>
      </patternFill>
    </fill>
    <fill>
      <patternFill patternType="solid">
        <fgColor rgb="FFE84C22"/>
        <bgColor theme="5"/>
      </patternFill>
    </fill>
    <fill>
      <patternFill patternType="solid">
        <fgColor theme="0"/>
        <bgColor rgb="FFFFFFFF"/>
      </patternFill>
    </fill>
    <fill>
      <patternFill patternType="solid">
        <fgColor theme="0"/>
        <bgColor theme="0"/>
      </patternFill>
    </fill>
    <fill>
      <patternFill patternType="solid">
        <fgColor rgb="FFFFFFFF"/>
        <bgColor rgb="FFFFFFFF"/>
      </patternFill>
    </fill>
    <fill>
      <patternFill patternType="solid">
        <fgColor theme="8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indexed="65"/>
        <bgColor indexed="64"/>
      </patternFill>
    </fill>
  </fills>
  <borders count="61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double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</borders>
  <cellStyleXfs count="44">
    <xf numFmtId="0" fontId="0" fillId="0" borderId="0"/>
    <xf numFmtId="0" fontId="1" fillId="2" borderId="1" applyNumberFormat="0" applyAlignment="0" applyProtection="0"/>
    <xf numFmtId="9" fontId="4" fillId="0" borderId="0" applyFont="0" applyFill="0" applyBorder="0" applyAlignment="0" applyProtection="0"/>
    <xf numFmtId="0" fontId="4" fillId="0" borderId="0">
      <alignment vertical="center"/>
    </xf>
    <xf numFmtId="0" fontId="8" fillId="0" borderId="0" applyNumberFormat="0" applyFill="0" applyBorder="0" applyAlignment="0" applyProtection="0"/>
    <xf numFmtId="0" fontId="9" fillId="0" borderId="5" applyNumberFormat="0" applyFill="0" applyAlignment="0" applyProtection="0"/>
    <xf numFmtId="0" fontId="10" fillId="0" borderId="6" applyNumberFormat="0" applyFill="0" applyAlignment="0" applyProtection="0"/>
    <xf numFmtId="0" fontId="11" fillId="0" borderId="7" applyNumberFormat="0" applyFill="0" applyAlignment="0" applyProtection="0"/>
    <xf numFmtId="0" fontId="11" fillId="0" borderId="0" applyNumberFormat="0" applyFill="0" applyBorder="0" applyAlignment="0" applyProtection="0"/>
    <xf numFmtId="0" fontId="12" fillId="8" borderId="0" applyNumberFormat="0" applyBorder="0" applyAlignment="0" applyProtection="0"/>
    <xf numFmtId="0" fontId="13" fillId="9" borderId="0" applyNumberFormat="0" applyBorder="0" applyAlignment="0" applyProtection="0"/>
    <xf numFmtId="0" fontId="14" fillId="10" borderId="0" applyNumberFormat="0" applyBorder="0" applyAlignment="0" applyProtection="0"/>
    <xf numFmtId="0" fontId="15" fillId="11" borderId="8" applyNumberFormat="0" applyAlignment="0" applyProtection="0"/>
    <xf numFmtId="0" fontId="16" fillId="11" borderId="1" applyNumberFormat="0" applyAlignment="0" applyProtection="0"/>
    <xf numFmtId="0" fontId="17" fillId="0" borderId="9" applyNumberFormat="0" applyFill="0" applyAlignment="0" applyProtection="0"/>
    <xf numFmtId="0" fontId="6" fillId="12" borderId="10" applyNumberFormat="0" applyAlignment="0" applyProtection="0"/>
    <xf numFmtId="0" fontId="3" fillId="0" borderId="0" applyNumberFormat="0" applyFill="0" applyBorder="0" applyAlignment="0" applyProtection="0"/>
    <xf numFmtId="0" fontId="4" fillId="13" borderId="11" applyNumberFormat="0" applyFont="0" applyAlignment="0" applyProtection="0"/>
    <xf numFmtId="0" fontId="18" fillId="0" borderId="0" applyNumberFormat="0" applyFill="0" applyBorder="0" applyAlignment="0" applyProtection="0"/>
    <xf numFmtId="0" fontId="2" fillId="0" borderId="12" applyNumberFormat="0" applyFill="0" applyAlignment="0" applyProtection="0"/>
    <xf numFmtId="0" fontId="5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6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4" fillId="19" borderId="0" applyNumberFormat="0" applyBorder="0" applyAlignment="0" applyProtection="0"/>
    <xf numFmtId="0" fontId="4" fillId="20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4" fillId="23" borderId="0" applyNumberFormat="0" applyBorder="0" applyAlignment="0" applyProtection="0"/>
    <xf numFmtId="0" fontId="4" fillId="24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4" fillId="27" borderId="0" applyNumberFormat="0" applyBorder="0" applyAlignment="0" applyProtection="0"/>
    <xf numFmtId="0" fontId="4" fillId="28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4" fillId="31" borderId="0" applyNumberFormat="0" applyBorder="0" applyAlignment="0" applyProtection="0"/>
    <xf numFmtId="0" fontId="4" fillId="32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4" fillId="35" borderId="0" applyNumberFormat="0" applyBorder="0" applyAlignment="0" applyProtection="0"/>
    <xf numFmtId="0" fontId="4" fillId="36" borderId="0" applyNumberFormat="0" applyBorder="0" applyAlignment="0" applyProtection="0"/>
    <xf numFmtId="0" fontId="5" fillId="37" borderId="0" applyNumberFormat="0" applyBorder="0" applyAlignment="0" applyProtection="0"/>
  </cellStyleXfs>
  <cellXfs count="367">
    <xf numFmtId="0" fontId="0" fillId="0" borderId="0" xfId="0"/>
    <xf numFmtId="0" fontId="0" fillId="0" borderId="2" xfId="0" applyBorder="1"/>
    <xf numFmtId="0" fontId="2" fillId="0" borderId="2" xfId="0" applyFont="1" applyBorder="1" applyAlignment="1">
      <alignment horizontal="left"/>
    </xf>
    <xf numFmtId="0" fontId="2" fillId="0" borderId="2" xfId="0" applyFont="1" applyBorder="1"/>
    <xf numFmtId="0" fontId="0" fillId="0" borderId="2" xfId="0" applyBorder="1" applyAlignment="1">
      <alignment horizontal="left"/>
    </xf>
    <xf numFmtId="10" fontId="0" fillId="0" borderId="2" xfId="0" applyNumberFormat="1" applyBorder="1"/>
    <xf numFmtId="10" fontId="2" fillId="0" borderId="2" xfId="0" applyNumberFormat="1" applyFont="1" applyBorder="1"/>
    <xf numFmtId="0" fontId="6" fillId="6" borderId="2" xfId="0" applyFont="1" applyFill="1" applyBorder="1"/>
    <xf numFmtId="0" fontId="0" fillId="0" borderId="2" xfId="0" pivotButton="1" applyBorder="1"/>
    <xf numFmtId="10" fontId="0" fillId="0" borderId="0" xfId="0" applyNumberFormat="1"/>
    <xf numFmtId="10" fontId="6" fillId="6" borderId="2" xfId="0" applyNumberFormat="1" applyFont="1" applyFill="1" applyBorder="1"/>
    <xf numFmtId="10" fontId="2" fillId="0" borderId="0" xfId="0" applyNumberFormat="1" applyFont="1"/>
    <xf numFmtId="164" fontId="0" fillId="0" borderId="2" xfId="0" applyNumberFormat="1" applyBorder="1"/>
    <xf numFmtId="164" fontId="2" fillId="0" borderId="2" xfId="0" applyNumberFormat="1" applyFont="1" applyBorder="1"/>
    <xf numFmtId="164" fontId="0" fillId="0" borderId="2" xfId="0" applyNumberFormat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7" borderId="0" xfId="0" applyFill="1"/>
    <xf numFmtId="0" fontId="0" fillId="41" borderId="0" xfId="0" applyFill="1" applyAlignment="1">
      <alignment horizontal="left" vertical="center"/>
    </xf>
    <xf numFmtId="0" fontId="0" fillId="46" borderId="0" xfId="0" applyFill="1" applyAlignment="1">
      <alignment horizontal="left" vertical="center"/>
    </xf>
    <xf numFmtId="0" fontId="0" fillId="46" borderId="0" xfId="0" applyFill="1"/>
    <xf numFmtId="0" fontId="0" fillId="48" borderId="0" xfId="0" applyFill="1" applyAlignment="1">
      <alignment horizontal="left" vertical="center"/>
    </xf>
    <xf numFmtId="0" fontId="0" fillId="48" borderId="0" xfId="0" applyFill="1"/>
    <xf numFmtId="10" fontId="0" fillId="39" borderId="0" xfId="0" applyNumberFormat="1" applyFill="1"/>
    <xf numFmtId="1" fontId="0" fillId="0" borderId="0" xfId="0" applyNumberFormat="1"/>
    <xf numFmtId="0" fontId="0" fillId="41" borderId="0" xfId="0" applyFill="1"/>
    <xf numFmtId="0" fontId="0" fillId="49" borderId="0" xfId="0" applyFill="1"/>
    <xf numFmtId="9" fontId="0" fillId="0" borderId="0" xfId="0" applyNumberFormat="1"/>
    <xf numFmtId="0" fontId="0" fillId="42" borderId="0" xfId="0" applyFill="1"/>
    <xf numFmtId="0" fontId="0" fillId="45" borderId="0" xfId="0" applyFill="1"/>
    <xf numFmtId="0" fontId="0" fillId="47" borderId="0" xfId="0" applyFill="1"/>
    <xf numFmtId="0" fontId="20" fillId="50" borderId="0" xfId="0" applyFont="1" applyFill="1"/>
    <xf numFmtId="0" fontId="6" fillId="38" borderId="0" xfId="0" applyFont="1" applyFill="1"/>
    <xf numFmtId="0" fontId="0" fillId="43" borderId="0" xfId="0" applyFill="1"/>
    <xf numFmtId="0" fontId="0" fillId="4" borderId="0" xfId="0" applyFill="1"/>
    <xf numFmtId="0" fontId="20" fillId="48" borderId="0" xfId="0" applyFont="1" applyFill="1"/>
    <xf numFmtId="10" fontId="0" fillId="44" borderId="0" xfId="0" applyNumberFormat="1" applyFill="1"/>
    <xf numFmtId="0" fontId="0" fillId="44" borderId="0" xfId="0" applyFill="1"/>
    <xf numFmtId="10" fontId="0" fillId="3" borderId="0" xfId="0" applyNumberFormat="1" applyFill="1"/>
    <xf numFmtId="10" fontId="20" fillId="3" borderId="0" xfId="0" applyNumberFormat="1" applyFont="1" applyFill="1"/>
    <xf numFmtId="0" fontId="0" fillId="3" borderId="0" xfId="0" applyFill="1"/>
    <xf numFmtId="0" fontId="20" fillId="51" borderId="0" xfId="0" applyFont="1" applyFill="1"/>
    <xf numFmtId="0" fontId="6" fillId="5" borderId="0" xfId="0" applyFont="1" applyFill="1"/>
    <xf numFmtId="0" fontId="6" fillId="6" borderId="0" xfId="0" applyFont="1" applyFill="1"/>
    <xf numFmtId="0" fontId="19" fillId="40" borderId="0" xfId="0" applyFont="1" applyFill="1"/>
    <xf numFmtId="0" fontId="19" fillId="7" borderId="0" xfId="0" applyFont="1" applyFill="1"/>
    <xf numFmtId="0" fontId="6" fillId="52" borderId="2" xfId="0" applyFont="1" applyFill="1" applyBorder="1" applyAlignment="1">
      <alignment horizontal="center" vertical="center"/>
    </xf>
    <xf numFmtId="2" fontId="0" fillId="0" borderId="0" xfId="0" applyNumberFormat="1" applyAlignment="1">
      <alignment horizontal="center"/>
    </xf>
    <xf numFmtId="0" fontId="6" fillId="53" borderId="2" xfId="0" applyFont="1" applyFill="1" applyBorder="1"/>
    <xf numFmtId="9" fontId="0" fillId="0" borderId="2" xfId="0" applyNumberFormat="1" applyBorder="1"/>
    <xf numFmtId="9" fontId="0" fillId="0" borderId="2" xfId="0" applyNumberFormat="1" applyBorder="1" applyAlignment="1">
      <alignment horizontal="center"/>
    </xf>
    <xf numFmtId="0" fontId="6" fillId="53" borderId="2" xfId="0" applyFont="1" applyFill="1" applyBorder="1" applyAlignment="1">
      <alignment horizontal="center"/>
    </xf>
    <xf numFmtId="0" fontId="21" fillId="6" borderId="0" xfId="0" applyFont="1" applyFill="1"/>
    <xf numFmtId="0" fontId="0" fillId="0" borderId="0" xfId="0" applyAlignment="1">
      <alignment horizontal="center"/>
    </xf>
    <xf numFmtId="10" fontId="6" fillId="6" borderId="0" xfId="0" applyNumberFormat="1" applyFont="1" applyFill="1"/>
    <xf numFmtId="9" fontId="0" fillId="0" borderId="0" xfId="2" applyFont="1" applyAlignment="1">
      <alignment horizontal="center"/>
    </xf>
    <xf numFmtId="164" fontId="0" fillId="0" borderId="0" xfId="2" applyNumberFormat="1" applyFont="1" applyAlignment="1">
      <alignment horizontal="center"/>
    </xf>
    <xf numFmtId="10" fontId="0" fillId="0" borderId="0" xfId="2" applyNumberFormat="1" applyFont="1" applyAlignment="1">
      <alignment horizontal="center"/>
    </xf>
    <xf numFmtId="164" fontId="0" fillId="0" borderId="0" xfId="2" applyNumberFormat="1" applyFont="1"/>
    <xf numFmtId="10" fontId="6" fillId="6" borderId="2" xfId="0" applyNumberFormat="1" applyFont="1" applyFill="1" applyBorder="1" applyAlignment="1">
      <alignment horizontal="center"/>
    </xf>
    <xf numFmtId="16" fontId="0" fillId="0" borderId="2" xfId="0" applyNumberFormat="1" applyBorder="1" applyAlignment="1">
      <alignment horizontal="left"/>
    </xf>
    <xf numFmtId="0" fontId="3" fillId="0" borderId="0" xfId="0" applyFont="1"/>
    <xf numFmtId="0" fontId="23" fillId="54" borderId="0" xfId="0" applyFont="1" applyFill="1"/>
    <xf numFmtId="0" fontId="0" fillId="54" borderId="0" xfId="0" applyFill="1"/>
    <xf numFmtId="0" fontId="6" fillId="54" borderId="4" xfId="0" applyFont="1" applyFill="1" applyBorder="1"/>
    <xf numFmtId="10" fontId="6" fillId="54" borderId="3" xfId="0" applyNumberFormat="1" applyFont="1" applyFill="1" applyBorder="1"/>
    <xf numFmtId="10" fontId="6" fillId="54" borderId="2" xfId="0" applyNumberFormat="1" applyFont="1" applyFill="1" applyBorder="1"/>
    <xf numFmtId="10" fontId="6" fillId="54" borderId="13" xfId="0" applyNumberFormat="1" applyFont="1" applyFill="1" applyBorder="1"/>
    <xf numFmtId="0" fontId="0" fillId="55" borderId="0" xfId="0" applyFill="1"/>
    <xf numFmtId="0" fontId="6" fillId="55" borderId="2" xfId="0" applyFont="1" applyFill="1" applyBorder="1"/>
    <xf numFmtId="0" fontId="0" fillId="55" borderId="2" xfId="0" applyFill="1" applyBorder="1" applyAlignment="1">
      <alignment horizontal="center"/>
    </xf>
    <xf numFmtId="10" fontId="6" fillId="55" borderId="2" xfId="0" applyNumberFormat="1" applyFont="1" applyFill="1" applyBorder="1"/>
    <xf numFmtId="0" fontId="2" fillId="0" borderId="0" xfId="0" applyFont="1" applyAlignment="1">
      <alignment horizontal="center"/>
    </xf>
    <xf numFmtId="0" fontId="22" fillId="55" borderId="0" xfId="0" applyFont="1" applyFill="1" applyAlignment="1">
      <alignment horizontal="center" vertical="center"/>
    </xf>
    <xf numFmtId="0" fontId="2" fillId="55" borderId="0" xfId="0" applyFont="1" applyFill="1" applyAlignment="1">
      <alignment horizontal="center"/>
    </xf>
    <xf numFmtId="0" fontId="0" fillId="55" borderId="2" xfId="0" applyFill="1" applyBorder="1"/>
    <xf numFmtId="0" fontId="5" fillId="55" borderId="2" xfId="0" applyFont="1" applyFill="1" applyBorder="1"/>
    <xf numFmtId="0" fontId="6" fillId="56" borderId="13" xfId="0" applyFont="1" applyFill="1" applyBorder="1"/>
    <xf numFmtId="1" fontId="0" fillId="55" borderId="2" xfId="0" applyNumberFormat="1" applyFill="1" applyBorder="1"/>
    <xf numFmtId="9" fontId="2" fillId="0" borderId="2" xfId="0" applyNumberFormat="1" applyFont="1" applyBorder="1"/>
    <xf numFmtId="0" fontId="0" fillId="0" borderId="2" xfId="0" applyBorder="1" applyAlignment="1">
      <alignment horizontal="center" vertical="center" wrapText="1"/>
    </xf>
    <xf numFmtId="9" fontId="0" fillId="0" borderId="2" xfId="0" applyNumberFormat="1" applyBorder="1" applyAlignment="1">
      <alignment horizontal="center" vertical="center" wrapText="1"/>
    </xf>
    <xf numFmtId="0" fontId="6" fillId="56" borderId="0" xfId="0" applyFont="1" applyFill="1"/>
    <xf numFmtId="0" fontId="5" fillId="0" borderId="0" xfId="0" applyFont="1"/>
    <xf numFmtId="0" fontId="2" fillId="0" borderId="0" xfId="0" applyFont="1"/>
    <xf numFmtId="0" fontId="25" fillId="0" borderId="0" xfId="0" applyFont="1" applyAlignment="1">
      <alignment horizontal="left"/>
    </xf>
    <xf numFmtId="0" fontId="29" fillId="57" borderId="2" xfId="0" applyFont="1" applyFill="1" applyBorder="1" applyAlignment="1">
      <alignment horizontal="center"/>
    </xf>
    <xf numFmtId="0" fontId="4" fillId="58" borderId="2" xfId="0" applyFont="1" applyFill="1" applyBorder="1" applyAlignment="1">
      <alignment horizontal="center" vertical="center" wrapText="1"/>
    </xf>
    <xf numFmtId="0" fontId="29" fillId="58" borderId="2" xfId="0" applyFont="1" applyFill="1" applyBorder="1" applyAlignment="1">
      <alignment horizontal="center" vertical="center"/>
    </xf>
    <xf numFmtId="14" fontId="30" fillId="58" borderId="2" xfId="0" applyNumberFormat="1" applyFont="1" applyFill="1" applyBorder="1" applyAlignment="1">
      <alignment horizontal="center"/>
    </xf>
    <xf numFmtId="0" fontId="4" fillId="58" borderId="2" xfId="0" applyFont="1" applyFill="1" applyBorder="1" applyAlignment="1">
      <alignment horizontal="center" vertical="center"/>
    </xf>
    <xf numFmtId="14" fontId="30" fillId="0" borderId="2" xfId="0" applyNumberFormat="1" applyFont="1" applyBorder="1" applyAlignment="1">
      <alignment horizontal="center"/>
    </xf>
    <xf numFmtId="14" fontId="30" fillId="0" borderId="2" xfId="0" applyNumberFormat="1" applyFont="1" applyBorder="1" applyAlignment="1">
      <alignment horizontal="center" wrapText="1"/>
    </xf>
    <xf numFmtId="14" fontId="30" fillId="59" borderId="2" xfId="0" applyNumberFormat="1" applyFont="1" applyFill="1" applyBorder="1" applyAlignment="1">
      <alignment horizontal="center" wrapText="1"/>
    </xf>
    <xf numFmtId="0" fontId="6" fillId="52" borderId="0" xfId="0" applyFont="1" applyFill="1"/>
    <xf numFmtId="0" fontId="0" fillId="44" borderId="0" xfId="0" applyFill="1" applyAlignment="1">
      <alignment horizontal="center"/>
    </xf>
    <xf numFmtId="9" fontId="0" fillId="44" borderId="0" xfId="0" applyNumberFormat="1" applyFill="1" applyAlignment="1">
      <alignment horizontal="center"/>
    </xf>
    <xf numFmtId="0" fontId="32" fillId="60" borderId="19" xfId="0" applyFont="1" applyFill="1" applyBorder="1" applyAlignment="1">
      <alignment horizontal="center" vertical="center"/>
    </xf>
    <xf numFmtId="0" fontId="32" fillId="60" borderId="20" xfId="0" applyFont="1" applyFill="1" applyBorder="1" applyAlignment="1">
      <alignment horizontal="center" vertical="center"/>
    </xf>
    <xf numFmtId="0" fontId="6" fillId="60" borderId="20" xfId="0" applyFont="1" applyFill="1" applyBorder="1" applyAlignment="1">
      <alignment horizontal="center" vertical="center"/>
    </xf>
    <xf numFmtId="0" fontId="6" fillId="60" borderId="21" xfId="0" applyFont="1" applyFill="1" applyBorder="1" applyAlignment="1">
      <alignment horizontal="center" vertical="center"/>
    </xf>
    <xf numFmtId="0" fontId="6" fillId="60" borderId="13" xfId="0" applyFont="1" applyFill="1" applyBorder="1" applyAlignment="1">
      <alignment horizontal="center" vertical="center"/>
    </xf>
    <xf numFmtId="0" fontId="6" fillId="60" borderId="2" xfId="0" applyFont="1" applyFill="1" applyBorder="1" applyAlignment="1">
      <alignment horizontal="center" vertical="center" wrapText="1"/>
    </xf>
    <xf numFmtId="0" fontId="6" fillId="60" borderId="2" xfId="0" applyFont="1" applyFill="1" applyBorder="1" applyAlignment="1">
      <alignment horizontal="center" vertical="center"/>
    </xf>
    <xf numFmtId="0" fontId="34" fillId="42" borderId="13" xfId="0" applyFont="1" applyFill="1" applyBorder="1" applyAlignment="1">
      <alignment horizontal="center" vertical="center"/>
    </xf>
    <xf numFmtId="0" fontId="19" fillId="5" borderId="13" xfId="0" applyFont="1" applyFill="1" applyBorder="1" applyAlignment="1">
      <alignment horizontal="center" vertical="center"/>
    </xf>
    <xf numFmtId="0" fontId="0" fillId="0" borderId="19" xfId="0" applyBorder="1" applyAlignment="1">
      <alignment horizontal="left" vertical="center"/>
    </xf>
    <xf numFmtId="0" fontId="0" fillId="0" borderId="23" xfId="0" applyBorder="1"/>
    <xf numFmtId="0" fontId="0" fillId="0" borderId="23" xfId="0" applyBorder="1" applyAlignment="1">
      <alignment horizontal="center"/>
    </xf>
    <xf numFmtId="164" fontId="0" fillId="0" borderId="2" xfId="2" applyNumberFormat="1" applyFont="1" applyBorder="1" applyAlignment="1">
      <alignment horizontal="center" vertical="center"/>
    </xf>
    <xf numFmtId="9" fontId="0" fillId="0" borderId="2" xfId="0" applyNumberFormat="1" applyBorder="1" applyAlignment="1">
      <alignment horizontal="center" vertical="center"/>
    </xf>
    <xf numFmtId="9" fontId="5" fillId="0" borderId="0" xfId="2" applyFont="1"/>
    <xf numFmtId="0" fontId="0" fillId="0" borderId="26" xfId="0" applyBorder="1" applyAlignment="1">
      <alignment horizontal="left" vertical="center"/>
    </xf>
    <xf numFmtId="0" fontId="0" fillId="0" borderId="28" xfId="0" applyBorder="1" applyAlignment="1">
      <alignment horizontal="left" vertical="center"/>
    </xf>
    <xf numFmtId="0" fontId="0" fillId="0" borderId="29" xfId="0" applyBorder="1"/>
    <xf numFmtId="0" fontId="0" fillId="0" borderId="29" xfId="0" applyBorder="1" applyAlignment="1">
      <alignment horizontal="center"/>
    </xf>
    <xf numFmtId="164" fontId="5" fillId="0" borderId="0" xfId="2" applyNumberFormat="1" applyFont="1" applyFill="1" applyBorder="1"/>
    <xf numFmtId="164" fontId="0" fillId="0" borderId="33" xfId="0" applyNumberFormat="1" applyBorder="1" applyAlignment="1">
      <alignment horizontal="center" vertical="center"/>
    </xf>
    <xf numFmtId="9" fontId="0" fillId="0" borderId="34" xfId="0" applyNumberFormat="1" applyBorder="1" applyAlignment="1">
      <alignment horizontal="center" vertical="center"/>
    </xf>
    <xf numFmtId="9" fontId="0" fillId="0" borderId="2" xfId="2" applyFont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29" xfId="0" applyBorder="1" applyAlignment="1">
      <alignment horizontal="center" vertical="center"/>
    </xf>
    <xf numFmtId="0" fontId="0" fillId="0" borderId="23" xfId="0" applyBorder="1" applyAlignment="1">
      <alignment horizontal="left" vertical="center"/>
    </xf>
    <xf numFmtId="0" fontId="0" fillId="0" borderId="2" xfId="0" applyBorder="1" applyAlignment="1">
      <alignment horizontal="left" vertical="center"/>
    </xf>
    <xf numFmtId="0" fontId="0" fillId="0" borderId="29" xfId="0" applyBorder="1" applyAlignment="1">
      <alignment horizontal="left" vertical="center"/>
    </xf>
    <xf numFmtId="9" fontId="0" fillId="0" borderId="24" xfId="0" applyNumberFormat="1" applyBorder="1" applyAlignment="1">
      <alignment horizontal="center" vertical="center"/>
    </xf>
    <xf numFmtId="9" fontId="0" fillId="0" borderId="27" xfId="0" applyNumberFormat="1" applyBorder="1" applyAlignment="1">
      <alignment horizontal="center" vertical="center"/>
    </xf>
    <xf numFmtId="9" fontId="0" fillId="0" borderId="30" xfId="0" applyNumberFormat="1" applyBorder="1" applyAlignment="1">
      <alignment horizontal="center" vertical="center"/>
    </xf>
    <xf numFmtId="14" fontId="31" fillId="0" borderId="2" xfId="0" applyNumberFormat="1" applyFont="1" applyBorder="1" applyAlignment="1">
      <alignment horizontal="center"/>
    </xf>
    <xf numFmtId="0" fontId="5" fillId="52" borderId="0" xfId="0" applyFont="1" applyFill="1"/>
    <xf numFmtId="164" fontId="2" fillId="0" borderId="0" xfId="0" applyNumberFormat="1" applyFont="1" applyAlignment="1">
      <alignment horizontal="center"/>
    </xf>
    <xf numFmtId="0" fontId="2" fillId="0" borderId="0" xfId="0" applyFont="1" applyAlignment="1">
      <alignment horizontal="right"/>
    </xf>
    <xf numFmtId="0" fontId="6" fillId="52" borderId="25" xfId="0" applyFont="1" applyFill="1" applyBorder="1" applyAlignment="1">
      <alignment horizontal="center" vertical="center"/>
    </xf>
    <xf numFmtId="0" fontId="4" fillId="58" borderId="25" xfId="0" applyFont="1" applyFill="1" applyBorder="1" applyAlignment="1">
      <alignment horizontal="center" vertical="center" wrapText="1"/>
    </xf>
    <xf numFmtId="0" fontId="4" fillId="58" borderId="25" xfId="0" applyFont="1" applyFill="1" applyBorder="1" applyAlignment="1">
      <alignment horizontal="center" wrapText="1"/>
    </xf>
    <xf numFmtId="0" fontId="0" fillId="39" borderId="25" xfId="0" applyFill="1" applyBorder="1" applyAlignment="1">
      <alignment horizontal="center" vertical="center"/>
    </xf>
    <xf numFmtId="0" fontId="4" fillId="58" borderId="25" xfId="0" applyFont="1" applyFill="1" applyBorder="1" applyAlignment="1">
      <alignment horizontal="center"/>
    </xf>
    <xf numFmtId="0" fontId="29" fillId="57" borderId="25" xfId="0" applyFont="1" applyFill="1" applyBorder="1" applyAlignment="1">
      <alignment horizontal="center"/>
    </xf>
    <xf numFmtId="0" fontId="6" fillId="52" borderId="47" xfId="0" applyFont="1" applyFill="1" applyBorder="1" applyAlignment="1">
      <alignment horizontal="center" vertical="center"/>
    </xf>
    <xf numFmtId="0" fontId="6" fillId="52" borderId="49" xfId="0" applyFont="1" applyFill="1" applyBorder="1" applyAlignment="1">
      <alignment horizontal="center" vertical="center"/>
    </xf>
    <xf numFmtId="0" fontId="0" fillId="0" borderId="50" xfId="0" applyBorder="1"/>
    <xf numFmtId="0" fontId="0" fillId="0" borderId="51" xfId="0" applyBorder="1"/>
    <xf numFmtId="0" fontId="0" fillId="58" borderId="25" xfId="0" applyFill="1" applyBorder="1" applyAlignment="1">
      <alignment horizontal="center" vertical="center" wrapText="1"/>
    </xf>
    <xf numFmtId="0" fontId="0" fillId="58" borderId="25" xfId="0" applyFill="1" applyBorder="1" applyAlignment="1">
      <alignment horizontal="center" wrapText="1"/>
    </xf>
    <xf numFmtId="0" fontId="6" fillId="0" borderId="47" xfId="0" applyFont="1" applyBorder="1" applyAlignment="1">
      <alignment horizontal="center" vertical="center"/>
    </xf>
    <xf numFmtId="0" fontId="6" fillId="0" borderId="49" xfId="0" applyFont="1" applyBorder="1" applyAlignment="1">
      <alignment horizontal="center" vertical="center"/>
    </xf>
    <xf numFmtId="0" fontId="6" fillId="52" borderId="19" xfId="0" applyFont="1" applyFill="1" applyBorder="1" applyAlignment="1">
      <alignment horizontal="center" vertical="center"/>
    </xf>
    <xf numFmtId="0" fontId="6" fillId="52" borderId="16" xfId="0" applyFont="1" applyFill="1" applyBorder="1" applyAlignment="1">
      <alignment horizontal="center" vertical="center"/>
    </xf>
    <xf numFmtId="0" fontId="0" fillId="58" borderId="26" xfId="0" applyFill="1" applyBorder="1" applyAlignment="1">
      <alignment horizontal="center" vertical="center" wrapText="1"/>
    </xf>
    <xf numFmtId="0" fontId="0" fillId="58" borderId="52" xfId="0" applyFill="1" applyBorder="1" applyAlignment="1">
      <alignment horizontal="center" vertical="center" wrapText="1"/>
    </xf>
    <xf numFmtId="0" fontId="0" fillId="58" borderId="26" xfId="0" applyFill="1" applyBorder="1" applyAlignment="1">
      <alignment horizontal="center" vertical="center"/>
    </xf>
    <xf numFmtId="0" fontId="0" fillId="58" borderId="26" xfId="0" applyFill="1" applyBorder="1" applyAlignment="1">
      <alignment horizontal="center"/>
    </xf>
    <xf numFmtId="0" fontId="29" fillId="57" borderId="52" xfId="0" applyFont="1" applyFill="1" applyBorder="1" applyAlignment="1">
      <alignment horizontal="center"/>
    </xf>
    <xf numFmtId="0" fontId="29" fillId="57" borderId="26" xfId="0" applyFont="1" applyFill="1" applyBorder="1" applyAlignment="1">
      <alignment horizontal="center"/>
    </xf>
    <xf numFmtId="0" fontId="0" fillId="58" borderId="28" xfId="0" applyFill="1" applyBorder="1" applyAlignment="1">
      <alignment horizontal="center" vertical="center" wrapText="1"/>
    </xf>
    <xf numFmtId="0" fontId="0" fillId="0" borderId="53" xfId="0" applyBorder="1"/>
    <xf numFmtId="0" fontId="6" fillId="62" borderId="25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63" borderId="2" xfId="0" applyFill="1" applyBorder="1"/>
    <xf numFmtId="0" fontId="0" fillId="4" borderId="29" xfId="0" applyFill="1" applyBorder="1"/>
    <xf numFmtId="0" fontId="0" fillId="4" borderId="2" xfId="0" applyFill="1" applyBorder="1"/>
    <xf numFmtId="0" fontId="26" fillId="0" borderId="54" xfId="0" applyFont="1" applyBorder="1" applyAlignment="1">
      <alignment horizontal="left"/>
    </xf>
    <xf numFmtId="0" fontId="26" fillId="0" borderId="50" xfId="0" applyFont="1" applyBorder="1" applyAlignment="1">
      <alignment horizontal="left"/>
    </xf>
    <xf numFmtId="0" fontId="26" fillId="0" borderId="51" xfId="0" applyFont="1" applyBorder="1" applyAlignment="1">
      <alignment horizontal="left"/>
    </xf>
    <xf numFmtId="0" fontId="27" fillId="0" borderId="54" xfId="0" applyFont="1" applyBorder="1" applyAlignment="1">
      <alignment horizontal="left"/>
    </xf>
    <xf numFmtId="0" fontId="27" fillId="0" borderId="51" xfId="0" applyFont="1" applyBorder="1" applyAlignment="1">
      <alignment horizontal="left"/>
    </xf>
    <xf numFmtId="0" fontId="27" fillId="0" borderId="50" xfId="0" applyFont="1" applyBorder="1" applyAlignment="1">
      <alignment horizontal="left"/>
    </xf>
    <xf numFmtId="0" fontId="24" fillId="0" borderId="15" xfId="0" applyFont="1" applyBorder="1" applyAlignment="1">
      <alignment horizontal="center" vertical="center"/>
    </xf>
    <xf numFmtId="0" fontId="27" fillId="0" borderId="46" xfId="0" applyFont="1" applyBorder="1" applyAlignment="1">
      <alignment horizontal="left"/>
    </xf>
    <xf numFmtId="0" fontId="27" fillId="43" borderId="51" xfId="0" applyFont="1" applyFill="1" applyBorder="1" applyAlignment="1">
      <alignment horizontal="left"/>
    </xf>
    <xf numFmtId="0" fontId="0" fillId="0" borderId="46" xfId="0" applyBorder="1" applyAlignment="1">
      <alignment horizontal="left"/>
    </xf>
    <xf numFmtId="0" fontId="2" fillId="0" borderId="19" xfId="0" applyFont="1" applyBorder="1" applyAlignment="1">
      <alignment horizontal="center" vertical="center"/>
    </xf>
    <xf numFmtId="0" fontId="2" fillId="0" borderId="26" xfId="0" applyFont="1" applyBorder="1" applyAlignment="1">
      <alignment horizontal="center" vertical="center"/>
    </xf>
    <xf numFmtId="0" fontId="2" fillId="0" borderId="29" xfId="0" applyFont="1" applyBorder="1" applyAlignment="1">
      <alignment horizontal="center" vertical="center"/>
    </xf>
    <xf numFmtId="0" fontId="2" fillId="0" borderId="23" xfId="0" applyFont="1" applyBorder="1" applyAlignment="1">
      <alignment horizontal="center" vertical="center"/>
    </xf>
    <xf numFmtId="0" fontId="6" fillId="40" borderId="15" xfId="0" applyFont="1" applyFill="1" applyBorder="1" applyAlignment="1">
      <alignment horizontal="center" vertical="center"/>
    </xf>
    <xf numFmtId="0" fontId="6" fillId="40" borderId="46" xfId="0" applyFont="1" applyFill="1" applyBorder="1" applyAlignment="1">
      <alignment horizontal="center"/>
    </xf>
    <xf numFmtId="0" fontId="0" fillId="0" borderId="24" xfId="0" applyBorder="1"/>
    <xf numFmtId="0" fontId="0" fillId="0" borderId="30" xfId="0" applyBorder="1"/>
    <xf numFmtId="0" fontId="2" fillId="0" borderId="56" xfId="0" applyFont="1" applyBorder="1" applyAlignment="1">
      <alignment horizontal="center" vertical="center"/>
    </xf>
    <xf numFmtId="0" fontId="0" fillId="0" borderId="57" xfId="0" applyBorder="1"/>
    <xf numFmtId="0" fontId="0" fillId="0" borderId="27" xfId="0" applyBorder="1"/>
    <xf numFmtId="0" fontId="0" fillId="0" borderId="21" xfId="0" applyBorder="1"/>
    <xf numFmtId="0" fontId="27" fillId="51" borderId="54" xfId="0" applyFont="1" applyFill="1" applyBorder="1" applyAlignment="1">
      <alignment horizontal="left"/>
    </xf>
    <xf numFmtId="0" fontId="0" fillId="0" borderId="54" xfId="0" applyBorder="1"/>
    <xf numFmtId="0" fontId="27" fillId="4" borderId="46" xfId="0" applyFont="1" applyFill="1" applyBorder="1" applyAlignment="1">
      <alignment horizontal="left"/>
    </xf>
    <xf numFmtId="0" fontId="27" fillId="43" borderId="50" xfId="0" applyFont="1" applyFill="1" applyBorder="1" applyAlignment="1">
      <alignment horizontal="left"/>
    </xf>
    <xf numFmtId="0" fontId="27" fillId="63" borderId="51" xfId="0" applyFont="1" applyFill="1" applyBorder="1" applyAlignment="1">
      <alignment horizontal="left"/>
    </xf>
    <xf numFmtId="0" fontId="2" fillId="0" borderId="18" xfId="0" applyFont="1" applyBorder="1" applyAlignment="1">
      <alignment horizontal="center"/>
    </xf>
    <xf numFmtId="0" fontId="26" fillId="44" borderId="54" xfId="0" applyFont="1" applyFill="1" applyBorder="1" applyAlignment="1">
      <alignment horizontal="left"/>
    </xf>
    <xf numFmtId="0" fontId="26" fillId="44" borderId="50" xfId="0" applyFont="1" applyFill="1" applyBorder="1" applyAlignment="1">
      <alignment horizontal="left"/>
    </xf>
    <xf numFmtId="0" fontId="26" fillId="44" borderId="51" xfId="0" applyFont="1" applyFill="1" applyBorder="1" applyAlignment="1">
      <alignment horizontal="left"/>
    </xf>
    <xf numFmtId="0" fontId="35" fillId="48" borderId="46" xfId="0" applyFont="1" applyFill="1" applyBorder="1" applyAlignment="1">
      <alignment horizontal="left"/>
    </xf>
    <xf numFmtId="0" fontId="35" fillId="48" borderId="54" xfId="0" applyFont="1" applyFill="1" applyBorder="1" applyAlignment="1">
      <alignment horizontal="left"/>
    </xf>
    <xf numFmtId="0" fontId="35" fillId="48" borderId="51" xfId="0" applyFont="1" applyFill="1" applyBorder="1" applyAlignment="1">
      <alignment horizontal="left"/>
    </xf>
    <xf numFmtId="0" fontId="3" fillId="48" borderId="46" xfId="0" applyFont="1" applyFill="1" applyBorder="1" applyAlignment="1">
      <alignment horizontal="left"/>
    </xf>
    <xf numFmtId="0" fontId="27" fillId="45" borderId="54" xfId="0" applyFont="1" applyFill="1" applyBorder="1" applyAlignment="1">
      <alignment horizontal="left"/>
    </xf>
    <xf numFmtId="0" fontId="27" fillId="45" borderId="50" xfId="0" applyFont="1" applyFill="1" applyBorder="1" applyAlignment="1">
      <alignment horizontal="left"/>
    </xf>
    <xf numFmtId="0" fontId="27" fillId="45" borderId="51" xfId="0" applyFont="1" applyFill="1" applyBorder="1" applyAlignment="1">
      <alignment horizontal="left"/>
    </xf>
    <xf numFmtId="0" fontId="27" fillId="45" borderId="46" xfId="0" applyFont="1" applyFill="1" applyBorder="1" applyAlignment="1">
      <alignment horizontal="left"/>
    </xf>
    <xf numFmtId="0" fontId="33" fillId="48" borderId="17" xfId="0" applyFont="1" applyFill="1" applyBorder="1" applyAlignment="1">
      <alignment horizontal="center" vertical="center"/>
    </xf>
    <xf numFmtId="0" fontId="33" fillId="48" borderId="48" xfId="0" applyFont="1" applyFill="1" applyBorder="1" applyAlignment="1">
      <alignment horizontal="center" vertical="center"/>
    </xf>
    <xf numFmtId="0" fontId="33" fillId="48" borderId="15" xfId="0" applyFont="1" applyFill="1" applyBorder="1" applyAlignment="1">
      <alignment horizontal="center" vertical="center"/>
    </xf>
    <xf numFmtId="0" fontId="33" fillId="48" borderId="18" xfId="0" applyFont="1" applyFill="1" applyBorder="1" applyAlignment="1">
      <alignment horizontal="center" vertical="center"/>
    </xf>
    <xf numFmtId="0" fontId="33" fillId="0" borderId="0" xfId="0" applyFont="1" applyAlignment="1">
      <alignment horizontal="right" vertical="center"/>
    </xf>
    <xf numFmtId="0" fontId="6" fillId="0" borderId="0" xfId="0" applyFont="1"/>
    <xf numFmtId="0" fontId="6" fillId="0" borderId="0" xfId="0" applyFont="1" applyAlignment="1">
      <alignment horizontal="center"/>
    </xf>
    <xf numFmtId="0" fontId="25" fillId="50" borderId="26" xfId="0" applyFont="1" applyFill="1" applyBorder="1" applyAlignment="1">
      <alignment horizontal="right" vertical="center"/>
    </xf>
    <xf numFmtId="0" fontId="2" fillId="48" borderId="26" xfId="0" applyFont="1" applyFill="1" applyBorder="1" applyAlignment="1">
      <alignment horizontal="right" wrapText="1"/>
    </xf>
    <xf numFmtId="164" fontId="2" fillId="0" borderId="27" xfId="0" applyNumberFormat="1" applyFont="1" applyBorder="1" applyAlignment="1">
      <alignment horizontal="center"/>
    </xf>
    <xf numFmtId="0" fontId="2" fillId="48" borderId="26" xfId="0" applyFont="1" applyFill="1" applyBorder="1" applyAlignment="1">
      <alignment horizontal="right"/>
    </xf>
    <xf numFmtId="0" fontId="2" fillId="48" borderId="28" xfId="0" applyFont="1" applyFill="1" applyBorder="1" applyAlignment="1">
      <alignment horizontal="right"/>
    </xf>
    <xf numFmtId="164" fontId="2" fillId="0" borderId="30" xfId="0" applyNumberFormat="1" applyFont="1" applyBorder="1" applyAlignment="1">
      <alignment horizontal="center"/>
    </xf>
    <xf numFmtId="17" fontId="6" fillId="6" borderId="0" xfId="0" applyNumberFormat="1" applyFont="1" applyFill="1"/>
    <xf numFmtId="1" fontId="0" fillId="0" borderId="2" xfId="0" applyNumberFormat="1" applyBorder="1"/>
    <xf numFmtId="0" fontId="0" fillId="39" borderId="0" xfId="0" applyFill="1" applyAlignment="1">
      <alignment horizontal="center"/>
    </xf>
    <xf numFmtId="0" fontId="0" fillId="39" borderId="0" xfId="0" applyFill="1"/>
    <xf numFmtId="0" fontId="6" fillId="39" borderId="0" xfId="0" applyFont="1" applyFill="1" applyAlignment="1">
      <alignment horizontal="center" vertical="center"/>
    </xf>
    <xf numFmtId="0" fontId="6" fillId="39" borderId="0" xfId="0" applyFont="1" applyFill="1" applyAlignment="1">
      <alignment horizontal="center"/>
    </xf>
    <xf numFmtId="0" fontId="6" fillId="39" borderId="0" xfId="0" applyFont="1" applyFill="1"/>
    <xf numFmtId="0" fontId="25" fillId="39" borderId="0" xfId="0" applyFont="1" applyFill="1" applyAlignment="1">
      <alignment vertical="center"/>
    </xf>
    <xf numFmtId="0" fontId="26" fillId="39" borderId="0" xfId="0" applyFont="1" applyFill="1" applyAlignment="1">
      <alignment horizontal="left"/>
    </xf>
    <xf numFmtId="0" fontId="27" fillId="39" borderId="0" xfId="0" applyFont="1" applyFill="1" applyAlignment="1">
      <alignment horizontal="left"/>
    </xf>
    <xf numFmtId="0" fontId="24" fillId="39" borderId="0" xfId="0" applyFont="1" applyFill="1" applyAlignment="1">
      <alignment vertical="center"/>
    </xf>
    <xf numFmtId="0" fontId="24" fillId="39" borderId="0" xfId="0" applyFont="1" applyFill="1" applyAlignment="1">
      <alignment horizontal="center" vertical="center"/>
    </xf>
    <xf numFmtId="0" fontId="19" fillId="39" borderId="0" xfId="0" applyFont="1" applyFill="1"/>
    <xf numFmtId="0" fontId="0" fillId="39" borderId="0" xfId="0" applyFill="1" applyAlignment="1">
      <alignment horizontal="left"/>
    </xf>
    <xf numFmtId="1" fontId="0" fillId="39" borderId="0" xfId="0" applyNumberFormat="1" applyFill="1"/>
    <xf numFmtId="0" fontId="0" fillId="39" borderId="0" xfId="0" applyFill="1" applyAlignment="1">
      <alignment horizontal="center" vertical="center"/>
    </xf>
    <xf numFmtId="1" fontId="2" fillId="0" borderId="2" xfId="0" applyNumberFormat="1" applyFont="1" applyBorder="1"/>
    <xf numFmtId="10" fontId="24" fillId="5" borderId="27" xfId="0" applyNumberFormat="1" applyFont="1" applyFill="1" applyBorder="1" applyAlignment="1">
      <alignment horizontal="center" wrapText="1"/>
    </xf>
    <xf numFmtId="0" fontId="33" fillId="48" borderId="2" xfId="0" applyFont="1" applyFill="1" applyBorder="1" applyAlignment="1">
      <alignment horizontal="right" vertical="center"/>
    </xf>
    <xf numFmtId="165" fontId="0" fillId="0" borderId="2" xfId="0" applyNumberFormat="1" applyBorder="1" applyAlignment="1">
      <alignment horizontal="left" wrapText="1"/>
    </xf>
    <xf numFmtId="0" fontId="33" fillId="0" borderId="0" xfId="0" applyFont="1" applyAlignment="1">
      <alignment horizontal="left"/>
    </xf>
    <xf numFmtId="14" fontId="33" fillId="0" borderId="0" xfId="0" applyNumberFormat="1" applyFont="1" applyAlignment="1">
      <alignment horizontal="center"/>
    </xf>
    <xf numFmtId="0" fontId="26" fillId="0" borderId="0" xfId="0" applyFont="1" applyAlignment="1">
      <alignment horizontal="left"/>
    </xf>
    <xf numFmtId="0" fontId="27" fillId="0" borderId="0" xfId="0" applyFont="1" applyAlignment="1">
      <alignment horizontal="left"/>
    </xf>
    <xf numFmtId="0" fontId="35" fillId="0" borderId="0" xfId="0" applyFont="1" applyAlignment="1">
      <alignment horizontal="left"/>
    </xf>
    <xf numFmtId="0" fontId="3" fillId="0" borderId="0" xfId="0" applyFont="1" applyAlignment="1">
      <alignment horizontal="left"/>
    </xf>
    <xf numFmtId="0" fontId="20" fillId="0" borderId="0" xfId="0" applyFont="1"/>
    <xf numFmtId="10" fontId="20" fillId="0" borderId="0" xfId="0" applyNumberFormat="1" applyFont="1"/>
    <xf numFmtId="164" fontId="20" fillId="0" borderId="0" xfId="0" applyNumberFormat="1" applyFont="1"/>
    <xf numFmtId="0" fontId="19" fillId="0" borderId="0" xfId="0" applyFont="1"/>
    <xf numFmtId="14" fontId="33" fillId="0" borderId="0" xfId="0" applyNumberFormat="1" applyFont="1" applyAlignment="1">
      <alignment horizontal="left"/>
    </xf>
    <xf numFmtId="0" fontId="6" fillId="5" borderId="0" xfId="0" applyFont="1" applyFill="1" applyAlignment="1">
      <alignment horizontal="center"/>
    </xf>
    <xf numFmtId="0" fontId="19" fillId="0" borderId="0" xfId="0" applyFont="1" applyAlignment="1">
      <alignment horizontal="center"/>
    </xf>
    <xf numFmtId="14" fontId="19" fillId="0" borderId="0" xfId="0" applyNumberFormat="1" applyFont="1"/>
    <xf numFmtId="1" fontId="0" fillId="0" borderId="2" xfId="0" applyNumberFormat="1" applyBorder="1" applyAlignment="1">
      <alignment horizontal="center"/>
    </xf>
    <xf numFmtId="0" fontId="6" fillId="6" borderId="0" xfId="0" applyFont="1" applyFill="1" applyAlignment="1">
      <alignment horizontal="center"/>
    </xf>
    <xf numFmtId="0" fontId="37" fillId="0" borderId="0" xfId="0" applyFont="1" applyAlignment="1">
      <alignment horizontal="left" vertical="center" wrapText="1" indent="1"/>
    </xf>
    <xf numFmtId="0" fontId="0" fillId="0" borderId="0" xfId="0" applyFont="1" applyFill="1" applyAlignment="1">
      <alignment horizontal="left"/>
    </xf>
    <xf numFmtId="0" fontId="24" fillId="0" borderId="0" xfId="0" applyFont="1" applyFill="1" applyAlignment="1">
      <alignment horizontal="left"/>
    </xf>
    <xf numFmtId="0" fontId="25" fillId="0" borderId="0" xfId="0" applyFont="1" applyFill="1" applyAlignment="1">
      <alignment horizontal="left"/>
    </xf>
    <xf numFmtId="0" fontId="26" fillId="0" borderId="0" xfId="0" applyFont="1" applyFill="1" applyAlignment="1">
      <alignment horizontal="left"/>
    </xf>
    <xf numFmtId="0" fontId="27" fillId="0" borderId="0" xfId="0" applyFont="1" applyFill="1" applyAlignment="1">
      <alignment horizontal="left"/>
    </xf>
    <xf numFmtId="0" fontId="28" fillId="0" borderId="0" xfId="0" applyFont="1" applyFill="1" applyAlignment="1">
      <alignment horizontal="left"/>
    </xf>
    <xf numFmtId="0" fontId="0" fillId="0" borderId="2" xfId="0" applyNumberFormat="1" applyBorder="1"/>
    <xf numFmtId="0" fontId="0" fillId="0" borderId="2" xfId="0" applyNumberFormat="1" applyBorder="1" applyAlignment="1">
      <alignment horizontal="center"/>
    </xf>
    <xf numFmtId="0" fontId="5" fillId="55" borderId="2" xfId="0" applyNumberFormat="1" applyFont="1" applyFill="1" applyBorder="1"/>
    <xf numFmtId="0" fontId="2" fillId="0" borderId="2" xfId="0" applyNumberFormat="1" applyFont="1" applyBorder="1"/>
    <xf numFmtId="0" fontId="0" fillId="55" borderId="2" xfId="0" applyNumberFormat="1" applyFill="1" applyBorder="1" applyAlignment="1">
      <alignment horizontal="center"/>
    </xf>
    <xf numFmtId="0" fontId="2" fillId="48" borderId="22" xfId="0" applyFont="1" applyFill="1" applyBorder="1" applyAlignment="1">
      <alignment horizontal="center" vertical="center"/>
    </xf>
    <xf numFmtId="0" fontId="2" fillId="48" borderId="32" xfId="0" applyFont="1" applyFill="1" applyBorder="1" applyAlignment="1">
      <alignment horizontal="center" vertical="center"/>
    </xf>
    <xf numFmtId="0" fontId="0" fillId="0" borderId="19" xfId="0" applyBorder="1" applyAlignment="1">
      <alignment horizontal="left" vertical="center"/>
    </xf>
    <xf numFmtId="0" fontId="0" fillId="0" borderId="26" xfId="0" applyBorder="1" applyAlignment="1">
      <alignment horizontal="left" vertical="center"/>
    </xf>
    <xf numFmtId="0" fontId="0" fillId="0" borderId="28" xfId="0" applyBorder="1" applyAlignment="1">
      <alignment horizontal="left" vertical="center"/>
    </xf>
    <xf numFmtId="164" fontId="0" fillId="0" borderId="24" xfId="0" applyNumberFormat="1" applyBorder="1" applyAlignment="1">
      <alignment horizontal="center" vertical="center"/>
    </xf>
    <xf numFmtId="164" fontId="0" fillId="0" borderId="27" xfId="0" applyNumberFormat="1" applyBorder="1" applyAlignment="1">
      <alignment horizontal="center" vertical="center"/>
    </xf>
    <xf numFmtId="164" fontId="0" fillId="0" borderId="30" xfId="0" applyNumberFormat="1" applyBorder="1" applyAlignment="1">
      <alignment horizontal="center" vertical="center"/>
    </xf>
    <xf numFmtId="9" fontId="0" fillId="0" borderId="25" xfId="0" applyNumberFormat="1" applyBorder="1" applyAlignment="1">
      <alignment horizontal="center" vertical="center"/>
    </xf>
    <xf numFmtId="0" fontId="0" fillId="0" borderId="25" xfId="0" applyBorder="1" applyAlignment="1">
      <alignment horizontal="center" vertical="center"/>
    </xf>
    <xf numFmtId="9" fontId="0" fillId="0" borderId="13" xfId="0" applyNumberFormat="1" applyBorder="1" applyAlignment="1">
      <alignment horizontal="center" vertical="center"/>
    </xf>
    <xf numFmtId="9" fontId="0" fillId="0" borderId="21" xfId="0" applyNumberFormat="1" applyBorder="1" applyAlignment="1">
      <alignment horizontal="center" vertical="center"/>
    </xf>
    <xf numFmtId="9" fontId="0" fillId="0" borderId="34" xfId="0" applyNumberFormat="1" applyBorder="1" applyAlignment="1">
      <alignment horizontal="center" vertical="center"/>
    </xf>
    <xf numFmtId="0" fontId="2" fillId="0" borderId="0" xfId="0" applyFont="1" applyAlignment="1">
      <alignment horizontal="center"/>
    </xf>
    <xf numFmtId="0" fontId="32" fillId="60" borderId="2" xfId="0" applyFont="1" applyFill="1" applyBorder="1" applyAlignment="1">
      <alignment horizontal="center" vertical="center"/>
    </xf>
    <xf numFmtId="0" fontId="6" fillId="60" borderId="60" xfId="0" applyFont="1" applyFill="1" applyBorder="1" applyAlignment="1">
      <alignment horizontal="center" vertical="center"/>
    </xf>
    <xf numFmtId="0" fontId="6" fillId="60" borderId="49" xfId="0" applyFont="1" applyFill="1" applyBorder="1" applyAlignment="1">
      <alignment horizontal="center" vertical="center"/>
    </xf>
    <xf numFmtId="0" fontId="2" fillId="49" borderId="35" xfId="0" applyFont="1" applyFill="1" applyBorder="1" applyAlignment="1">
      <alignment horizontal="center" vertical="center"/>
    </xf>
    <xf numFmtId="0" fontId="2" fillId="49" borderId="39" xfId="0" applyFont="1" applyFill="1" applyBorder="1" applyAlignment="1">
      <alignment horizontal="center" vertical="center"/>
    </xf>
    <xf numFmtId="0" fontId="2" fillId="49" borderId="18" xfId="0" applyFont="1" applyFill="1" applyBorder="1" applyAlignment="1">
      <alignment horizontal="center" vertical="center"/>
    </xf>
    <xf numFmtId="9" fontId="0" fillId="0" borderId="31" xfId="0" applyNumberFormat="1" applyBorder="1" applyAlignment="1">
      <alignment horizontal="center" vertical="center"/>
    </xf>
    <xf numFmtId="9" fontId="0" fillId="0" borderId="40" xfId="0" applyNumberFormat="1" applyBorder="1" applyAlignment="1">
      <alignment horizontal="center" vertical="center"/>
    </xf>
    <xf numFmtId="9" fontId="0" fillId="0" borderId="33" xfId="0" applyNumberFormat="1" applyBorder="1" applyAlignment="1">
      <alignment horizontal="center" vertical="center"/>
    </xf>
    <xf numFmtId="9" fontId="0" fillId="0" borderId="36" xfId="0" applyNumberFormat="1" applyBorder="1" applyAlignment="1">
      <alignment horizontal="center" vertical="center"/>
    </xf>
    <xf numFmtId="0" fontId="0" fillId="0" borderId="58" xfId="0" applyBorder="1" applyAlignment="1">
      <alignment horizontal="center" vertical="center"/>
    </xf>
    <xf numFmtId="0" fontId="0" fillId="0" borderId="42" xfId="0" applyBorder="1" applyAlignment="1">
      <alignment horizontal="center" vertical="center"/>
    </xf>
    <xf numFmtId="9" fontId="0" fillId="0" borderId="37" xfId="0" applyNumberFormat="1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59" xfId="0" applyBorder="1" applyAlignment="1">
      <alignment horizontal="center" vertical="center"/>
    </xf>
    <xf numFmtId="0" fontId="0" fillId="0" borderId="30" xfId="0" applyBorder="1" applyAlignment="1">
      <alignment horizontal="center" vertical="center"/>
    </xf>
    <xf numFmtId="9" fontId="0" fillId="0" borderId="38" xfId="2" applyFont="1" applyBorder="1" applyAlignment="1">
      <alignment horizontal="center" vertical="center"/>
    </xf>
    <xf numFmtId="9" fontId="0" fillId="0" borderId="41" xfId="2" applyFont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0" borderId="29" xfId="0" applyBorder="1" applyAlignment="1">
      <alignment horizontal="center" vertical="center"/>
    </xf>
    <xf numFmtId="164" fontId="0" fillId="0" borderId="2" xfId="2" applyNumberFormat="1" applyFont="1" applyBorder="1" applyAlignment="1">
      <alignment horizontal="center" vertical="center"/>
    </xf>
    <xf numFmtId="9" fontId="0" fillId="0" borderId="2" xfId="0" applyNumberFormat="1" applyBorder="1" applyAlignment="1">
      <alignment horizontal="center" vertical="center"/>
    </xf>
    <xf numFmtId="0" fontId="0" fillId="0" borderId="38" xfId="0" applyBorder="1" applyAlignment="1">
      <alignment horizontal="left" vertical="center"/>
    </xf>
    <xf numFmtId="0" fontId="2" fillId="50" borderId="43" xfId="0" applyFont="1" applyFill="1" applyBorder="1" applyAlignment="1">
      <alignment horizontal="center" vertical="center"/>
    </xf>
    <xf numFmtId="0" fontId="2" fillId="50" borderId="41" xfId="0" applyFont="1" applyFill="1" applyBorder="1" applyAlignment="1">
      <alignment horizontal="center" vertical="center"/>
    </xf>
    <xf numFmtId="0" fontId="2" fillId="50" borderId="44" xfId="0" applyFont="1" applyFill="1" applyBorder="1" applyAlignment="1">
      <alignment horizontal="center" vertical="center"/>
    </xf>
    <xf numFmtId="0" fontId="0" fillId="0" borderId="23" xfId="0" applyBorder="1" applyAlignment="1">
      <alignment horizontal="left" vertical="center"/>
    </xf>
    <xf numFmtId="0" fontId="0" fillId="0" borderId="2" xfId="0" applyBorder="1" applyAlignment="1">
      <alignment horizontal="left" vertical="center"/>
    </xf>
    <xf numFmtId="0" fontId="2" fillId="61" borderId="43" xfId="0" applyFont="1" applyFill="1" applyBorder="1" applyAlignment="1">
      <alignment horizontal="center" vertical="center"/>
    </xf>
    <xf numFmtId="0" fontId="2" fillId="61" borderId="41" xfId="0" applyFont="1" applyFill="1" applyBorder="1" applyAlignment="1">
      <alignment horizontal="center" vertical="center"/>
    </xf>
    <xf numFmtId="0" fontId="2" fillId="61" borderId="44" xfId="0" applyFont="1" applyFill="1" applyBorder="1" applyAlignment="1">
      <alignment horizontal="center" vertical="center"/>
    </xf>
    <xf numFmtId="9" fontId="0" fillId="0" borderId="20" xfId="0" applyNumberFormat="1" applyBorder="1" applyAlignment="1">
      <alignment horizontal="center" vertical="center"/>
    </xf>
    <xf numFmtId="9" fontId="0" fillId="0" borderId="45" xfId="0" applyNumberFormat="1" applyBorder="1" applyAlignment="1">
      <alignment horizontal="center" vertical="center"/>
    </xf>
    <xf numFmtId="9" fontId="0" fillId="0" borderId="23" xfId="0" applyNumberFormat="1" applyBorder="1" applyAlignment="1">
      <alignment horizontal="center" vertical="center"/>
    </xf>
    <xf numFmtId="9" fontId="0" fillId="0" borderId="24" xfId="0" applyNumberFormat="1" applyBorder="1" applyAlignment="1">
      <alignment horizontal="center" vertical="center"/>
    </xf>
    <xf numFmtId="9" fontId="0" fillId="0" borderId="27" xfId="0" applyNumberFormat="1" applyBorder="1" applyAlignment="1">
      <alignment horizontal="center" vertical="center"/>
    </xf>
    <xf numFmtId="9" fontId="0" fillId="0" borderId="30" xfId="0" applyNumberFormat="1" applyBorder="1" applyAlignment="1">
      <alignment horizontal="center" vertical="center"/>
    </xf>
    <xf numFmtId="0" fontId="2" fillId="39" borderId="0" xfId="0" applyFont="1" applyFill="1" applyAlignment="1">
      <alignment horizontal="center" vertical="center"/>
    </xf>
    <xf numFmtId="0" fontId="0" fillId="43" borderId="0" xfId="0" applyFill="1" applyAlignment="1">
      <alignment horizontal="center"/>
    </xf>
    <xf numFmtId="0" fontId="0" fillId="44" borderId="0" xfId="0" applyFill="1" applyAlignment="1">
      <alignment horizontal="center"/>
    </xf>
    <xf numFmtId="9" fontId="0" fillId="43" borderId="0" xfId="0" applyNumberFormat="1" applyFill="1" applyAlignment="1">
      <alignment horizontal="center"/>
    </xf>
    <xf numFmtId="9" fontId="0" fillId="44" borderId="0" xfId="0" applyNumberFormat="1" applyFill="1" applyAlignment="1">
      <alignment horizontal="center"/>
    </xf>
    <xf numFmtId="0" fontId="0" fillId="7" borderId="0" xfId="0" applyFill="1" applyAlignment="1">
      <alignment horizontal="center"/>
    </xf>
    <xf numFmtId="0" fontId="0" fillId="41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0" fillId="49" borderId="0" xfId="0" applyFill="1" applyAlignment="1">
      <alignment horizontal="center"/>
    </xf>
    <xf numFmtId="0" fontId="24" fillId="0" borderId="35" xfId="0" applyFont="1" applyBorder="1" applyAlignment="1">
      <alignment horizontal="center" vertical="center"/>
    </xf>
    <xf numFmtId="0" fontId="24" fillId="0" borderId="18" xfId="0" applyFont="1" applyBorder="1" applyAlignment="1">
      <alignment horizontal="center" vertical="center"/>
    </xf>
    <xf numFmtId="0" fontId="25" fillId="0" borderId="35" xfId="0" applyFont="1" applyBorder="1" applyAlignment="1">
      <alignment horizontal="center" vertical="center"/>
    </xf>
    <xf numFmtId="0" fontId="25" fillId="0" borderId="39" xfId="0" applyFont="1" applyBorder="1" applyAlignment="1">
      <alignment horizontal="center" vertical="center"/>
    </xf>
    <xf numFmtId="0" fontId="25" fillId="0" borderId="18" xfId="0" applyFont="1" applyBorder="1" applyAlignment="1">
      <alignment horizontal="center" vertical="center"/>
    </xf>
    <xf numFmtId="0" fontId="24" fillId="0" borderId="39" xfId="0" applyFont="1" applyBorder="1" applyAlignment="1">
      <alignment horizontal="center" vertical="center"/>
    </xf>
    <xf numFmtId="0" fontId="2" fillId="0" borderId="43" xfId="0" applyFont="1" applyBorder="1" applyAlignment="1">
      <alignment horizontal="center" vertical="center"/>
    </xf>
    <xf numFmtId="0" fontId="2" fillId="0" borderId="41" xfId="0" applyFont="1" applyBorder="1" applyAlignment="1">
      <alignment horizontal="center" vertical="center"/>
    </xf>
    <xf numFmtId="0" fontId="2" fillId="0" borderId="38" xfId="0" applyFont="1" applyBorder="1" applyAlignment="1">
      <alignment horizontal="center" vertical="center"/>
    </xf>
    <xf numFmtId="0" fontId="2" fillId="0" borderId="44" xfId="0" applyFont="1" applyBorder="1" applyAlignment="1">
      <alignment horizontal="center" vertical="center"/>
    </xf>
    <xf numFmtId="0" fontId="2" fillId="0" borderId="35" xfId="0" applyFont="1" applyBorder="1" applyAlignment="1">
      <alignment horizontal="center" vertical="center"/>
    </xf>
    <xf numFmtId="0" fontId="2" fillId="0" borderId="39" xfId="0" applyFont="1" applyBorder="1" applyAlignment="1">
      <alignment horizontal="center" vertical="center"/>
    </xf>
    <xf numFmtId="0" fontId="2" fillId="0" borderId="55" xfId="0" applyFont="1" applyBorder="1" applyAlignment="1">
      <alignment horizontal="center" vertical="center"/>
    </xf>
    <xf numFmtId="0" fontId="22" fillId="54" borderId="0" xfId="0" applyFont="1" applyFill="1" applyAlignment="1">
      <alignment horizontal="center" vertical="center"/>
    </xf>
    <xf numFmtId="0" fontId="2" fillId="7" borderId="0" xfId="0" applyFont="1" applyFill="1" applyAlignment="1">
      <alignment horizontal="center" vertical="center"/>
    </xf>
    <xf numFmtId="0" fontId="23" fillId="54" borderId="0" xfId="0" applyFont="1" applyFill="1" applyAlignment="1">
      <alignment horizontal="center" vertical="center"/>
    </xf>
    <xf numFmtId="0" fontId="22" fillId="55" borderId="0" xfId="0" applyFont="1" applyFill="1" applyAlignment="1">
      <alignment horizontal="center" vertical="center"/>
    </xf>
    <xf numFmtId="0" fontId="2" fillId="0" borderId="14" xfId="0" applyFont="1" applyBorder="1" applyAlignment="1">
      <alignment horizontal="center"/>
    </xf>
    <xf numFmtId="0" fontId="7" fillId="55" borderId="0" xfId="0" applyFont="1" applyFill="1" applyAlignment="1">
      <alignment horizontal="center" vertical="center" wrapText="1"/>
    </xf>
    <xf numFmtId="0" fontId="33" fillId="0" borderId="0" xfId="0" applyNumberFormat="1" applyFont="1" applyFill="1" applyAlignment="1">
      <alignment horizontal="left"/>
    </xf>
    <xf numFmtId="0" fontId="33" fillId="0" borderId="0" xfId="0" applyFont="1" applyFill="1" applyAlignment="1">
      <alignment horizontal="left"/>
    </xf>
    <xf numFmtId="14" fontId="33" fillId="0" borderId="0" xfId="0" applyNumberFormat="1" applyFont="1" applyFill="1" applyAlignment="1">
      <alignment horizontal="center"/>
    </xf>
    <xf numFmtId="0" fontId="35" fillId="0" borderId="0" xfId="0" applyFont="1" applyFill="1" applyAlignment="1">
      <alignment horizontal="left"/>
    </xf>
    <xf numFmtId="0" fontId="3" fillId="0" borderId="0" xfId="0" applyFont="1" applyFill="1" applyAlignment="1">
      <alignment horizontal="left"/>
    </xf>
    <xf numFmtId="0" fontId="19" fillId="0" borderId="0" xfId="0" applyFont="1" applyFill="1"/>
    <xf numFmtId="14" fontId="19" fillId="0" borderId="0" xfId="0" applyNumberFormat="1" applyFont="1" applyFill="1"/>
    <xf numFmtId="0" fontId="19" fillId="0" borderId="0" xfId="0" applyNumberFormat="1" applyFont="1" applyFill="1"/>
    <xf numFmtId="0" fontId="0" fillId="0" borderId="0" xfId="0" applyNumberFormat="1" applyFill="1"/>
    <xf numFmtId="0" fontId="20" fillId="0" borderId="0" xfId="0" applyFont="1" applyFill="1"/>
    <xf numFmtId="10" fontId="0" fillId="0" borderId="0" xfId="0" applyNumberFormat="1" applyFill="1"/>
    <xf numFmtId="10" fontId="20" fillId="0" borderId="0" xfId="0" applyNumberFormat="1" applyFont="1" applyFill="1"/>
    <xf numFmtId="10" fontId="0" fillId="0" borderId="0" xfId="0" applyNumberFormat="1" applyFont="1" applyFill="1"/>
    <xf numFmtId="164" fontId="20" fillId="0" borderId="0" xfId="0" applyNumberFormat="1" applyFont="1" applyFill="1"/>
    <xf numFmtId="0" fontId="20" fillId="0" borderId="0" xfId="0" applyNumberFormat="1" applyFont="1" applyFill="1"/>
    <xf numFmtId="1" fontId="0" fillId="0" borderId="0" xfId="0" applyNumberFormat="1" applyFill="1"/>
    <xf numFmtId="0" fontId="0" fillId="0" borderId="0" xfId="0" applyFill="1"/>
    <xf numFmtId="0" fontId="19" fillId="0" borderId="0" xfId="0" applyNumberFormat="1" applyFont="1" applyFill="1" applyAlignment="1">
      <alignment horizontal="center"/>
    </xf>
    <xf numFmtId="0" fontId="19" fillId="0" borderId="0" xfId="0" applyFont="1" applyFill="1" applyAlignment="1">
      <alignment horizontal="center"/>
    </xf>
    <xf numFmtId="0" fontId="39" fillId="0" borderId="0" xfId="0" applyNumberFormat="1" applyFont="1" applyFill="1"/>
    <xf numFmtId="14" fontId="33" fillId="0" borderId="0" xfId="0" applyNumberFormat="1" applyFont="1" applyFill="1" applyAlignment="1">
      <alignment horizontal="left"/>
    </xf>
    <xf numFmtId="164" fontId="39" fillId="0" borderId="2" xfId="0" applyNumberFormat="1" applyFont="1" applyBorder="1"/>
    <xf numFmtId="0" fontId="38" fillId="64" borderId="29" xfId="0" applyFont="1" applyFill="1" applyBorder="1" applyAlignment="1">
      <alignment horizontal="left" vertical="center" wrapText="1"/>
    </xf>
    <xf numFmtId="0" fontId="0" fillId="0" borderId="2" xfId="0" applyNumberFormat="1" applyBorder="1" applyAlignment="1">
      <alignment horizontal="center" vertical="center"/>
    </xf>
    <xf numFmtId="0" fontId="2" fillId="0" borderId="2" xfId="0" applyNumberFormat="1" applyFont="1" applyBorder="1" applyAlignment="1">
      <alignment horizontal="center" vertical="center"/>
    </xf>
    <xf numFmtId="0" fontId="3" fillId="0" borderId="0" xfId="0" applyFont="1" applyAlignment="1">
      <alignment horizontal="center"/>
    </xf>
    <xf numFmtId="9" fontId="3" fillId="0" borderId="0" xfId="0" applyNumberFormat="1" applyFont="1" applyAlignment="1">
      <alignment horizontal="center"/>
    </xf>
  </cellXfs>
  <cellStyles count="44">
    <cellStyle name="20% - Énfasis1" xfId="21" builtinId="30" customBuiltin="1"/>
    <cellStyle name="20% - Énfasis2" xfId="25" builtinId="34" customBuiltin="1"/>
    <cellStyle name="20% - Énfasis3" xfId="29" builtinId="38" customBuiltin="1"/>
    <cellStyle name="20% - Énfasis4" xfId="33" builtinId="42" customBuiltin="1"/>
    <cellStyle name="20% - Énfasis5" xfId="37" builtinId="46" customBuiltin="1"/>
    <cellStyle name="20% - Énfasis6" xfId="41" builtinId="50" customBuiltin="1"/>
    <cellStyle name="40% - Énfasis1" xfId="22" builtinId="31" customBuiltin="1"/>
    <cellStyle name="40% - Énfasis2" xfId="26" builtinId="35" customBuiltin="1"/>
    <cellStyle name="40% - Énfasis3" xfId="30" builtinId="39" customBuiltin="1"/>
    <cellStyle name="40% - Énfasis4" xfId="34" builtinId="43" customBuiltin="1"/>
    <cellStyle name="40% - Énfasis5" xfId="38" builtinId="47" customBuiltin="1"/>
    <cellStyle name="40% - Énfasis6" xfId="42" builtinId="51" customBuiltin="1"/>
    <cellStyle name="60% - Énfasis1" xfId="23" builtinId="32" customBuiltin="1"/>
    <cellStyle name="60% - Énfasis2" xfId="27" builtinId="36" customBuiltin="1"/>
    <cellStyle name="60% - Énfasis3" xfId="31" builtinId="40" customBuiltin="1"/>
    <cellStyle name="60% - Énfasis4" xfId="35" builtinId="44" customBuiltin="1"/>
    <cellStyle name="60% - Énfasis5" xfId="39" builtinId="48" customBuiltin="1"/>
    <cellStyle name="60% - Énfasis6" xfId="43" builtinId="52" customBuiltin="1"/>
    <cellStyle name="Bueno" xfId="9" builtinId="26" customBuiltin="1"/>
    <cellStyle name="Cálculo" xfId="13" builtinId="22" customBuiltin="1"/>
    <cellStyle name="Celda de comprobación" xfId="15" builtinId="23" customBuiltin="1"/>
    <cellStyle name="Celda vinculada" xfId="14" builtinId="24" customBuiltin="1"/>
    <cellStyle name="Encabezado 1" xfId="5" builtinId="16" customBuiltin="1"/>
    <cellStyle name="Encabezado 4" xfId="8" builtinId="19" customBuiltin="1"/>
    <cellStyle name="Énfasis1" xfId="20" builtinId="29" customBuiltin="1"/>
    <cellStyle name="Énfasis2" xfId="24" builtinId="33" customBuiltin="1"/>
    <cellStyle name="Énfasis3" xfId="28" builtinId="37" customBuiltin="1"/>
    <cellStyle name="Énfasis4" xfId="32" builtinId="41" customBuiltin="1"/>
    <cellStyle name="Énfasis5" xfId="36" builtinId="45" customBuiltin="1"/>
    <cellStyle name="Énfasis6" xfId="40" builtinId="49" customBuiltin="1"/>
    <cellStyle name="Entrada" xfId="1" builtinId="20" customBuiltin="1"/>
    <cellStyle name="Incorrecto" xfId="10" builtinId="27" customBuiltin="1"/>
    <cellStyle name="Neutral" xfId="11" builtinId="28" customBuiltin="1"/>
    <cellStyle name="Normal" xfId="0" builtinId="0"/>
    <cellStyle name="Normal 2" xfId="3" xr:uid="{00000000-0005-0000-0000-000022000000}"/>
    <cellStyle name="Notas" xfId="17" builtinId="10" customBuiltin="1"/>
    <cellStyle name="Porcentaje" xfId="2" builtinId="5"/>
    <cellStyle name="Salida" xfId="12" builtinId="21" customBuiltin="1"/>
    <cellStyle name="Texto de advertencia" xfId="16" builtinId="11" customBuiltin="1"/>
    <cellStyle name="Texto explicativo" xfId="18" builtinId="53" customBuiltin="1"/>
    <cellStyle name="Título" xfId="4" builtinId="15" customBuiltin="1"/>
    <cellStyle name="Título 2" xfId="6" builtinId="17" customBuiltin="1"/>
    <cellStyle name="Título 3" xfId="7" builtinId="18" customBuiltin="1"/>
    <cellStyle name="Total" xfId="19" builtinId="25" customBuiltin="1"/>
  </cellStyles>
  <dxfs count="8164">
    <dxf>
      <numFmt numFmtId="166" formatCode="0.0000000"/>
    </dxf>
    <dxf>
      <numFmt numFmtId="167" formatCode="0.000000"/>
    </dxf>
    <dxf>
      <numFmt numFmtId="168" formatCode="0.00000"/>
    </dxf>
    <dxf>
      <numFmt numFmtId="169" formatCode="0.0000"/>
    </dxf>
    <dxf>
      <numFmt numFmtId="170" formatCode="0.000"/>
    </dxf>
    <dxf>
      <numFmt numFmtId="2" formatCode="0.00"/>
    </dxf>
    <dxf>
      <numFmt numFmtId="171" formatCode="0.0"/>
    </dxf>
    <dxf>
      <numFmt numFmtId="2" formatCode="0.00"/>
    </dxf>
    <dxf>
      <numFmt numFmtId="166" formatCode="0.0000000"/>
    </dxf>
    <dxf>
      <numFmt numFmtId="167" formatCode="0.000000"/>
    </dxf>
    <dxf>
      <numFmt numFmtId="168" formatCode="0.00000"/>
    </dxf>
    <dxf>
      <numFmt numFmtId="169" formatCode="0.0000"/>
    </dxf>
    <dxf>
      <numFmt numFmtId="170" formatCode="0.000"/>
    </dxf>
    <dxf>
      <numFmt numFmtId="2" formatCode="0.00"/>
    </dxf>
    <dxf>
      <fill>
        <patternFill patternType="solid">
          <bgColor theme="5"/>
        </patternFill>
      </fill>
    </dxf>
    <dxf>
      <fill>
        <patternFill patternType="solid">
          <bgColor theme="5"/>
        </patternFill>
      </fill>
    </dxf>
    <dxf>
      <font>
        <color theme="0"/>
      </font>
    </dxf>
    <dxf>
      <font>
        <color theme="0"/>
      </font>
    </dxf>
    <dxf>
      <border>
        <left/>
        <top/>
        <bottom/>
      </border>
    </dxf>
    <dxf>
      <font>
        <b/>
      </font>
    </dxf>
    <dxf>
      <border>
        <right/>
        <top/>
        <bottom/>
      </border>
    </dxf>
    <dxf>
      <border>
        <right/>
        <top/>
        <bottom/>
      </border>
    </dxf>
    <dxf>
      <border>
        <left/>
        <right/>
        <top/>
      </border>
    </dxf>
    <dxf>
      <border>
        <left/>
        <right/>
        <top/>
      </border>
    </dxf>
    <dxf>
      <border>
        <left/>
        <right/>
        <top/>
      </border>
    </dxf>
    <dxf>
      <border>
        <left/>
        <right/>
        <top/>
      </border>
    </dxf>
    <dxf>
      <border>
        <left/>
        <right/>
        <top/>
      </border>
    </dxf>
    <dxf>
      <border>
        <top/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lor theme="0"/>
      </font>
      <fill>
        <patternFill patternType="solid">
          <fgColor indexed="64"/>
          <bgColor theme="5"/>
        </patternFill>
      </fill>
    </dxf>
    <dxf>
      <border>
        <horizontal style="thin">
          <color indexed="64"/>
        </horizontal>
      </border>
    </dxf>
    <dxf>
      <border>
        <vertical style="thin">
          <color indexed="64"/>
        </vertical>
      </border>
    </dxf>
    <dxf>
      <font>
        <b val="0"/>
      </font>
    </dxf>
    <dxf>
      <font>
        <b val="0"/>
      </font>
    </dxf>
    <dxf>
      <font>
        <b/>
      </font>
    </dxf>
    <dxf>
      <font>
        <b/>
      </font>
    </dxf>
    <dxf>
      <border>
        <vertical style="thin">
          <color indexed="64"/>
        </vertical>
      </border>
    </dxf>
    <dxf>
      <border>
        <vertical style="thin">
          <color indexed="64"/>
        </vertical>
      </border>
    </dxf>
    <dxf>
      <font>
        <b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/>
        <color theme="0"/>
      </font>
      <fill>
        <patternFill patternType="solid">
          <fgColor indexed="64"/>
          <bgColor theme="5"/>
        </patternFill>
      </fill>
    </dxf>
    <dxf>
      <numFmt numFmtId="13" formatCode="0%"/>
    </dxf>
    <dxf>
      <numFmt numFmtId="164" formatCode="0.0%"/>
    </dxf>
    <dxf>
      <numFmt numFmtId="14" formatCode="0.00%"/>
    </dxf>
    <dxf>
      <border>
        <right style="thin">
          <color indexed="64"/>
        </right>
        <vertical style="thin">
          <color indexed="64"/>
        </vertical>
        <horizontal style="thin">
          <color indexed="64"/>
        </horizontal>
      </border>
    </dxf>
    <dxf>
      <font>
        <color theme="0"/>
      </font>
      <fill>
        <patternFill patternType="solid">
          <fgColor indexed="64"/>
          <bgColor theme="5"/>
        </patternFill>
      </fill>
    </dxf>
    <dxf>
      <border>
        <vertical style="thin">
          <color indexed="64"/>
        </vertical>
      </border>
    </dxf>
    <dxf>
      <numFmt numFmtId="14" formatCode="0.00%"/>
    </dxf>
    <dxf>
      <border>
        <right style="thin">
          <color indexed="64"/>
        </right>
        <vertical style="thin">
          <color indexed="64"/>
        </vertical>
        <horizontal style="thin">
          <color indexed="64"/>
        </horizontal>
      </border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border>
        <vertical style="thin">
          <color indexed="64"/>
        </vertical>
        <horizontal style="thin">
          <color indexed="64"/>
        </horizontal>
      </border>
    </dxf>
    <dxf>
      <border>
        <vertical style="thin">
          <color indexed="64"/>
        </vertical>
        <horizontal style="thin">
          <color indexed="64"/>
        </horizontal>
      </border>
    </dxf>
    <dxf>
      <border>
        <vertical style="thin">
          <color indexed="64"/>
        </vertical>
        <horizontal style="thin">
          <color indexed="64"/>
        </horizontal>
      </border>
    </dxf>
    <dxf>
      <border>
        <vertical style="thin">
          <color indexed="64"/>
        </vertical>
        <horizontal style="thin">
          <color indexed="64"/>
        </horizontal>
      </border>
    </dxf>
    <dxf>
      <border>
        <vertical style="thin">
          <color indexed="64"/>
        </vertical>
        <horizontal style="thin">
          <color indexed="64"/>
        </horizontal>
      </border>
    </dxf>
    <dxf>
      <numFmt numFmtId="13" formatCode="0%"/>
    </dxf>
    <dxf>
      <numFmt numFmtId="172" formatCode="0.000%"/>
    </dxf>
    <dxf>
      <numFmt numFmtId="14" formatCode="0.00%"/>
    </dxf>
    <dxf>
      <numFmt numFmtId="164" formatCode="0.0%"/>
    </dxf>
    <dxf>
      <alignment horizontal="center" readingOrder="0"/>
    </dxf>
    <dxf>
      <numFmt numFmtId="164" formatCode="0.0%"/>
    </dxf>
    <dxf>
      <numFmt numFmtId="13" formatCode="0%"/>
    </dxf>
    <dxf>
      <numFmt numFmtId="13" formatCode="0%"/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rgb="FFFF0000"/>
        </patternFill>
      </fill>
    </dxf>
    <dxf>
      <font>
        <color auto="1"/>
      </font>
      <fill>
        <patternFill>
          <bgColor rgb="FFFFC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ont>
        <color rgb="FF33CC33"/>
      </font>
    </dxf>
    <dxf>
      <font>
        <color theme="1"/>
      </font>
      <fill>
        <patternFill patternType="solid">
          <fgColor indexed="64"/>
          <bgColor theme="7" tint="0.39994506668294322"/>
        </patternFill>
      </fill>
    </dxf>
    <dxf>
      <font>
        <color rgb="FFFF0000"/>
      </font>
    </dxf>
    <dxf>
      <numFmt numFmtId="166" formatCode="0.0000000"/>
    </dxf>
    <dxf>
      <numFmt numFmtId="167" formatCode="0.000000"/>
    </dxf>
    <dxf>
      <numFmt numFmtId="168" formatCode="0.00000"/>
    </dxf>
    <dxf>
      <numFmt numFmtId="169" formatCode="0.0000"/>
    </dxf>
    <dxf>
      <numFmt numFmtId="170" formatCode="0.000"/>
    </dxf>
    <dxf>
      <numFmt numFmtId="2" formatCode="0.00"/>
    </dxf>
    <dxf>
      <numFmt numFmtId="171" formatCode="0.0"/>
    </dxf>
    <dxf>
      <numFmt numFmtId="2" formatCode="0.00"/>
    </dxf>
    <dxf>
      <numFmt numFmtId="166" formatCode="0.0000000"/>
    </dxf>
    <dxf>
      <numFmt numFmtId="167" formatCode="0.000000"/>
    </dxf>
    <dxf>
      <numFmt numFmtId="168" formatCode="0.00000"/>
    </dxf>
    <dxf>
      <numFmt numFmtId="169" formatCode="0.0000"/>
    </dxf>
    <dxf>
      <numFmt numFmtId="170" formatCode="0.000"/>
    </dxf>
    <dxf>
      <numFmt numFmtId="2" formatCode="0.00"/>
    </dxf>
    <dxf>
      <fill>
        <patternFill patternType="solid">
          <bgColor theme="5"/>
        </patternFill>
      </fill>
    </dxf>
    <dxf>
      <fill>
        <patternFill patternType="solid">
          <bgColor theme="5"/>
        </patternFill>
      </fill>
    </dxf>
    <dxf>
      <font>
        <color theme="0"/>
      </font>
    </dxf>
    <dxf>
      <font>
        <color theme="0"/>
      </font>
    </dxf>
    <dxf>
      <border>
        <left/>
        <top/>
        <bottom/>
      </border>
    </dxf>
    <dxf>
      <font>
        <b/>
      </font>
    </dxf>
    <dxf>
      <border>
        <right/>
        <top/>
        <bottom/>
      </border>
    </dxf>
    <dxf>
      <border>
        <right/>
        <top/>
        <bottom/>
      </border>
    </dxf>
    <dxf>
      <border>
        <left/>
        <right/>
        <top/>
      </border>
    </dxf>
    <dxf>
      <border>
        <left/>
        <right/>
        <top/>
      </border>
    </dxf>
    <dxf>
      <border>
        <left/>
        <right/>
        <top/>
      </border>
    </dxf>
    <dxf>
      <border>
        <left/>
        <right/>
        <top/>
      </border>
    </dxf>
    <dxf>
      <border>
        <left/>
        <right/>
        <top/>
      </border>
    </dxf>
    <dxf>
      <border>
        <top/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horizontal style="thin">
          <color indexed="64"/>
        </horizontal>
      </border>
    </dxf>
    <dxf>
      <font>
        <b val="0"/>
      </font>
    </dxf>
    <dxf>
      <font>
        <b val="0"/>
      </font>
    </dxf>
    <dxf>
      <font>
        <b/>
      </font>
    </dxf>
    <dxf>
      <font>
        <b/>
      </font>
    </dxf>
    <dxf>
      <border>
        <vertical style="thin">
          <color indexed="64"/>
        </vertical>
      </border>
    </dxf>
    <dxf>
      <border>
        <vertical style="thin">
          <color indexed="64"/>
        </vertical>
      </border>
    </dxf>
    <dxf>
      <font>
        <b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/>
        <color theme="0"/>
      </font>
      <fill>
        <patternFill patternType="solid">
          <fgColor indexed="64"/>
          <bgColor theme="5"/>
        </patternFill>
      </fill>
    </dxf>
    <dxf>
      <numFmt numFmtId="13" formatCode="0%"/>
    </dxf>
    <dxf>
      <numFmt numFmtId="164" formatCode="0.0%"/>
    </dxf>
    <dxf>
      <numFmt numFmtId="14" formatCode="0.00%"/>
    </dxf>
    <dxf>
      <border>
        <right style="thin">
          <color indexed="64"/>
        </right>
        <vertical style="thin">
          <color indexed="64"/>
        </vertical>
        <horizontal style="thin">
          <color indexed="64"/>
        </horizontal>
      </border>
    </dxf>
    <dxf>
      <font>
        <color theme="0"/>
      </font>
      <fill>
        <patternFill patternType="solid">
          <fgColor indexed="64"/>
          <bgColor theme="5"/>
        </patternFill>
      </fill>
    </dxf>
    <dxf>
      <border>
        <vertical style="thin">
          <color indexed="64"/>
        </vertical>
      </border>
    </dxf>
    <dxf>
      <numFmt numFmtId="14" formatCode="0.00%"/>
    </dxf>
    <dxf>
      <border>
        <right style="thin">
          <color indexed="64"/>
        </right>
        <vertical style="thin">
          <color indexed="64"/>
        </vertical>
        <horizontal style="thin">
          <color indexed="64"/>
        </horizontal>
      </border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border>
        <vertical style="thin">
          <color indexed="64"/>
        </vertical>
        <horizontal style="thin">
          <color indexed="64"/>
        </horizontal>
      </border>
    </dxf>
    <dxf>
      <border>
        <vertical style="thin">
          <color indexed="64"/>
        </vertical>
        <horizontal style="thin">
          <color indexed="64"/>
        </horizontal>
      </border>
    </dxf>
    <dxf>
      <border>
        <vertical style="thin">
          <color indexed="64"/>
        </vertical>
        <horizontal style="thin">
          <color indexed="64"/>
        </horizontal>
      </border>
    </dxf>
    <dxf>
      <border>
        <vertical style="thin">
          <color indexed="64"/>
        </vertical>
        <horizontal style="thin">
          <color indexed="64"/>
        </horizontal>
      </border>
    </dxf>
    <dxf>
      <border>
        <vertical style="thin">
          <color indexed="64"/>
        </vertical>
        <horizontal style="thin">
          <color indexed="64"/>
        </horizontal>
      </border>
    </dxf>
    <dxf>
      <numFmt numFmtId="13" formatCode="0%"/>
    </dxf>
    <dxf>
      <numFmt numFmtId="172" formatCode="0.000%"/>
    </dxf>
    <dxf>
      <numFmt numFmtId="14" formatCode="0.00%"/>
    </dxf>
    <dxf>
      <numFmt numFmtId="164" formatCode="0.0%"/>
    </dxf>
    <dxf>
      <alignment horizontal="center" readingOrder="0"/>
    </dxf>
    <dxf>
      <numFmt numFmtId="164" formatCode="0.0%"/>
    </dxf>
    <dxf>
      <numFmt numFmtId="13" formatCode="0%"/>
    </dxf>
    <dxf>
      <numFmt numFmtId="13" formatCode="0%"/>
    </dxf>
    <dxf>
      <numFmt numFmtId="166" formatCode="0.0000000"/>
    </dxf>
    <dxf>
      <numFmt numFmtId="167" formatCode="0.000000"/>
    </dxf>
    <dxf>
      <numFmt numFmtId="168" formatCode="0.00000"/>
    </dxf>
    <dxf>
      <numFmt numFmtId="169" formatCode="0.0000"/>
    </dxf>
    <dxf>
      <numFmt numFmtId="170" formatCode="0.000"/>
    </dxf>
    <dxf>
      <numFmt numFmtId="2" formatCode="0.00"/>
    </dxf>
    <dxf>
      <numFmt numFmtId="171" formatCode="0.0"/>
    </dxf>
    <dxf>
      <numFmt numFmtId="2" formatCode="0.00"/>
    </dxf>
    <dxf>
      <numFmt numFmtId="166" formatCode="0.0000000"/>
    </dxf>
    <dxf>
      <numFmt numFmtId="167" formatCode="0.000000"/>
    </dxf>
    <dxf>
      <numFmt numFmtId="168" formatCode="0.00000"/>
    </dxf>
    <dxf>
      <numFmt numFmtId="169" formatCode="0.0000"/>
    </dxf>
    <dxf>
      <numFmt numFmtId="170" formatCode="0.000"/>
    </dxf>
    <dxf>
      <numFmt numFmtId="2" formatCode="0.00"/>
    </dxf>
    <dxf>
      <fill>
        <patternFill patternType="solid">
          <bgColor theme="5"/>
        </patternFill>
      </fill>
    </dxf>
    <dxf>
      <fill>
        <patternFill patternType="solid">
          <bgColor theme="5"/>
        </patternFill>
      </fill>
    </dxf>
    <dxf>
      <font>
        <color theme="0"/>
      </font>
    </dxf>
    <dxf>
      <font>
        <color theme="0"/>
      </font>
    </dxf>
    <dxf>
      <border>
        <left/>
        <top/>
        <bottom/>
      </border>
    </dxf>
    <dxf>
      <font>
        <b/>
      </font>
    </dxf>
    <dxf>
      <border>
        <right/>
        <top/>
        <bottom/>
      </border>
    </dxf>
    <dxf>
      <border>
        <right/>
        <top/>
        <bottom/>
      </border>
    </dxf>
    <dxf>
      <border>
        <left/>
        <right/>
        <top/>
      </border>
    </dxf>
    <dxf>
      <border>
        <left/>
        <right/>
        <top/>
      </border>
    </dxf>
    <dxf>
      <border>
        <left/>
        <right/>
        <top/>
      </border>
    </dxf>
    <dxf>
      <border>
        <left/>
        <right/>
        <top/>
      </border>
    </dxf>
    <dxf>
      <border>
        <left/>
        <right/>
        <top/>
      </border>
    </dxf>
    <dxf>
      <border>
        <top/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lor theme="0"/>
      </font>
      <fill>
        <patternFill patternType="solid">
          <fgColor indexed="64"/>
          <bgColor theme="5"/>
        </patternFill>
      </fill>
    </dxf>
    <dxf>
      <border>
        <horizontal style="thin">
          <color indexed="64"/>
        </horizontal>
      </border>
    </dxf>
    <dxf>
      <border>
        <vertical style="thin">
          <color indexed="64"/>
        </vertical>
      </border>
    </dxf>
    <dxf>
      <font>
        <b val="0"/>
      </font>
    </dxf>
    <dxf>
      <font>
        <b val="0"/>
      </font>
    </dxf>
    <dxf>
      <font>
        <b/>
      </font>
    </dxf>
    <dxf>
      <font>
        <b/>
      </font>
    </dxf>
    <dxf>
      <border>
        <vertical style="thin">
          <color indexed="64"/>
        </vertical>
      </border>
    </dxf>
    <dxf>
      <border>
        <vertical style="thin">
          <color indexed="64"/>
        </vertical>
      </border>
    </dxf>
    <dxf>
      <font>
        <b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/>
        <color theme="0"/>
      </font>
      <fill>
        <patternFill patternType="solid">
          <fgColor indexed="64"/>
          <bgColor theme="5"/>
        </patternFill>
      </fill>
    </dxf>
    <dxf>
      <numFmt numFmtId="13" formatCode="0%"/>
    </dxf>
    <dxf>
      <numFmt numFmtId="164" formatCode="0.0%"/>
    </dxf>
    <dxf>
      <numFmt numFmtId="14" formatCode="0.00%"/>
    </dxf>
    <dxf>
      <border>
        <right style="thin">
          <color indexed="64"/>
        </right>
        <vertical style="thin">
          <color indexed="64"/>
        </vertical>
        <horizontal style="thin">
          <color indexed="64"/>
        </horizontal>
      </border>
    </dxf>
    <dxf>
      <font>
        <color theme="0"/>
      </font>
      <fill>
        <patternFill patternType="solid">
          <fgColor indexed="64"/>
          <bgColor theme="5"/>
        </patternFill>
      </fill>
    </dxf>
    <dxf>
      <border>
        <vertical style="thin">
          <color indexed="64"/>
        </vertical>
      </border>
    </dxf>
    <dxf>
      <numFmt numFmtId="14" formatCode="0.00%"/>
    </dxf>
    <dxf>
      <border>
        <right style="thin">
          <color indexed="64"/>
        </right>
        <vertical style="thin">
          <color indexed="64"/>
        </vertical>
        <horizontal style="thin">
          <color indexed="64"/>
        </horizontal>
      </border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border>
        <vertical style="thin">
          <color indexed="64"/>
        </vertical>
        <horizontal style="thin">
          <color indexed="64"/>
        </horizontal>
      </border>
    </dxf>
    <dxf>
      <border>
        <vertical style="thin">
          <color indexed="64"/>
        </vertical>
        <horizontal style="thin">
          <color indexed="64"/>
        </horizontal>
      </border>
    </dxf>
    <dxf>
      <border>
        <vertical style="thin">
          <color indexed="64"/>
        </vertical>
        <horizontal style="thin">
          <color indexed="64"/>
        </horizontal>
      </border>
    </dxf>
    <dxf>
      <border>
        <vertical style="thin">
          <color indexed="64"/>
        </vertical>
        <horizontal style="thin">
          <color indexed="64"/>
        </horizontal>
      </border>
    </dxf>
    <dxf>
      <border>
        <vertical style="thin">
          <color indexed="64"/>
        </vertical>
        <horizontal style="thin">
          <color indexed="64"/>
        </horizontal>
      </border>
    </dxf>
    <dxf>
      <numFmt numFmtId="13" formatCode="0%"/>
    </dxf>
    <dxf>
      <numFmt numFmtId="172" formatCode="0.000%"/>
    </dxf>
    <dxf>
      <numFmt numFmtId="14" formatCode="0.00%"/>
    </dxf>
    <dxf>
      <numFmt numFmtId="164" formatCode="0.0%"/>
    </dxf>
    <dxf>
      <alignment horizontal="center" readingOrder="0"/>
    </dxf>
    <dxf>
      <numFmt numFmtId="164" formatCode="0.0%"/>
    </dxf>
    <dxf>
      <numFmt numFmtId="13" formatCode="0%"/>
    </dxf>
    <dxf>
      <numFmt numFmtId="13" formatCode="0%"/>
    </dxf>
    <dxf>
      <font>
        <b/>
      </font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4" formatCode="0.00%"/>
    </dxf>
    <dxf>
      <numFmt numFmtId="14" formatCode="0.00%"/>
    </dxf>
    <dxf>
      <numFmt numFmtId="1" formatCode="0"/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alignment horizontal="right" readingOrder="0"/>
    </dxf>
    <dxf>
      <alignment horizontal="left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left" readingOrder="0"/>
    </dxf>
    <dxf>
      <alignment horizontal="center" readingOrder="0"/>
    </dxf>
    <dxf>
      <alignment horizontal="left" readingOrder="0"/>
    </dxf>
    <dxf>
      <alignment horizontal="center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font>
        <sz val="13"/>
      </font>
    </dxf>
    <dxf>
      <font>
        <b/>
        <sz val="13"/>
      </font>
    </dxf>
    <dxf>
      <font>
        <color rgb="FFFF0000"/>
      </font>
    </dxf>
    <dxf>
      <font>
        <color auto="1"/>
      </font>
    </dxf>
    <dxf>
      <fill>
        <patternFill patternType="solid">
          <bgColor theme="5" tint="0.79998168889431442"/>
        </patternFill>
      </fill>
    </dxf>
    <dxf>
      <fill>
        <patternFill patternType="solid">
          <bgColor theme="5"/>
        </patternFill>
      </fill>
    </dxf>
    <dxf>
      <fill>
        <patternFill>
          <bgColor theme="5" tint="0.7999816888943144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 patternType="solid">
          <bgColor theme="5" tint="0.79998168889431442"/>
        </patternFill>
      </fill>
    </dxf>
    <dxf>
      <fill>
        <patternFill patternType="solid">
          <bgColor rgb="FFE84C22"/>
        </patternFill>
      </fill>
    </dxf>
    <dxf>
      <fill>
        <patternFill patternType="solid">
          <bgColor rgb="FFE84C22"/>
        </patternFill>
      </fill>
    </dxf>
    <dxf>
      <fill>
        <patternFill patternType="solid">
          <bgColor rgb="FFE84C22"/>
        </patternFill>
      </fill>
    </dxf>
    <dxf>
      <fill>
        <patternFill patternType="solid">
          <bgColor rgb="FFE84C22"/>
        </patternFill>
      </fill>
    </dxf>
    <dxf>
      <font>
        <sz val="11"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sz val="11"/>
      </font>
    </dxf>
    <dxf>
      <font>
        <sz val="11"/>
      </font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b/>
      </font>
    </dxf>
    <dxf>
      <font>
        <sz val="12"/>
      </font>
    </dxf>
    <dxf>
      <font>
        <sz val="12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sz val="12"/>
      </font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readingOrder="0"/>
    </dxf>
    <dxf>
      <fill>
        <patternFill patternType="solid">
          <bgColor rgb="FFE84C22"/>
        </patternFill>
      </fill>
    </dxf>
    <dxf>
      <fill>
        <patternFill patternType="solid">
          <bgColor rgb="FFE84C22"/>
        </patternFill>
      </fill>
    </dxf>
    <dxf>
      <numFmt numFmtId="166" formatCode="0.0000000"/>
    </dxf>
    <dxf>
      <numFmt numFmtId="167" formatCode="0.000000"/>
    </dxf>
    <dxf>
      <numFmt numFmtId="168" formatCode="0.00000"/>
    </dxf>
    <dxf>
      <numFmt numFmtId="169" formatCode="0.0000"/>
    </dxf>
    <dxf>
      <numFmt numFmtId="170" formatCode="0.000"/>
    </dxf>
    <dxf>
      <numFmt numFmtId="2" formatCode="0.00"/>
    </dxf>
    <dxf>
      <numFmt numFmtId="171" formatCode="0.0"/>
    </dxf>
    <dxf>
      <numFmt numFmtId="2" formatCode="0.00"/>
    </dxf>
    <dxf>
      <numFmt numFmtId="166" formatCode="0.0000000"/>
    </dxf>
    <dxf>
      <numFmt numFmtId="167" formatCode="0.000000"/>
    </dxf>
    <dxf>
      <numFmt numFmtId="168" formatCode="0.00000"/>
    </dxf>
    <dxf>
      <numFmt numFmtId="169" formatCode="0.0000"/>
    </dxf>
    <dxf>
      <numFmt numFmtId="170" formatCode="0.000"/>
    </dxf>
    <dxf>
      <numFmt numFmtId="2" formatCode="0.00"/>
    </dxf>
    <dxf>
      <fill>
        <patternFill patternType="solid">
          <bgColor theme="5"/>
        </patternFill>
      </fill>
    </dxf>
    <dxf>
      <font>
        <color theme="0"/>
      </font>
    </dxf>
    <dxf>
      <border>
        <left/>
        <top/>
        <bottom/>
      </border>
    </dxf>
    <dxf>
      <font>
        <b/>
      </font>
    </dxf>
    <dxf>
      <border>
        <left/>
        <right/>
        <top/>
        <bottom/>
      </border>
    </dxf>
    <dxf>
      <border>
        <left/>
        <right/>
        <top/>
        <bottom/>
      </border>
    </dxf>
    <dxf>
      <border>
        <top/>
      </border>
    </dxf>
    <dxf>
      <fill>
        <patternFill>
          <bgColor theme="5" tint="-0.249977111117893"/>
        </patternFill>
      </fill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/>
        <right/>
        <top/>
        <bottom/>
        <vertical/>
      </border>
    </dxf>
    <dxf>
      <border>
        <left/>
        <right/>
        <top/>
        <bottom/>
        <vertical/>
      </border>
    </dxf>
    <dxf>
      <border>
        <left/>
        <top/>
      </border>
    </dxf>
    <dxf>
      <border>
        <left/>
        <top/>
      </border>
    </dxf>
    <dxf>
      <border>
        <top/>
      </border>
    </dxf>
    <dxf>
      <border>
        <top/>
      </border>
    </dxf>
    <dxf>
      <border>
        <left/>
        <top/>
      </border>
    </dxf>
    <dxf>
      <border>
        <left/>
        <top/>
      </border>
    </dxf>
    <dxf>
      <border>
        <top/>
      </border>
    </dxf>
    <dxf>
      <border>
        <top/>
      </border>
    </dxf>
    <dxf>
      <border>
        <top/>
      </border>
    </dxf>
    <dxf>
      <border>
        <top/>
      </border>
    </dxf>
    <dxf>
      <border>
        <top/>
      </border>
    </dxf>
    <dxf>
      <border>
        <top/>
      </border>
    </dxf>
    <dxf>
      <border>
        <top/>
      </border>
    </dxf>
    <dxf>
      <border>
        <top/>
      </border>
    </dxf>
    <dxf>
      <border>
        <top/>
      </border>
    </dxf>
    <dxf>
      <border>
        <top/>
      </border>
    </dxf>
    <dxf>
      <border>
        <top/>
      </border>
    </dxf>
    <dxf>
      <border>
        <top/>
      </border>
    </dxf>
    <dxf>
      <border>
        <top/>
      </border>
    </dxf>
    <dxf>
      <border>
        <top/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fill>
        <patternFill>
          <bgColor theme="5"/>
        </patternFill>
      </fill>
    </dxf>
    <dxf>
      <border>
        <horizontal style="thin">
          <color indexed="64"/>
        </horizontal>
      </border>
    </dxf>
    <dxf>
      <border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  <horizontal style="thin">
          <color indexed="64"/>
        </horizontal>
      </border>
    </dxf>
    <dxf>
      <border>
        <top style="thin">
          <color indexed="64"/>
        </top>
        <horizontal style="thin">
          <color indexed="64"/>
        </horizontal>
      </border>
    </dxf>
    <dxf>
      <border>
        <vertical style="thin">
          <color indexed="64"/>
        </vertical>
        <horizontal style="thin">
          <color indexed="64"/>
        </horizontal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vertical style="thin">
          <color indexed="64"/>
        </vertical>
        <horizontal style="thin">
          <color indexed="64"/>
        </horizontal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right style="thin">
          <color indexed="64"/>
        </right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4" formatCode="0.00%"/>
    </dxf>
    <dxf>
      <numFmt numFmtId="13" formatCode="0%"/>
    </dxf>
    <dxf>
      <alignment horizontal="center" readingOrder="0"/>
    </dxf>
    <dxf>
      <numFmt numFmtId="164" formatCode="0.0%"/>
    </dxf>
    <dxf>
      <numFmt numFmtId="14" formatCode="0.00%"/>
    </dxf>
    <dxf>
      <numFmt numFmtId="13" formatCode="0%"/>
    </dxf>
    <dxf>
      <alignment horizontal="center" readingOrder="0"/>
    </dxf>
    <dxf>
      <numFmt numFmtId="164" formatCode="0.0%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readingOrder="0"/>
    </dxf>
    <dxf>
      <numFmt numFmtId="13" formatCode="0%"/>
    </dxf>
    <dxf>
      <alignment horizontal="center" readingOrder="0"/>
    </dxf>
    <dxf>
      <border>
        <right style="thin">
          <color indexed="64"/>
        </right>
      </border>
    </dxf>
    <dxf>
      <fill>
        <patternFill>
          <bgColor rgb="FFE84C22"/>
        </patternFill>
      </fill>
    </dxf>
    <dxf>
      <fill>
        <patternFill>
          <bgColor rgb="FFE84C22"/>
        </patternFill>
      </fill>
    </dxf>
    <dxf>
      <numFmt numFmtId="14" formatCode="0.00%"/>
    </dxf>
    <dxf>
      <font>
        <color theme="0"/>
      </font>
      <numFmt numFmtId="0" formatCode="General"/>
      <fill>
        <patternFill patternType="solid">
          <fgColor indexed="64"/>
          <bgColor rgb="FFE84C22"/>
        </patternFill>
      </fill>
    </dxf>
    <dxf>
      <alignment horizontal="center"/>
    </dxf>
    <dxf>
      <numFmt numFmtId="166" formatCode="0.0000000"/>
    </dxf>
    <dxf>
      <numFmt numFmtId="167" formatCode="0.000000"/>
    </dxf>
    <dxf>
      <numFmt numFmtId="168" formatCode="0.00000"/>
    </dxf>
    <dxf>
      <numFmt numFmtId="169" formatCode="0.0000"/>
    </dxf>
    <dxf>
      <numFmt numFmtId="170" formatCode="0.000"/>
    </dxf>
    <dxf>
      <numFmt numFmtId="2" formatCode="0.00"/>
    </dxf>
    <dxf>
      <numFmt numFmtId="171" formatCode="0.0"/>
    </dxf>
    <dxf>
      <numFmt numFmtId="2" formatCode="0.00"/>
    </dxf>
    <dxf>
      <numFmt numFmtId="166" formatCode="0.0000000"/>
    </dxf>
    <dxf>
      <numFmt numFmtId="167" formatCode="0.000000"/>
    </dxf>
    <dxf>
      <numFmt numFmtId="168" formatCode="0.00000"/>
    </dxf>
    <dxf>
      <numFmt numFmtId="169" formatCode="0.0000"/>
    </dxf>
    <dxf>
      <numFmt numFmtId="170" formatCode="0.000"/>
    </dxf>
    <dxf>
      <numFmt numFmtId="2" formatCode="0.00"/>
    </dxf>
    <dxf>
      <fill>
        <patternFill patternType="solid">
          <bgColor theme="5"/>
        </patternFill>
      </fill>
    </dxf>
    <dxf>
      <fill>
        <patternFill patternType="solid">
          <bgColor theme="5"/>
        </patternFill>
      </fill>
    </dxf>
    <dxf>
      <font>
        <color theme="0"/>
      </font>
    </dxf>
    <dxf>
      <font>
        <color theme="0"/>
      </font>
    </dxf>
    <dxf>
      <border>
        <left/>
        <top/>
        <bottom/>
      </border>
    </dxf>
    <dxf>
      <font>
        <b/>
      </font>
    </dxf>
    <dxf>
      <border>
        <right/>
        <top/>
        <bottom/>
      </border>
    </dxf>
    <dxf>
      <border>
        <right/>
        <top/>
        <bottom/>
      </border>
    </dxf>
    <dxf>
      <border>
        <left/>
        <right/>
        <top/>
      </border>
    </dxf>
    <dxf>
      <border>
        <left/>
        <right/>
        <top/>
      </border>
    </dxf>
    <dxf>
      <border>
        <left/>
        <right/>
        <top/>
      </border>
    </dxf>
    <dxf>
      <border>
        <left/>
        <right/>
        <top/>
      </border>
    </dxf>
    <dxf>
      <border>
        <left/>
        <right/>
        <top/>
      </border>
    </dxf>
    <dxf>
      <border>
        <top/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lor theme="0"/>
      </font>
      <fill>
        <patternFill patternType="solid">
          <fgColor indexed="64"/>
          <bgColor theme="5"/>
        </patternFill>
      </fill>
    </dxf>
    <dxf>
      <border>
        <horizontal style="thin">
          <color indexed="64"/>
        </horizontal>
      </border>
    </dxf>
    <dxf>
      <border>
        <vertical style="thin">
          <color indexed="64"/>
        </vertical>
      </border>
    </dxf>
    <dxf>
      <font>
        <b val="0"/>
      </font>
    </dxf>
    <dxf>
      <font>
        <b val="0"/>
      </font>
    </dxf>
    <dxf>
      <font>
        <b/>
      </font>
    </dxf>
    <dxf>
      <font>
        <b/>
      </font>
    </dxf>
    <dxf>
      <border>
        <vertical style="thin">
          <color indexed="64"/>
        </vertical>
      </border>
    </dxf>
    <dxf>
      <border>
        <vertical style="thin">
          <color indexed="64"/>
        </vertical>
      </border>
    </dxf>
    <dxf>
      <font>
        <b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/>
        <color theme="0"/>
      </font>
      <fill>
        <patternFill patternType="solid">
          <fgColor indexed="64"/>
          <bgColor theme="5"/>
        </patternFill>
      </fill>
    </dxf>
    <dxf>
      <numFmt numFmtId="13" formatCode="0%"/>
    </dxf>
    <dxf>
      <numFmt numFmtId="164" formatCode="0.0%"/>
    </dxf>
    <dxf>
      <numFmt numFmtId="14" formatCode="0.00%"/>
    </dxf>
    <dxf>
      <border>
        <right style="thin">
          <color indexed="64"/>
        </right>
        <vertical style="thin">
          <color indexed="64"/>
        </vertical>
        <horizontal style="thin">
          <color indexed="64"/>
        </horizontal>
      </border>
    </dxf>
    <dxf>
      <font>
        <color theme="0"/>
      </font>
      <fill>
        <patternFill patternType="solid">
          <fgColor indexed="64"/>
          <bgColor theme="5"/>
        </patternFill>
      </fill>
    </dxf>
    <dxf>
      <border>
        <vertical style="thin">
          <color indexed="64"/>
        </vertical>
      </border>
    </dxf>
    <dxf>
      <numFmt numFmtId="14" formatCode="0.00%"/>
    </dxf>
    <dxf>
      <border>
        <right style="thin">
          <color indexed="64"/>
        </right>
        <vertical style="thin">
          <color indexed="64"/>
        </vertical>
        <horizontal style="thin">
          <color indexed="64"/>
        </horizontal>
      </border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border>
        <vertical style="thin">
          <color indexed="64"/>
        </vertical>
        <horizontal style="thin">
          <color indexed="64"/>
        </horizontal>
      </border>
    </dxf>
    <dxf>
      <border>
        <vertical style="thin">
          <color indexed="64"/>
        </vertical>
        <horizontal style="thin">
          <color indexed="64"/>
        </horizontal>
      </border>
    </dxf>
    <dxf>
      <border>
        <vertical style="thin">
          <color indexed="64"/>
        </vertical>
        <horizontal style="thin">
          <color indexed="64"/>
        </horizontal>
      </border>
    </dxf>
    <dxf>
      <border>
        <vertical style="thin">
          <color indexed="64"/>
        </vertical>
        <horizontal style="thin">
          <color indexed="64"/>
        </horizontal>
      </border>
    </dxf>
    <dxf>
      <border>
        <vertical style="thin">
          <color indexed="64"/>
        </vertical>
        <horizontal style="thin">
          <color indexed="64"/>
        </horizontal>
      </border>
    </dxf>
    <dxf>
      <numFmt numFmtId="13" formatCode="0%"/>
    </dxf>
    <dxf>
      <numFmt numFmtId="172" formatCode="0.000%"/>
    </dxf>
    <dxf>
      <numFmt numFmtId="14" formatCode="0.00%"/>
    </dxf>
    <dxf>
      <numFmt numFmtId="164" formatCode="0.0%"/>
    </dxf>
    <dxf>
      <alignment horizontal="center" readingOrder="0"/>
    </dxf>
    <dxf>
      <numFmt numFmtId="164" formatCode="0.0%"/>
    </dxf>
    <dxf>
      <fill>
        <patternFill>
          <bgColor rgb="FFE84C22"/>
        </patternFill>
      </fill>
    </dxf>
    <dxf>
      <fill>
        <patternFill>
          <bgColor rgb="FFE84C22"/>
        </patternFill>
      </fill>
    </dxf>
    <dxf>
      <numFmt numFmtId="13" formatCode="0%"/>
    </dxf>
    <dxf>
      <font>
        <b/>
        <color theme="0"/>
      </font>
      <numFmt numFmtId="14" formatCode="0.00%"/>
      <fill>
        <patternFill patternType="solid">
          <fgColor indexed="64"/>
          <bgColor rgb="FFE84C22"/>
        </patternFill>
      </fill>
    </dxf>
    <dxf>
      <numFmt numFmtId="14" formatCode="0.00%"/>
    </dxf>
    <dxf>
      <numFmt numFmtId="14" formatCode="0.00%"/>
    </dxf>
    <dxf>
      <fill>
        <patternFill patternType="solid">
          <fgColor indexed="64"/>
          <bgColor rgb="FFE84C22"/>
        </patternFill>
      </fill>
      <alignment horizontal="center"/>
    </dxf>
    <dxf>
      <numFmt numFmtId="14" formatCode="0.00%"/>
    </dxf>
    <dxf>
      <numFmt numFmtId="0" formatCode="General"/>
      <fill>
        <patternFill patternType="solid">
          <fgColor indexed="64"/>
          <bgColor rgb="FFE84C22"/>
        </patternFill>
      </fill>
      <alignment horizontal="center"/>
    </dxf>
    <dxf>
      <alignment horizontal="center"/>
    </dxf>
    <dxf>
      <alignment vertical="center"/>
    </dxf>
    <dxf>
      <alignment horizontal="center"/>
    </dxf>
    <dxf>
      <alignment vertical="center"/>
    </dxf>
    <dxf>
      <numFmt numFmtId="166" formatCode="0.0000000"/>
    </dxf>
    <dxf>
      <numFmt numFmtId="167" formatCode="0.000000"/>
    </dxf>
    <dxf>
      <numFmt numFmtId="168" formatCode="0.00000"/>
    </dxf>
    <dxf>
      <numFmt numFmtId="169" formatCode="0.0000"/>
    </dxf>
    <dxf>
      <numFmt numFmtId="170" formatCode="0.000"/>
    </dxf>
    <dxf>
      <numFmt numFmtId="2" formatCode="0.00"/>
    </dxf>
    <dxf>
      <numFmt numFmtId="171" formatCode="0.0"/>
    </dxf>
    <dxf>
      <numFmt numFmtId="2" formatCode="0.00"/>
    </dxf>
    <dxf>
      <numFmt numFmtId="166" formatCode="0.0000000"/>
    </dxf>
    <dxf>
      <numFmt numFmtId="167" formatCode="0.000000"/>
    </dxf>
    <dxf>
      <numFmt numFmtId="168" formatCode="0.00000"/>
    </dxf>
    <dxf>
      <numFmt numFmtId="169" formatCode="0.0000"/>
    </dxf>
    <dxf>
      <numFmt numFmtId="170" formatCode="0.000"/>
    </dxf>
    <dxf>
      <numFmt numFmtId="2" formatCode="0.00"/>
    </dxf>
    <dxf>
      <fill>
        <patternFill patternType="solid">
          <bgColor theme="5"/>
        </patternFill>
      </fill>
    </dxf>
    <dxf>
      <font>
        <color theme="0"/>
      </font>
    </dxf>
    <dxf>
      <border>
        <left/>
        <top/>
        <bottom/>
      </border>
    </dxf>
    <dxf>
      <font>
        <b/>
      </font>
    </dxf>
    <dxf>
      <border>
        <right/>
        <top/>
        <bottom/>
      </border>
    </dxf>
    <dxf>
      <border>
        <right/>
        <top/>
        <bottom/>
      </border>
    </dxf>
    <dxf>
      <border>
        <left/>
        <right/>
        <top/>
      </border>
    </dxf>
    <dxf>
      <border>
        <left/>
        <right/>
        <top/>
      </border>
    </dxf>
    <dxf>
      <border>
        <left/>
        <right/>
        <top/>
      </border>
    </dxf>
    <dxf>
      <border>
        <left/>
        <right/>
        <top/>
      </border>
    </dxf>
    <dxf>
      <border>
        <top/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lor theme="0"/>
      </font>
      <fill>
        <patternFill patternType="solid">
          <fgColor indexed="64"/>
          <bgColor theme="5"/>
        </patternFill>
      </fill>
    </dxf>
    <dxf>
      <border>
        <horizontal style="thin">
          <color indexed="64"/>
        </horizontal>
      </border>
    </dxf>
    <dxf>
      <border>
        <vertical style="thin">
          <color indexed="64"/>
        </vertical>
      </border>
    </dxf>
    <dxf>
      <font>
        <b val="0"/>
      </font>
    </dxf>
    <dxf>
      <font>
        <b val="0"/>
      </font>
    </dxf>
    <dxf>
      <font>
        <b/>
      </font>
    </dxf>
    <dxf>
      <font>
        <b/>
      </font>
    </dxf>
    <dxf>
      <border>
        <vertical style="thin">
          <color indexed="64"/>
        </vertical>
      </border>
    </dxf>
    <dxf>
      <border>
        <vertical style="thin">
          <color indexed="64"/>
        </vertical>
      </border>
    </dxf>
    <dxf>
      <font>
        <b/>
      </font>
    </dxf>
    <dxf>
      <font>
        <b/>
        <color theme="0"/>
      </font>
      <fill>
        <patternFill patternType="solid">
          <fgColor indexed="64"/>
          <bgColor theme="5"/>
        </patternFill>
      </fill>
    </dxf>
    <dxf>
      <font>
        <color theme="0"/>
      </font>
      <fill>
        <patternFill patternType="solid">
          <fgColor indexed="64"/>
          <bgColor theme="5"/>
        </patternFill>
      </fill>
    </dxf>
    <dxf>
      <numFmt numFmtId="14" formatCode="0.00%"/>
    </dxf>
    <dxf>
      <numFmt numFmtId="14" formatCode="0.00%"/>
    </dxf>
    <dxf>
      <border>
        <left style="thin">
          <color indexed="64"/>
        </left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vertical style="thin">
          <color indexed="64"/>
        </vertical>
        <horizontal style="thin">
          <color indexed="64"/>
        </horizontal>
      </border>
    </dxf>
    <dxf>
      <font>
        <b/>
      </font>
    </dxf>
    <dxf>
      <font>
        <b/>
        <color theme="0"/>
      </font>
      <numFmt numFmtId="14" formatCode="0.00%"/>
      <fill>
        <patternFill patternType="solid">
          <fgColor indexed="64"/>
          <bgColor theme="5"/>
        </patternFill>
      </fill>
    </dxf>
    <dxf>
      <numFmt numFmtId="13" formatCode="0%"/>
    </dxf>
    <dxf>
      <numFmt numFmtId="164" formatCode="0.0%"/>
    </dxf>
    <dxf>
      <fill>
        <patternFill>
          <bgColor rgb="FFE94C22"/>
        </patternFill>
      </fill>
    </dxf>
    <dxf>
      <numFmt numFmtId="14" formatCode="0.00%"/>
    </dxf>
    <dxf>
      <numFmt numFmtId="14" formatCode="0.00%"/>
    </dxf>
    <dxf>
      <font>
        <b/>
        <color theme="0"/>
      </font>
      <fill>
        <patternFill patternType="solid">
          <fgColor indexed="64"/>
          <bgColor rgb="FFE94C22"/>
        </patternFill>
      </fill>
    </dxf>
    <dxf>
      <font>
        <b/>
        <color theme="0"/>
      </font>
      <numFmt numFmtId="14" formatCode="0.00%"/>
      <fill>
        <patternFill patternType="solid">
          <fgColor indexed="64"/>
          <bgColor rgb="FFE94C22"/>
        </patternFill>
      </fill>
    </dxf>
    <dxf>
      <numFmt numFmtId="14" formatCode="0.00%"/>
    </dxf>
    <dxf>
      <font>
        <b/>
        <color theme="0"/>
      </font>
      <fill>
        <patternFill patternType="solid">
          <fgColor indexed="64"/>
          <bgColor rgb="FFE94C22"/>
        </patternFill>
      </fill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readingOrder="0"/>
    </dxf>
    <dxf>
      <fill>
        <patternFill patternType="solid">
          <bgColor rgb="FFE84C22"/>
        </patternFill>
      </fill>
    </dxf>
    <dxf>
      <fill>
        <patternFill patternType="solid">
          <bgColor rgb="FFE84C22"/>
        </patternFill>
      </fill>
    </dxf>
    <dxf>
      <numFmt numFmtId="166" formatCode="0.0000000"/>
    </dxf>
    <dxf>
      <numFmt numFmtId="167" formatCode="0.000000"/>
    </dxf>
    <dxf>
      <numFmt numFmtId="168" formatCode="0.00000"/>
    </dxf>
    <dxf>
      <numFmt numFmtId="169" formatCode="0.0000"/>
    </dxf>
    <dxf>
      <numFmt numFmtId="170" formatCode="0.000"/>
    </dxf>
    <dxf>
      <numFmt numFmtId="2" formatCode="0.00"/>
    </dxf>
    <dxf>
      <numFmt numFmtId="171" formatCode="0.0"/>
    </dxf>
    <dxf>
      <numFmt numFmtId="2" formatCode="0.00"/>
    </dxf>
    <dxf>
      <numFmt numFmtId="166" formatCode="0.0000000"/>
    </dxf>
    <dxf>
      <numFmt numFmtId="167" formatCode="0.000000"/>
    </dxf>
    <dxf>
      <numFmt numFmtId="168" formatCode="0.00000"/>
    </dxf>
    <dxf>
      <numFmt numFmtId="169" formatCode="0.0000"/>
    </dxf>
    <dxf>
      <numFmt numFmtId="170" formatCode="0.000"/>
    </dxf>
    <dxf>
      <numFmt numFmtId="2" formatCode="0.00"/>
    </dxf>
    <dxf>
      <fill>
        <patternFill patternType="solid">
          <bgColor theme="5"/>
        </patternFill>
      </fill>
    </dxf>
    <dxf>
      <fill>
        <patternFill patternType="solid">
          <bgColor theme="5"/>
        </patternFill>
      </fill>
    </dxf>
    <dxf>
      <font>
        <color theme="0"/>
      </font>
    </dxf>
    <dxf>
      <font>
        <color theme="0"/>
      </font>
    </dxf>
    <dxf>
      <border>
        <left/>
        <top/>
        <bottom/>
      </border>
    </dxf>
    <dxf>
      <font>
        <b/>
      </font>
    </dxf>
    <dxf>
      <border>
        <right/>
        <top/>
        <bottom/>
      </border>
    </dxf>
    <dxf>
      <border>
        <right/>
        <top/>
        <bottom/>
      </border>
    </dxf>
    <dxf>
      <border>
        <left/>
        <right/>
        <top/>
      </border>
    </dxf>
    <dxf>
      <border>
        <left/>
        <right/>
        <top/>
      </border>
    </dxf>
    <dxf>
      <border>
        <left/>
        <right/>
        <top/>
      </border>
    </dxf>
    <dxf>
      <border>
        <left/>
        <right/>
        <top/>
      </border>
    </dxf>
    <dxf>
      <border>
        <left/>
        <right/>
        <top/>
      </border>
    </dxf>
    <dxf>
      <border>
        <top/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lor theme="0"/>
      </font>
      <fill>
        <patternFill patternType="solid">
          <fgColor indexed="64"/>
          <bgColor theme="5"/>
        </patternFill>
      </fill>
    </dxf>
    <dxf>
      <border>
        <horizontal style="thin">
          <color indexed="64"/>
        </horizontal>
      </border>
    </dxf>
    <dxf>
      <border>
        <vertical style="thin">
          <color indexed="64"/>
        </vertical>
      </border>
    </dxf>
    <dxf>
      <font>
        <b val="0"/>
      </font>
    </dxf>
    <dxf>
      <font>
        <b val="0"/>
      </font>
    </dxf>
    <dxf>
      <font>
        <b/>
      </font>
    </dxf>
    <dxf>
      <font>
        <b/>
      </font>
    </dxf>
    <dxf>
      <border>
        <vertical style="thin">
          <color indexed="64"/>
        </vertical>
      </border>
    </dxf>
    <dxf>
      <border>
        <vertical style="thin">
          <color indexed="64"/>
        </vertical>
      </border>
    </dxf>
    <dxf>
      <font>
        <b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/>
        <color theme="0"/>
      </font>
      <fill>
        <patternFill patternType="solid">
          <fgColor indexed="64"/>
          <bgColor theme="5"/>
        </patternFill>
      </fill>
    </dxf>
    <dxf>
      <numFmt numFmtId="13" formatCode="0%"/>
    </dxf>
    <dxf>
      <numFmt numFmtId="164" formatCode="0.0%"/>
    </dxf>
    <dxf>
      <numFmt numFmtId="14" formatCode="0.00%"/>
    </dxf>
    <dxf>
      <border>
        <right style="thin">
          <color indexed="64"/>
        </right>
        <vertical style="thin">
          <color indexed="64"/>
        </vertical>
        <horizontal style="thin">
          <color indexed="64"/>
        </horizontal>
      </border>
    </dxf>
    <dxf>
      <font>
        <color theme="0"/>
      </font>
      <fill>
        <patternFill patternType="solid">
          <fgColor indexed="64"/>
          <bgColor theme="5"/>
        </patternFill>
      </fill>
    </dxf>
    <dxf>
      <border>
        <vertical style="thin">
          <color indexed="64"/>
        </vertical>
      </border>
    </dxf>
    <dxf>
      <numFmt numFmtId="14" formatCode="0.00%"/>
    </dxf>
    <dxf>
      <border>
        <right style="thin">
          <color indexed="64"/>
        </right>
        <vertical style="thin">
          <color indexed="64"/>
        </vertical>
        <horizontal style="thin">
          <color indexed="64"/>
        </horizontal>
      </border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border>
        <vertical style="thin">
          <color indexed="64"/>
        </vertical>
        <horizontal style="thin">
          <color indexed="64"/>
        </horizontal>
      </border>
    </dxf>
    <dxf>
      <border>
        <vertical style="thin">
          <color indexed="64"/>
        </vertical>
        <horizontal style="thin">
          <color indexed="64"/>
        </horizontal>
      </border>
    </dxf>
    <dxf>
      <border>
        <vertical style="thin">
          <color indexed="64"/>
        </vertical>
        <horizontal style="thin">
          <color indexed="64"/>
        </horizontal>
      </border>
    </dxf>
    <dxf>
      <border>
        <vertical style="thin">
          <color indexed="64"/>
        </vertical>
        <horizontal style="thin">
          <color indexed="64"/>
        </horizontal>
      </border>
    </dxf>
    <dxf>
      <border>
        <vertical style="thin">
          <color indexed="64"/>
        </vertical>
        <horizontal style="thin">
          <color indexed="64"/>
        </horizontal>
      </border>
    </dxf>
    <dxf>
      <numFmt numFmtId="13" formatCode="0%"/>
    </dxf>
    <dxf>
      <numFmt numFmtId="172" formatCode="0.000%"/>
    </dxf>
    <dxf>
      <numFmt numFmtId="14" formatCode="0.00%"/>
    </dxf>
    <dxf>
      <numFmt numFmtId="164" formatCode="0.0%"/>
    </dxf>
    <dxf>
      <alignment horizontal="center" readingOrder="0"/>
    </dxf>
    <dxf>
      <numFmt numFmtId="164" formatCode="0.0%"/>
    </dxf>
    <dxf>
      <fill>
        <patternFill>
          <bgColor rgb="FFE84C22"/>
        </patternFill>
      </fill>
    </dxf>
    <dxf>
      <fill>
        <patternFill>
          <bgColor rgb="FFE84C22"/>
        </patternFill>
      </fill>
    </dxf>
    <dxf>
      <numFmt numFmtId="13" formatCode="0%"/>
    </dxf>
    <dxf>
      <font>
        <b/>
        <color theme="0"/>
      </font>
      <numFmt numFmtId="14" formatCode="0.00%"/>
      <fill>
        <patternFill patternType="solid">
          <fgColor indexed="64"/>
          <bgColor rgb="FFE84C22"/>
        </patternFill>
      </fill>
    </dxf>
    <dxf>
      <numFmt numFmtId="14" formatCode="0.00%"/>
    </dxf>
    <dxf>
      <numFmt numFmtId="14" formatCode="0.00%"/>
    </dxf>
    <dxf>
      <fill>
        <patternFill patternType="solid">
          <fgColor indexed="64"/>
          <bgColor rgb="FFE84C22"/>
        </patternFill>
      </fill>
      <alignment horizontal="center"/>
    </dxf>
    <dxf>
      <numFmt numFmtId="14" formatCode="0.00%"/>
    </dxf>
    <dxf>
      <numFmt numFmtId="0" formatCode="General"/>
      <fill>
        <patternFill patternType="solid">
          <fgColor indexed="64"/>
          <bgColor rgb="FFE84C22"/>
        </patternFill>
      </fill>
      <alignment horizontal="center"/>
    </dxf>
    <dxf>
      <alignment horizontal="center"/>
    </dxf>
    <dxf>
      <alignment vertical="center"/>
    </dxf>
    <dxf>
      <alignment horizontal="center"/>
    </dxf>
    <dxf>
      <alignment vertical="center"/>
    </dxf>
    <dxf>
      <numFmt numFmtId="166" formatCode="0.0000000"/>
    </dxf>
    <dxf>
      <numFmt numFmtId="167" formatCode="0.000000"/>
    </dxf>
    <dxf>
      <numFmt numFmtId="168" formatCode="0.00000"/>
    </dxf>
    <dxf>
      <numFmt numFmtId="169" formatCode="0.0000"/>
    </dxf>
    <dxf>
      <numFmt numFmtId="170" formatCode="0.000"/>
    </dxf>
    <dxf>
      <numFmt numFmtId="2" formatCode="0.00"/>
    </dxf>
    <dxf>
      <numFmt numFmtId="171" formatCode="0.0"/>
    </dxf>
    <dxf>
      <numFmt numFmtId="2" formatCode="0.00"/>
    </dxf>
    <dxf>
      <numFmt numFmtId="166" formatCode="0.0000000"/>
    </dxf>
    <dxf>
      <numFmt numFmtId="167" formatCode="0.000000"/>
    </dxf>
    <dxf>
      <numFmt numFmtId="168" formatCode="0.00000"/>
    </dxf>
    <dxf>
      <numFmt numFmtId="169" formatCode="0.0000"/>
    </dxf>
    <dxf>
      <numFmt numFmtId="170" formatCode="0.000"/>
    </dxf>
    <dxf>
      <numFmt numFmtId="2" formatCode="0.00"/>
    </dxf>
    <dxf>
      <fill>
        <patternFill patternType="solid">
          <bgColor theme="5"/>
        </patternFill>
      </fill>
    </dxf>
    <dxf>
      <font>
        <color theme="0"/>
      </font>
    </dxf>
    <dxf>
      <border>
        <left/>
        <top/>
        <bottom/>
      </border>
    </dxf>
    <dxf>
      <font>
        <b/>
      </font>
    </dxf>
    <dxf>
      <border>
        <right/>
        <top/>
        <bottom/>
      </border>
    </dxf>
    <dxf>
      <border>
        <right/>
        <top/>
        <bottom/>
      </border>
    </dxf>
    <dxf>
      <border>
        <left/>
        <right/>
        <top/>
      </border>
    </dxf>
    <dxf>
      <border>
        <left/>
        <right/>
        <top/>
      </border>
    </dxf>
    <dxf>
      <border>
        <left/>
        <right/>
        <top/>
      </border>
    </dxf>
    <dxf>
      <border>
        <left/>
        <right/>
        <top/>
      </border>
    </dxf>
    <dxf>
      <border>
        <top/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lor theme="0"/>
      </font>
      <fill>
        <patternFill patternType="solid">
          <fgColor indexed="64"/>
          <bgColor theme="5"/>
        </patternFill>
      </fill>
    </dxf>
    <dxf>
      <border>
        <horizontal style="thin">
          <color indexed="64"/>
        </horizontal>
      </border>
    </dxf>
    <dxf>
      <border>
        <vertical style="thin">
          <color indexed="64"/>
        </vertical>
      </border>
    </dxf>
    <dxf>
      <font>
        <b val="0"/>
      </font>
    </dxf>
    <dxf>
      <font>
        <b val="0"/>
      </font>
    </dxf>
    <dxf>
      <font>
        <b/>
      </font>
    </dxf>
    <dxf>
      <font>
        <b/>
      </font>
    </dxf>
    <dxf>
      <border>
        <vertical style="thin">
          <color indexed="64"/>
        </vertical>
      </border>
    </dxf>
    <dxf>
      <border>
        <vertical style="thin">
          <color indexed="64"/>
        </vertical>
      </border>
    </dxf>
    <dxf>
      <font>
        <b/>
      </font>
    </dxf>
    <dxf>
      <font>
        <b/>
        <color theme="0"/>
      </font>
      <fill>
        <patternFill patternType="solid">
          <fgColor indexed="64"/>
          <bgColor theme="5"/>
        </patternFill>
      </fill>
    </dxf>
    <dxf>
      <font>
        <color theme="0"/>
      </font>
      <fill>
        <patternFill patternType="solid">
          <fgColor indexed="64"/>
          <bgColor theme="5"/>
        </patternFill>
      </fill>
    </dxf>
    <dxf>
      <numFmt numFmtId="14" formatCode="0.00%"/>
    </dxf>
    <dxf>
      <numFmt numFmtId="14" formatCode="0.00%"/>
    </dxf>
    <dxf>
      <border>
        <left style="thin">
          <color indexed="64"/>
        </left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vertical style="thin">
          <color indexed="64"/>
        </vertical>
        <horizontal style="thin">
          <color indexed="64"/>
        </horizontal>
      </border>
    </dxf>
    <dxf>
      <font>
        <b/>
      </font>
    </dxf>
    <dxf>
      <font>
        <b/>
        <color theme="0"/>
      </font>
      <numFmt numFmtId="14" formatCode="0.00%"/>
      <fill>
        <patternFill patternType="solid">
          <fgColor indexed="64"/>
          <bgColor theme="5"/>
        </patternFill>
      </fill>
    </dxf>
    <dxf>
      <numFmt numFmtId="13" formatCode="0%"/>
    </dxf>
    <dxf>
      <numFmt numFmtId="164" formatCode="0.0%"/>
    </dxf>
    <dxf>
      <fill>
        <patternFill>
          <bgColor rgb="FFE94C22"/>
        </patternFill>
      </fill>
    </dxf>
    <dxf>
      <numFmt numFmtId="14" formatCode="0.00%"/>
    </dxf>
    <dxf>
      <numFmt numFmtId="14" formatCode="0.00%"/>
    </dxf>
    <dxf>
      <font>
        <b/>
        <color theme="0"/>
      </font>
      <fill>
        <patternFill patternType="solid">
          <fgColor indexed="64"/>
          <bgColor rgb="FFE94C22"/>
        </patternFill>
      </fill>
    </dxf>
    <dxf>
      <font>
        <b/>
        <color theme="0"/>
      </font>
      <numFmt numFmtId="14" formatCode="0.00%"/>
      <fill>
        <patternFill patternType="solid">
          <fgColor indexed="64"/>
          <bgColor rgb="FFE94C22"/>
        </patternFill>
      </fill>
    </dxf>
    <dxf>
      <numFmt numFmtId="14" formatCode="0.00%"/>
    </dxf>
    <dxf>
      <font>
        <b/>
        <color theme="0"/>
      </font>
      <fill>
        <patternFill patternType="solid">
          <fgColor indexed="64"/>
          <bgColor rgb="FFE94C22"/>
        </patternFill>
      </fill>
    </dxf>
    <dxf>
      <numFmt numFmtId="166" formatCode="0.0000000"/>
    </dxf>
    <dxf>
      <numFmt numFmtId="167" formatCode="0.000000"/>
    </dxf>
    <dxf>
      <numFmt numFmtId="168" formatCode="0.00000"/>
    </dxf>
    <dxf>
      <numFmt numFmtId="169" formatCode="0.0000"/>
    </dxf>
    <dxf>
      <numFmt numFmtId="170" formatCode="0.000"/>
    </dxf>
    <dxf>
      <numFmt numFmtId="2" formatCode="0.00"/>
    </dxf>
    <dxf>
      <numFmt numFmtId="171" formatCode="0.0"/>
    </dxf>
    <dxf>
      <numFmt numFmtId="2" formatCode="0.00"/>
    </dxf>
    <dxf>
      <numFmt numFmtId="166" formatCode="0.0000000"/>
    </dxf>
    <dxf>
      <numFmt numFmtId="167" formatCode="0.000000"/>
    </dxf>
    <dxf>
      <numFmt numFmtId="168" formatCode="0.00000"/>
    </dxf>
    <dxf>
      <numFmt numFmtId="169" formatCode="0.0000"/>
    </dxf>
    <dxf>
      <numFmt numFmtId="170" formatCode="0.000"/>
    </dxf>
    <dxf>
      <numFmt numFmtId="2" formatCode="0.00"/>
    </dxf>
    <dxf>
      <fill>
        <patternFill patternType="solid">
          <bgColor theme="5"/>
        </patternFill>
      </fill>
    </dxf>
    <dxf>
      <font>
        <color theme="0"/>
      </font>
    </dxf>
    <dxf>
      <border>
        <left/>
        <top/>
        <bottom/>
      </border>
    </dxf>
    <dxf>
      <font>
        <b/>
      </font>
    </dxf>
    <dxf>
      <border>
        <left/>
        <right/>
        <top/>
        <bottom/>
      </border>
    </dxf>
    <dxf>
      <border>
        <left/>
        <right/>
        <top/>
        <bottom/>
      </border>
    </dxf>
    <dxf>
      <border>
        <top/>
      </border>
    </dxf>
    <dxf>
      <fill>
        <patternFill>
          <bgColor theme="5" tint="-0.249977111117893"/>
        </patternFill>
      </fill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/>
        <right/>
        <top/>
        <bottom/>
        <vertical/>
      </border>
    </dxf>
    <dxf>
      <border>
        <left/>
        <right/>
        <top/>
        <bottom/>
        <vertical/>
      </border>
    </dxf>
    <dxf>
      <border>
        <left/>
        <top/>
      </border>
    </dxf>
    <dxf>
      <border>
        <left/>
        <top/>
      </border>
    </dxf>
    <dxf>
      <border>
        <top/>
      </border>
    </dxf>
    <dxf>
      <border>
        <top/>
      </border>
    </dxf>
    <dxf>
      <border>
        <left/>
        <top/>
      </border>
    </dxf>
    <dxf>
      <border>
        <left/>
        <top/>
      </border>
    </dxf>
    <dxf>
      <border>
        <top/>
      </border>
    </dxf>
    <dxf>
      <border>
        <top/>
      </border>
    </dxf>
    <dxf>
      <border>
        <top/>
      </border>
    </dxf>
    <dxf>
      <border>
        <top/>
      </border>
    </dxf>
    <dxf>
      <border>
        <top/>
      </border>
    </dxf>
    <dxf>
      <border>
        <top/>
      </border>
    </dxf>
    <dxf>
      <border>
        <top/>
      </border>
    </dxf>
    <dxf>
      <border>
        <top/>
      </border>
    </dxf>
    <dxf>
      <border>
        <top/>
      </border>
    </dxf>
    <dxf>
      <border>
        <top/>
      </border>
    </dxf>
    <dxf>
      <border>
        <top/>
      </border>
    </dxf>
    <dxf>
      <border>
        <top/>
      </border>
    </dxf>
    <dxf>
      <border>
        <top/>
      </border>
    </dxf>
    <dxf>
      <border>
        <top/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fill>
        <patternFill>
          <bgColor theme="5"/>
        </patternFill>
      </fill>
    </dxf>
    <dxf>
      <border>
        <horizontal style="thin">
          <color indexed="64"/>
        </horizontal>
      </border>
    </dxf>
    <dxf>
      <border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  <horizontal style="thin">
          <color indexed="64"/>
        </horizontal>
      </border>
    </dxf>
    <dxf>
      <border>
        <top style="thin">
          <color indexed="64"/>
        </top>
        <horizontal style="thin">
          <color indexed="64"/>
        </horizontal>
      </border>
    </dxf>
    <dxf>
      <border>
        <vertical style="thin">
          <color indexed="64"/>
        </vertical>
        <horizontal style="thin">
          <color indexed="64"/>
        </horizontal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vertical style="thin">
          <color indexed="64"/>
        </vertical>
        <horizontal style="thin">
          <color indexed="64"/>
        </horizontal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right style="thin">
          <color indexed="64"/>
        </right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4" formatCode="0.00%"/>
    </dxf>
    <dxf>
      <numFmt numFmtId="13" formatCode="0%"/>
    </dxf>
    <dxf>
      <alignment horizontal="center" readingOrder="0"/>
    </dxf>
    <dxf>
      <numFmt numFmtId="164" formatCode="0.0%"/>
    </dxf>
    <dxf>
      <numFmt numFmtId="14" formatCode="0.00%"/>
    </dxf>
    <dxf>
      <numFmt numFmtId="13" formatCode="0%"/>
    </dxf>
    <dxf>
      <alignment horizontal="center" readingOrder="0"/>
    </dxf>
    <dxf>
      <numFmt numFmtId="164" formatCode="0.0%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readingOrder="0"/>
    </dxf>
    <dxf>
      <numFmt numFmtId="13" formatCode="0%"/>
    </dxf>
    <dxf>
      <alignment horizontal="center" readingOrder="0"/>
    </dxf>
    <dxf>
      <border>
        <right style="thin">
          <color indexed="64"/>
        </right>
      </border>
    </dxf>
    <dxf>
      <fill>
        <patternFill>
          <bgColor rgb="FFE84C22"/>
        </patternFill>
      </fill>
    </dxf>
    <dxf>
      <fill>
        <patternFill>
          <bgColor rgb="FFE84C22"/>
        </patternFill>
      </fill>
    </dxf>
    <dxf>
      <numFmt numFmtId="14" formatCode="0.00%"/>
    </dxf>
    <dxf>
      <font>
        <color theme="0"/>
      </font>
      <numFmt numFmtId="0" formatCode="General"/>
      <fill>
        <patternFill patternType="solid">
          <fgColor indexed="64"/>
          <bgColor rgb="FFE84C22"/>
        </patternFill>
      </fill>
    </dxf>
    <dxf>
      <alignment horizontal="center"/>
    </dxf>
    <dxf>
      <font>
        <b/>
      </font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4" formatCode="0.00%"/>
    </dxf>
    <dxf>
      <numFmt numFmtId="14" formatCode="0.00%"/>
    </dxf>
    <dxf>
      <numFmt numFmtId="1" formatCode="0"/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alignment horizontal="right" readingOrder="0"/>
    </dxf>
    <dxf>
      <alignment horizontal="left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left" readingOrder="0"/>
    </dxf>
    <dxf>
      <alignment horizontal="center" readingOrder="0"/>
    </dxf>
    <dxf>
      <alignment horizontal="left" readingOrder="0"/>
    </dxf>
    <dxf>
      <alignment horizontal="center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font>
        <sz val="13"/>
      </font>
    </dxf>
    <dxf>
      <font>
        <b/>
        <sz val="13"/>
      </font>
    </dxf>
    <dxf>
      <font>
        <color rgb="FFFF0000"/>
      </font>
    </dxf>
    <dxf>
      <font>
        <color auto="1"/>
      </font>
    </dxf>
    <dxf>
      <fill>
        <patternFill patternType="solid">
          <bgColor theme="5" tint="0.79998168889431442"/>
        </patternFill>
      </fill>
    </dxf>
    <dxf>
      <fill>
        <patternFill patternType="solid">
          <bgColor theme="5"/>
        </patternFill>
      </fill>
    </dxf>
    <dxf>
      <fill>
        <patternFill>
          <bgColor theme="5" tint="0.7999816888943144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 patternType="solid">
          <bgColor theme="5" tint="0.79998168889431442"/>
        </patternFill>
      </fill>
    </dxf>
    <dxf>
      <fill>
        <patternFill patternType="solid">
          <bgColor rgb="FFE84C22"/>
        </patternFill>
      </fill>
    </dxf>
    <dxf>
      <fill>
        <patternFill patternType="solid">
          <bgColor rgb="FFE84C22"/>
        </patternFill>
      </fill>
    </dxf>
    <dxf>
      <fill>
        <patternFill patternType="solid">
          <bgColor rgb="FFE84C22"/>
        </patternFill>
      </fill>
    </dxf>
    <dxf>
      <fill>
        <patternFill patternType="solid">
          <bgColor rgb="FFE84C22"/>
        </patternFill>
      </fill>
    </dxf>
    <dxf>
      <font>
        <sz val="11"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sz val="11"/>
      </font>
    </dxf>
    <dxf>
      <font>
        <sz val="11"/>
      </font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b/>
      </font>
    </dxf>
    <dxf>
      <font>
        <sz val="12"/>
      </font>
    </dxf>
    <dxf>
      <font>
        <sz val="12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sz val="12"/>
      </font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readingOrder="0"/>
    </dxf>
    <dxf>
      <fill>
        <patternFill patternType="solid">
          <bgColor rgb="FFE84C22"/>
        </patternFill>
      </fill>
    </dxf>
    <dxf>
      <fill>
        <patternFill patternType="solid">
          <bgColor rgb="FFE84C22"/>
        </patternFill>
      </fill>
    </dxf>
    <dxf>
      <numFmt numFmtId="166" formatCode="0.0000000"/>
    </dxf>
    <dxf>
      <numFmt numFmtId="167" formatCode="0.000000"/>
    </dxf>
    <dxf>
      <numFmt numFmtId="168" formatCode="0.00000"/>
    </dxf>
    <dxf>
      <numFmt numFmtId="169" formatCode="0.0000"/>
    </dxf>
    <dxf>
      <numFmt numFmtId="170" formatCode="0.000"/>
    </dxf>
    <dxf>
      <numFmt numFmtId="2" formatCode="0.00"/>
    </dxf>
    <dxf>
      <numFmt numFmtId="171" formatCode="0.0"/>
    </dxf>
    <dxf>
      <numFmt numFmtId="2" formatCode="0.00"/>
    </dxf>
    <dxf>
      <numFmt numFmtId="166" formatCode="0.0000000"/>
    </dxf>
    <dxf>
      <numFmt numFmtId="167" formatCode="0.000000"/>
    </dxf>
    <dxf>
      <numFmt numFmtId="168" formatCode="0.00000"/>
    </dxf>
    <dxf>
      <numFmt numFmtId="169" formatCode="0.0000"/>
    </dxf>
    <dxf>
      <numFmt numFmtId="170" formatCode="0.000"/>
    </dxf>
    <dxf>
      <numFmt numFmtId="2" formatCode="0.00"/>
    </dxf>
    <dxf>
      <fill>
        <patternFill patternType="solid">
          <bgColor theme="5"/>
        </patternFill>
      </fill>
    </dxf>
    <dxf>
      <fill>
        <patternFill patternType="solid">
          <bgColor theme="5"/>
        </patternFill>
      </fill>
    </dxf>
    <dxf>
      <font>
        <color theme="0"/>
      </font>
    </dxf>
    <dxf>
      <font>
        <color theme="0"/>
      </font>
    </dxf>
    <dxf>
      <border>
        <left/>
        <top/>
        <bottom/>
      </border>
    </dxf>
    <dxf>
      <font>
        <b/>
      </font>
    </dxf>
    <dxf>
      <border>
        <right/>
        <top/>
        <bottom/>
      </border>
    </dxf>
    <dxf>
      <border>
        <right/>
        <top/>
        <bottom/>
      </border>
    </dxf>
    <dxf>
      <border>
        <left/>
        <right/>
        <top/>
      </border>
    </dxf>
    <dxf>
      <border>
        <left/>
        <right/>
        <top/>
      </border>
    </dxf>
    <dxf>
      <border>
        <left/>
        <right/>
        <top/>
      </border>
    </dxf>
    <dxf>
      <border>
        <left/>
        <right/>
        <top/>
      </border>
    </dxf>
    <dxf>
      <border>
        <left/>
        <right/>
        <top/>
      </border>
    </dxf>
    <dxf>
      <border>
        <top/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lor theme="0"/>
      </font>
      <fill>
        <patternFill patternType="solid">
          <fgColor indexed="64"/>
          <bgColor theme="5"/>
        </patternFill>
      </fill>
    </dxf>
    <dxf>
      <border>
        <horizontal style="thin">
          <color indexed="64"/>
        </horizontal>
      </border>
    </dxf>
    <dxf>
      <border>
        <vertical style="thin">
          <color indexed="64"/>
        </vertical>
      </border>
    </dxf>
    <dxf>
      <font>
        <b val="0"/>
      </font>
    </dxf>
    <dxf>
      <font>
        <b val="0"/>
      </font>
    </dxf>
    <dxf>
      <font>
        <b/>
      </font>
    </dxf>
    <dxf>
      <font>
        <b/>
      </font>
    </dxf>
    <dxf>
      <border>
        <vertical style="thin">
          <color indexed="64"/>
        </vertical>
      </border>
    </dxf>
    <dxf>
      <border>
        <vertical style="thin">
          <color indexed="64"/>
        </vertical>
      </border>
    </dxf>
    <dxf>
      <font>
        <b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/>
        <color theme="0"/>
      </font>
      <fill>
        <patternFill patternType="solid">
          <fgColor indexed="64"/>
          <bgColor theme="5"/>
        </patternFill>
      </fill>
    </dxf>
    <dxf>
      <numFmt numFmtId="13" formatCode="0%"/>
    </dxf>
    <dxf>
      <numFmt numFmtId="164" formatCode="0.0%"/>
    </dxf>
    <dxf>
      <numFmt numFmtId="14" formatCode="0.00%"/>
    </dxf>
    <dxf>
      <border>
        <right style="thin">
          <color indexed="64"/>
        </right>
        <vertical style="thin">
          <color indexed="64"/>
        </vertical>
        <horizontal style="thin">
          <color indexed="64"/>
        </horizontal>
      </border>
    </dxf>
    <dxf>
      <font>
        <color theme="0"/>
      </font>
      <fill>
        <patternFill patternType="solid">
          <fgColor indexed="64"/>
          <bgColor theme="5"/>
        </patternFill>
      </fill>
    </dxf>
    <dxf>
      <border>
        <vertical style="thin">
          <color indexed="64"/>
        </vertical>
      </border>
    </dxf>
    <dxf>
      <numFmt numFmtId="14" formatCode="0.00%"/>
    </dxf>
    <dxf>
      <border>
        <right style="thin">
          <color indexed="64"/>
        </right>
        <vertical style="thin">
          <color indexed="64"/>
        </vertical>
        <horizontal style="thin">
          <color indexed="64"/>
        </horizontal>
      </border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border>
        <vertical style="thin">
          <color indexed="64"/>
        </vertical>
        <horizontal style="thin">
          <color indexed="64"/>
        </horizontal>
      </border>
    </dxf>
    <dxf>
      <border>
        <vertical style="thin">
          <color indexed="64"/>
        </vertical>
        <horizontal style="thin">
          <color indexed="64"/>
        </horizontal>
      </border>
    </dxf>
    <dxf>
      <border>
        <vertical style="thin">
          <color indexed="64"/>
        </vertical>
        <horizontal style="thin">
          <color indexed="64"/>
        </horizontal>
      </border>
    </dxf>
    <dxf>
      <border>
        <vertical style="thin">
          <color indexed="64"/>
        </vertical>
        <horizontal style="thin">
          <color indexed="64"/>
        </horizontal>
      </border>
    </dxf>
    <dxf>
      <border>
        <vertical style="thin">
          <color indexed="64"/>
        </vertical>
        <horizontal style="thin">
          <color indexed="64"/>
        </horizontal>
      </border>
    </dxf>
    <dxf>
      <numFmt numFmtId="13" formatCode="0%"/>
    </dxf>
    <dxf>
      <numFmt numFmtId="172" formatCode="0.000%"/>
    </dxf>
    <dxf>
      <numFmt numFmtId="14" formatCode="0.00%"/>
    </dxf>
    <dxf>
      <numFmt numFmtId="164" formatCode="0.0%"/>
    </dxf>
    <dxf>
      <alignment horizontal="center" readingOrder="0"/>
    </dxf>
    <dxf>
      <numFmt numFmtId="164" formatCode="0.0%"/>
    </dxf>
    <dxf>
      <fill>
        <patternFill>
          <bgColor rgb="FFE84C22"/>
        </patternFill>
      </fill>
    </dxf>
    <dxf>
      <fill>
        <patternFill>
          <bgColor rgb="FFE84C22"/>
        </patternFill>
      </fill>
    </dxf>
    <dxf>
      <numFmt numFmtId="13" formatCode="0%"/>
    </dxf>
    <dxf>
      <font>
        <b/>
        <color theme="0"/>
      </font>
      <numFmt numFmtId="14" formatCode="0.00%"/>
      <fill>
        <patternFill patternType="solid">
          <fgColor indexed="64"/>
          <bgColor rgb="FFE84C22"/>
        </patternFill>
      </fill>
    </dxf>
    <dxf>
      <numFmt numFmtId="14" formatCode="0.00%"/>
    </dxf>
    <dxf>
      <numFmt numFmtId="14" formatCode="0.00%"/>
    </dxf>
    <dxf>
      <fill>
        <patternFill patternType="solid">
          <fgColor indexed="64"/>
          <bgColor rgb="FFE84C22"/>
        </patternFill>
      </fill>
      <alignment horizontal="center"/>
    </dxf>
    <dxf>
      <numFmt numFmtId="14" formatCode="0.00%"/>
    </dxf>
    <dxf>
      <numFmt numFmtId="0" formatCode="General"/>
      <fill>
        <patternFill patternType="solid">
          <fgColor indexed="64"/>
          <bgColor rgb="FFE84C22"/>
        </patternFill>
      </fill>
      <alignment horizontal="center"/>
    </dxf>
    <dxf>
      <alignment horizontal="center"/>
    </dxf>
    <dxf>
      <alignment vertical="center"/>
    </dxf>
    <dxf>
      <alignment horizontal="center"/>
    </dxf>
    <dxf>
      <alignment vertical="center"/>
    </dxf>
    <dxf>
      <numFmt numFmtId="166" formatCode="0.0000000"/>
    </dxf>
    <dxf>
      <numFmt numFmtId="167" formatCode="0.000000"/>
    </dxf>
    <dxf>
      <numFmt numFmtId="168" formatCode="0.00000"/>
    </dxf>
    <dxf>
      <numFmt numFmtId="169" formatCode="0.0000"/>
    </dxf>
    <dxf>
      <numFmt numFmtId="170" formatCode="0.000"/>
    </dxf>
    <dxf>
      <numFmt numFmtId="2" formatCode="0.00"/>
    </dxf>
    <dxf>
      <numFmt numFmtId="171" formatCode="0.0"/>
    </dxf>
    <dxf>
      <numFmt numFmtId="2" formatCode="0.00"/>
    </dxf>
    <dxf>
      <numFmt numFmtId="166" formatCode="0.0000000"/>
    </dxf>
    <dxf>
      <numFmt numFmtId="167" formatCode="0.000000"/>
    </dxf>
    <dxf>
      <numFmt numFmtId="168" formatCode="0.00000"/>
    </dxf>
    <dxf>
      <numFmt numFmtId="169" formatCode="0.0000"/>
    </dxf>
    <dxf>
      <numFmt numFmtId="170" formatCode="0.000"/>
    </dxf>
    <dxf>
      <numFmt numFmtId="2" formatCode="0.00"/>
    </dxf>
    <dxf>
      <fill>
        <patternFill patternType="solid">
          <bgColor theme="5"/>
        </patternFill>
      </fill>
    </dxf>
    <dxf>
      <font>
        <color theme="0"/>
      </font>
    </dxf>
    <dxf>
      <border>
        <left/>
        <top/>
        <bottom/>
      </border>
    </dxf>
    <dxf>
      <font>
        <b/>
      </font>
    </dxf>
    <dxf>
      <border>
        <right/>
        <top/>
        <bottom/>
      </border>
    </dxf>
    <dxf>
      <border>
        <right/>
        <top/>
        <bottom/>
      </border>
    </dxf>
    <dxf>
      <border>
        <left/>
        <right/>
        <top/>
      </border>
    </dxf>
    <dxf>
      <border>
        <left/>
        <right/>
        <top/>
      </border>
    </dxf>
    <dxf>
      <border>
        <left/>
        <right/>
        <top/>
      </border>
    </dxf>
    <dxf>
      <border>
        <left/>
        <right/>
        <top/>
      </border>
    </dxf>
    <dxf>
      <border>
        <top/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lor theme="0"/>
      </font>
      <fill>
        <patternFill patternType="solid">
          <fgColor indexed="64"/>
          <bgColor theme="5"/>
        </patternFill>
      </fill>
    </dxf>
    <dxf>
      <border>
        <horizontal style="thin">
          <color indexed="64"/>
        </horizontal>
      </border>
    </dxf>
    <dxf>
      <border>
        <vertical style="thin">
          <color indexed="64"/>
        </vertical>
      </border>
    </dxf>
    <dxf>
      <font>
        <b val="0"/>
      </font>
    </dxf>
    <dxf>
      <font>
        <b val="0"/>
      </font>
    </dxf>
    <dxf>
      <font>
        <b/>
      </font>
    </dxf>
    <dxf>
      <font>
        <b/>
      </font>
    </dxf>
    <dxf>
      <border>
        <vertical style="thin">
          <color indexed="64"/>
        </vertical>
      </border>
    </dxf>
    <dxf>
      <border>
        <vertical style="thin">
          <color indexed="64"/>
        </vertical>
      </border>
    </dxf>
    <dxf>
      <font>
        <b/>
      </font>
    </dxf>
    <dxf>
      <font>
        <b/>
        <color theme="0"/>
      </font>
      <fill>
        <patternFill patternType="solid">
          <fgColor indexed="64"/>
          <bgColor theme="5"/>
        </patternFill>
      </fill>
    </dxf>
    <dxf>
      <font>
        <color theme="0"/>
      </font>
      <fill>
        <patternFill patternType="solid">
          <fgColor indexed="64"/>
          <bgColor theme="5"/>
        </patternFill>
      </fill>
    </dxf>
    <dxf>
      <numFmt numFmtId="14" formatCode="0.00%"/>
    </dxf>
    <dxf>
      <numFmt numFmtId="14" formatCode="0.00%"/>
    </dxf>
    <dxf>
      <border>
        <left style="thin">
          <color indexed="64"/>
        </left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vertical style="thin">
          <color indexed="64"/>
        </vertical>
        <horizontal style="thin">
          <color indexed="64"/>
        </horizontal>
      </border>
    </dxf>
    <dxf>
      <font>
        <b/>
      </font>
    </dxf>
    <dxf>
      <font>
        <b/>
        <color theme="0"/>
      </font>
      <numFmt numFmtId="14" formatCode="0.00%"/>
      <fill>
        <patternFill patternType="solid">
          <fgColor indexed="64"/>
          <bgColor theme="5"/>
        </patternFill>
      </fill>
    </dxf>
    <dxf>
      <numFmt numFmtId="13" formatCode="0%"/>
    </dxf>
    <dxf>
      <numFmt numFmtId="164" formatCode="0.0%"/>
    </dxf>
    <dxf>
      <fill>
        <patternFill>
          <bgColor rgb="FFE94C22"/>
        </patternFill>
      </fill>
    </dxf>
    <dxf>
      <numFmt numFmtId="14" formatCode="0.00%"/>
    </dxf>
    <dxf>
      <numFmt numFmtId="14" formatCode="0.00%"/>
    </dxf>
    <dxf>
      <font>
        <b/>
        <color theme="0"/>
      </font>
      <fill>
        <patternFill patternType="solid">
          <fgColor indexed="64"/>
          <bgColor rgb="FFE94C22"/>
        </patternFill>
      </fill>
    </dxf>
    <dxf>
      <font>
        <b/>
        <color theme="0"/>
      </font>
      <numFmt numFmtId="14" formatCode="0.00%"/>
      <fill>
        <patternFill patternType="solid">
          <fgColor indexed="64"/>
          <bgColor rgb="FFE94C22"/>
        </patternFill>
      </fill>
    </dxf>
    <dxf>
      <numFmt numFmtId="14" formatCode="0.00%"/>
    </dxf>
    <dxf>
      <font>
        <b/>
        <color theme="0"/>
      </font>
      <fill>
        <patternFill patternType="solid">
          <fgColor indexed="64"/>
          <bgColor rgb="FFE94C22"/>
        </patternFill>
      </fill>
    </dxf>
    <dxf>
      <numFmt numFmtId="166" formatCode="0.0000000"/>
    </dxf>
    <dxf>
      <numFmt numFmtId="167" formatCode="0.000000"/>
    </dxf>
    <dxf>
      <numFmt numFmtId="168" formatCode="0.00000"/>
    </dxf>
    <dxf>
      <numFmt numFmtId="169" formatCode="0.0000"/>
    </dxf>
    <dxf>
      <numFmt numFmtId="170" formatCode="0.000"/>
    </dxf>
    <dxf>
      <numFmt numFmtId="2" formatCode="0.00"/>
    </dxf>
    <dxf>
      <numFmt numFmtId="171" formatCode="0.0"/>
    </dxf>
    <dxf>
      <numFmt numFmtId="2" formatCode="0.00"/>
    </dxf>
    <dxf>
      <numFmt numFmtId="166" formatCode="0.0000000"/>
    </dxf>
    <dxf>
      <numFmt numFmtId="167" formatCode="0.000000"/>
    </dxf>
    <dxf>
      <numFmt numFmtId="168" formatCode="0.00000"/>
    </dxf>
    <dxf>
      <numFmt numFmtId="169" formatCode="0.0000"/>
    </dxf>
    <dxf>
      <numFmt numFmtId="170" formatCode="0.000"/>
    </dxf>
    <dxf>
      <numFmt numFmtId="2" formatCode="0.00"/>
    </dxf>
    <dxf>
      <fill>
        <patternFill patternType="solid">
          <bgColor theme="5"/>
        </patternFill>
      </fill>
    </dxf>
    <dxf>
      <font>
        <color theme="0"/>
      </font>
    </dxf>
    <dxf>
      <border>
        <left/>
        <top/>
        <bottom/>
      </border>
    </dxf>
    <dxf>
      <font>
        <b/>
      </font>
    </dxf>
    <dxf>
      <border>
        <left/>
        <right/>
        <top/>
        <bottom/>
      </border>
    </dxf>
    <dxf>
      <border>
        <left/>
        <right/>
        <top/>
        <bottom/>
      </border>
    </dxf>
    <dxf>
      <border>
        <top/>
      </border>
    </dxf>
    <dxf>
      <fill>
        <patternFill>
          <bgColor theme="5" tint="-0.249977111117893"/>
        </patternFill>
      </fill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/>
        <right/>
        <top/>
        <bottom/>
        <vertical/>
      </border>
    </dxf>
    <dxf>
      <border>
        <left/>
        <right/>
        <top/>
        <bottom/>
        <vertical/>
      </border>
    </dxf>
    <dxf>
      <border>
        <left/>
        <top/>
      </border>
    </dxf>
    <dxf>
      <border>
        <left/>
        <top/>
      </border>
    </dxf>
    <dxf>
      <border>
        <top/>
      </border>
    </dxf>
    <dxf>
      <border>
        <top/>
      </border>
    </dxf>
    <dxf>
      <border>
        <left/>
        <top/>
      </border>
    </dxf>
    <dxf>
      <border>
        <left/>
        <top/>
      </border>
    </dxf>
    <dxf>
      <border>
        <top/>
      </border>
    </dxf>
    <dxf>
      <border>
        <top/>
      </border>
    </dxf>
    <dxf>
      <border>
        <top/>
      </border>
    </dxf>
    <dxf>
      <border>
        <top/>
      </border>
    </dxf>
    <dxf>
      <border>
        <top/>
      </border>
    </dxf>
    <dxf>
      <border>
        <top/>
      </border>
    </dxf>
    <dxf>
      <border>
        <top/>
      </border>
    </dxf>
    <dxf>
      <border>
        <top/>
      </border>
    </dxf>
    <dxf>
      <border>
        <top/>
      </border>
    </dxf>
    <dxf>
      <border>
        <top/>
      </border>
    </dxf>
    <dxf>
      <border>
        <top/>
      </border>
    </dxf>
    <dxf>
      <border>
        <top/>
      </border>
    </dxf>
    <dxf>
      <border>
        <top/>
      </border>
    </dxf>
    <dxf>
      <border>
        <top/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fill>
        <patternFill>
          <bgColor theme="5"/>
        </patternFill>
      </fill>
    </dxf>
    <dxf>
      <border>
        <horizontal style="thin">
          <color indexed="64"/>
        </horizontal>
      </border>
    </dxf>
    <dxf>
      <border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  <horizontal style="thin">
          <color indexed="64"/>
        </horizontal>
      </border>
    </dxf>
    <dxf>
      <border>
        <top style="thin">
          <color indexed="64"/>
        </top>
        <horizontal style="thin">
          <color indexed="64"/>
        </horizontal>
      </border>
    </dxf>
    <dxf>
      <border>
        <vertical style="thin">
          <color indexed="64"/>
        </vertical>
        <horizontal style="thin">
          <color indexed="64"/>
        </horizontal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vertical style="thin">
          <color indexed="64"/>
        </vertical>
        <horizontal style="thin">
          <color indexed="64"/>
        </horizontal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right style="thin">
          <color indexed="64"/>
        </right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4" formatCode="0.00%"/>
    </dxf>
    <dxf>
      <numFmt numFmtId="13" formatCode="0%"/>
    </dxf>
    <dxf>
      <alignment horizontal="center" readingOrder="0"/>
    </dxf>
    <dxf>
      <numFmt numFmtId="164" formatCode="0.0%"/>
    </dxf>
    <dxf>
      <numFmt numFmtId="14" formatCode="0.00%"/>
    </dxf>
    <dxf>
      <numFmt numFmtId="13" formatCode="0%"/>
    </dxf>
    <dxf>
      <alignment horizontal="center" readingOrder="0"/>
    </dxf>
    <dxf>
      <numFmt numFmtId="164" formatCode="0.0%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readingOrder="0"/>
    </dxf>
    <dxf>
      <numFmt numFmtId="13" formatCode="0%"/>
    </dxf>
    <dxf>
      <alignment horizontal="center" readingOrder="0"/>
    </dxf>
    <dxf>
      <border>
        <right style="thin">
          <color indexed="64"/>
        </right>
      </border>
    </dxf>
    <dxf>
      <fill>
        <patternFill>
          <bgColor rgb="FFE84C22"/>
        </patternFill>
      </fill>
    </dxf>
    <dxf>
      <fill>
        <patternFill>
          <bgColor rgb="FFE84C22"/>
        </patternFill>
      </fill>
    </dxf>
    <dxf>
      <numFmt numFmtId="14" formatCode="0.00%"/>
    </dxf>
    <dxf>
      <font>
        <color theme="0"/>
      </font>
      <numFmt numFmtId="0" formatCode="General"/>
      <fill>
        <patternFill patternType="solid">
          <fgColor indexed="64"/>
          <bgColor rgb="FFE84C22"/>
        </patternFill>
      </fill>
    </dxf>
    <dxf>
      <alignment horizontal="center"/>
    </dxf>
    <dxf>
      <font>
        <b/>
      </font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4" formatCode="0.00%"/>
    </dxf>
    <dxf>
      <numFmt numFmtId="14" formatCode="0.00%"/>
    </dxf>
    <dxf>
      <numFmt numFmtId="1" formatCode="0"/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alignment horizontal="right" readingOrder="0"/>
    </dxf>
    <dxf>
      <alignment horizontal="left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left" readingOrder="0"/>
    </dxf>
    <dxf>
      <alignment horizontal="center" readingOrder="0"/>
    </dxf>
    <dxf>
      <alignment horizontal="left" readingOrder="0"/>
    </dxf>
    <dxf>
      <alignment horizontal="center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font>
        <sz val="13"/>
      </font>
    </dxf>
    <dxf>
      <font>
        <b/>
        <sz val="13"/>
      </font>
    </dxf>
    <dxf>
      <font>
        <color rgb="FFFF0000"/>
      </font>
    </dxf>
    <dxf>
      <font>
        <color auto="1"/>
      </font>
    </dxf>
    <dxf>
      <fill>
        <patternFill patternType="solid">
          <bgColor theme="5" tint="0.79998168889431442"/>
        </patternFill>
      </fill>
    </dxf>
    <dxf>
      <fill>
        <patternFill patternType="solid">
          <bgColor theme="5"/>
        </patternFill>
      </fill>
    </dxf>
    <dxf>
      <fill>
        <patternFill>
          <bgColor theme="5" tint="0.7999816888943144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 patternType="solid">
          <bgColor theme="5" tint="0.79998168889431442"/>
        </patternFill>
      </fill>
    </dxf>
    <dxf>
      <fill>
        <patternFill patternType="solid">
          <bgColor rgb="FFE84C22"/>
        </patternFill>
      </fill>
    </dxf>
    <dxf>
      <fill>
        <patternFill patternType="solid">
          <bgColor rgb="FFE84C22"/>
        </patternFill>
      </fill>
    </dxf>
    <dxf>
      <fill>
        <patternFill patternType="solid">
          <bgColor rgb="FFE84C22"/>
        </patternFill>
      </fill>
    </dxf>
    <dxf>
      <fill>
        <patternFill patternType="solid">
          <bgColor rgb="FFE84C22"/>
        </patternFill>
      </fill>
    </dxf>
    <dxf>
      <font>
        <sz val="11"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sz val="11"/>
      </font>
    </dxf>
    <dxf>
      <font>
        <sz val="11"/>
      </font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b/>
      </font>
    </dxf>
    <dxf>
      <font>
        <sz val="12"/>
      </font>
    </dxf>
    <dxf>
      <font>
        <sz val="12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sz val="12"/>
      </font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readingOrder="0"/>
    </dxf>
    <dxf>
      <fill>
        <patternFill patternType="solid">
          <bgColor rgb="FFE84C22"/>
        </patternFill>
      </fill>
    </dxf>
    <dxf>
      <fill>
        <patternFill patternType="solid">
          <bgColor rgb="FFE84C22"/>
        </patternFill>
      </fill>
    </dxf>
    <dxf>
      <numFmt numFmtId="166" formatCode="0.0000000"/>
    </dxf>
    <dxf>
      <numFmt numFmtId="167" formatCode="0.000000"/>
    </dxf>
    <dxf>
      <numFmt numFmtId="168" formatCode="0.00000"/>
    </dxf>
    <dxf>
      <numFmt numFmtId="169" formatCode="0.0000"/>
    </dxf>
    <dxf>
      <numFmt numFmtId="170" formatCode="0.000"/>
    </dxf>
    <dxf>
      <numFmt numFmtId="2" formatCode="0.00"/>
    </dxf>
    <dxf>
      <numFmt numFmtId="171" formatCode="0.0"/>
    </dxf>
    <dxf>
      <numFmt numFmtId="2" formatCode="0.00"/>
    </dxf>
    <dxf>
      <numFmt numFmtId="166" formatCode="0.0000000"/>
    </dxf>
    <dxf>
      <numFmt numFmtId="167" formatCode="0.000000"/>
    </dxf>
    <dxf>
      <numFmt numFmtId="168" formatCode="0.00000"/>
    </dxf>
    <dxf>
      <numFmt numFmtId="169" formatCode="0.0000"/>
    </dxf>
    <dxf>
      <numFmt numFmtId="170" formatCode="0.000"/>
    </dxf>
    <dxf>
      <numFmt numFmtId="2" formatCode="0.00"/>
    </dxf>
    <dxf>
      <fill>
        <patternFill patternType="solid">
          <bgColor theme="5"/>
        </patternFill>
      </fill>
    </dxf>
    <dxf>
      <fill>
        <patternFill patternType="solid">
          <bgColor theme="5"/>
        </patternFill>
      </fill>
    </dxf>
    <dxf>
      <font>
        <color theme="0"/>
      </font>
    </dxf>
    <dxf>
      <font>
        <color theme="0"/>
      </font>
    </dxf>
    <dxf>
      <border>
        <left/>
        <top/>
        <bottom/>
      </border>
    </dxf>
    <dxf>
      <font>
        <b/>
      </font>
    </dxf>
    <dxf>
      <border>
        <right/>
        <top/>
        <bottom/>
      </border>
    </dxf>
    <dxf>
      <border>
        <right/>
        <top/>
        <bottom/>
      </border>
    </dxf>
    <dxf>
      <border>
        <left/>
        <right/>
        <top/>
      </border>
    </dxf>
    <dxf>
      <border>
        <left/>
        <right/>
        <top/>
      </border>
    </dxf>
    <dxf>
      <border>
        <left/>
        <right/>
        <top/>
      </border>
    </dxf>
    <dxf>
      <border>
        <left/>
        <right/>
        <top/>
      </border>
    </dxf>
    <dxf>
      <border>
        <left/>
        <right/>
        <top/>
      </border>
    </dxf>
    <dxf>
      <border>
        <top/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lor theme="0"/>
      </font>
      <fill>
        <patternFill patternType="solid">
          <fgColor indexed="64"/>
          <bgColor theme="5"/>
        </patternFill>
      </fill>
    </dxf>
    <dxf>
      <border>
        <horizontal style="thin">
          <color indexed="64"/>
        </horizontal>
      </border>
    </dxf>
    <dxf>
      <border>
        <vertical style="thin">
          <color indexed="64"/>
        </vertical>
      </border>
    </dxf>
    <dxf>
      <font>
        <b val="0"/>
      </font>
    </dxf>
    <dxf>
      <font>
        <b val="0"/>
      </font>
    </dxf>
    <dxf>
      <font>
        <b/>
      </font>
    </dxf>
    <dxf>
      <font>
        <b/>
      </font>
    </dxf>
    <dxf>
      <border>
        <vertical style="thin">
          <color indexed="64"/>
        </vertical>
      </border>
    </dxf>
    <dxf>
      <border>
        <vertical style="thin">
          <color indexed="64"/>
        </vertical>
      </border>
    </dxf>
    <dxf>
      <font>
        <b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/>
        <color theme="0"/>
      </font>
      <fill>
        <patternFill patternType="solid">
          <fgColor indexed="64"/>
          <bgColor theme="5"/>
        </patternFill>
      </fill>
    </dxf>
    <dxf>
      <numFmt numFmtId="13" formatCode="0%"/>
    </dxf>
    <dxf>
      <numFmt numFmtId="164" formatCode="0.0%"/>
    </dxf>
    <dxf>
      <numFmt numFmtId="14" formatCode="0.00%"/>
    </dxf>
    <dxf>
      <border>
        <right style="thin">
          <color indexed="64"/>
        </right>
        <vertical style="thin">
          <color indexed="64"/>
        </vertical>
        <horizontal style="thin">
          <color indexed="64"/>
        </horizontal>
      </border>
    </dxf>
    <dxf>
      <font>
        <color theme="0"/>
      </font>
      <fill>
        <patternFill patternType="solid">
          <fgColor indexed="64"/>
          <bgColor theme="5"/>
        </patternFill>
      </fill>
    </dxf>
    <dxf>
      <border>
        <vertical style="thin">
          <color indexed="64"/>
        </vertical>
      </border>
    </dxf>
    <dxf>
      <numFmt numFmtId="14" formatCode="0.00%"/>
    </dxf>
    <dxf>
      <border>
        <right style="thin">
          <color indexed="64"/>
        </right>
        <vertical style="thin">
          <color indexed="64"/>
        </vertical>
        <horizontal style="thin">
          <color indexed="64"/>
        </horizontal>
      </border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border>
        <vertical style="thin">
          <color indexed="64"/>
        </vertical>
        <horizontal style="thin">
          <color indexed="64"/>
        </horizontal>
      </border>
    </dxf>
    <dxf>
      <border>
        <vertical style="thin">
          <color indexed="64"/>
        </vertical>
        <horizontal style="thin">
          <color indexed="64"/>
        </horizontal>
      </border>
    </dxf>
    <dxf>
      <border>
        <vertical style="thin">
          <color indexed="64"/>
        </vertical>
        <horizontal style="thin">
          <color indexed="64"/>
        </horizontal>
      </border>
    </dxf>
    <dxf>
      <border>
        <vertical style="thin">
          <color indexed="64"/>
        </vertical>
        <horizontal style="thin">
          <color indexed="64"/>
        </horizontal>
      </border>
    </dxf>
    <dxf>
      <border>
        <vertical style="thin">
          <color indexed="64"/>
        </vertical>
        <horizontal style="thin">
          <color indexed="64"/>
        </horizontal>
      </border>
    </dxf>
    <dxf>
      <numFmt numFmtId="13" formatCode="0%"/>
    </dxf>
    <dxf>
      <numFmt numFmtId="172" formatCode="0.000%"/>
    </dxf>
    <dxf>
      <numFmt numFmtId="14" formatCode="0.00%"/>
    </dxf>
    <dxf>
      <numFmt numFmtId="164" formatCode="0.0%"/>
    </dxf>
    <dxf>
      <alignment horizontal="center" readingOrder="0"/>
    </dxf>
    <dxf>
      <numFmt numFmtId="164" formatCode="0.0%"/>
    </dxf>
    <dxf>
      <fill>
        <patternFill>
          <bgColor rgb="FFE84C22"/>
        </patternFill>
      </fill>
    </dxf>
    <dxf>
      <fill>
        <patternFill>
          <bgColor rgb="FFE84C22"/>
        </patternFill>
      </fill>
    </dxf>
    <dxf>
      <numFmt numFmtId="13" formatCode="0%"/>
    </dxf>
    <dxf>
      <font>
        <b/>
        <color theme="0"/>
      </font>
      <numFmt numFmtId="14" formatCode="0.00%"/>
      <fill>
        <patternFill patternType="solid">
          <fgColor indexed="64"/>
          <bgColor rgb="FFE84C22"/>
        </patternFill>
      </fill>
    </dxf>
    <dxf>
      <numFmt numFmtId="14" formatCode="0.00%"/>
    </dxf>
    <dxf>
      <numFmt numFmtId="14" formatCode="0.00%"/>
    </dxf>
    <dxf>
      <fill>
        <patternFill patternType="solid">
          <fgColor indexed="64"/>
          <bgColor rgb="FFE84C22"/>
        </patternFill>
      </fill>
      <alignment horizontal="center"/>
    </dxf>
    <dxf>
      <numFmt numFmtId="14" formatCode="0.00%"/>
    </dxf>
    <dxf>
      <numFmt numFmtId="0" formatCode="General"/>
      <fill>
        <patternFill patternType="solid">
          <fgColor indexed="64"/>
          <bgColor rgb="FFE84C22"/>
        </patternFill>
      </fill>
      <alignment horizontal="center"/>
    </dxf>
    <dxf>
      <alignment horizontal="center"/>
    </dxf>
    <dxf>
      <alignment vertical="center"/>
    </dxf>
    <dxf>
      <alignment horizontal="center"/>
    </dxf>
    <dxf>
      <alignment vertical="center"/>
    </dxf>
    <dxf>
      <numFmt numFmtId="166" formatCode="0.0000000"/>
    </dxf>
    <dxf>
      <numFmt numFmtId="167" formatCode="0.000000"/>
    </dxf>
    <dxf>
      <numFmt numFmtId="168" formatCode="0.00000"/>
    </dxf>
    <dxf>
      <numFmt numFmtId="169" formatCode="0.0000"/>
    </dxf>
    <dxf>
      <numFmt numFmtId="170" formatCode="0.000"/>
    </dxf>
    <dxf>
      <numFmt numFmtId="2" formatCode="0.00"/>
    </dxf>
    <dxf>
      <numFmt numFmtId="171" formatCode="0.0"/>
    </dxf>
    <dxf>
      <numFmt numFmtId="2" formatCode="0.00"/>
    </dxf>
    <dxf>
      <numFmt numFmtId="166" formatCode="0.0000000"/>
    </dxf>
    <dxf>
      <numFmt numFmtId="167" formatCode="0.000000"/>
    </dxf>
    <dxf>
      <numFmt numFmtId="168" formatCode="0.00000"/>
    </dxf>
    <dxf>
      <numFmt numFmtId="169" formatCode="0.0000"/>
    </dxf>
    <dxf>
      <numFmt numFmtId="170" formatCode="0.000"/>
    </dxf>
    <dxf>
      <numFmt numFmtId="2" formatCode="0.00"/>
    </dxf>
    <dxf>
      <fill>
        <patternFill patternType="solid">
          <bgColor theme="5"/>
        </patternFill>
      </fill>
    </dxf>
    <dxf>
      <font>
        <color theme="0"/>
      </font>
    </dxf>
    <dxf>
      <border>
        <left/>
        <top/>
        <bottom/>
      </border>
    </dxf>
    <dxf>
      <font>
        <b/>
      </font>
    </dxf>
    <dxf>
      <border>
        <right/>
        <top/>
        <bottom/>
      </border>
    </dxf>
    <dxf>
      <border>
        <right/>
        <top/>
        <bottom/>
      </border>
    </dxf>
    <dxf>
      <border>
        <left/>
        <right/>
        <top/>
      </border>
    </dxf>
    <dxf>
      <border>
        <left/>
        <right/>
        <top/>
      </border>
    </dxf>
    <dxf>
      <border>
        <left/>
        <right/>
        <top/>
      </border>
    </dxf>
    <dxf>
      <border>
        <left/>
        <right/>
        <top/>
      </border>
    </dxf>
    <dxf>
      <border>
        <top/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lor theme="0"/>
      </font>
      <fill>
        <patternFill patternType="solid">
          <fgColor indexed="64"/>
          <bgColor theme="5"/>
        </patternFill>
      </fill>
    </dxf>
    <dxf>
      <border>
        <horizontal style="thin">
          <color indexed="64"/>
        </horizontal>
      </border>
    </dxf>
    <dxf>
      <border>
        <vertical style="thin">
          <color indexed="64"/>
        </vertical>
      </border>
    </dxf>
    <dxf>
      <font>
        <b val="0"/>
      </font>
    </dxf>
    <dxf>
      <font>
        <b val="0"/>
      </font>
    </dxf>
    <dxf>
      <font>
        <b/>
      </font>
    </dxf>
    <dxf>
      <font>
        <b/>
      </font>
    </dxf>
    <dxf>
      <border>
        <vertical style="thin">
          <color indexed="64"/>
        </vertical>
      </border>
    </dxf>
    <dxf>
      <border>
        <vertical style="thin">
          <color indexed="64"/>
        </vertical>
      </border>
    </dxf>
    <dxf>
      <font>
        <b/>
      </font>
    </dxf>
    <dxf>
      <font>
        <b/>
        <color theme="0"/>
      </font>
      <fill>
        <patternFill patternType="solid">
          <fgColor indexed="64"/>
          <bgColor theme="5"/>
        </patternFill>
      </fill>
    </dxf>
    <dxf>
      <font>
        <color theme="0"/>
      </font>
      <fill>
        <patternFill patternType="solid">
          <fgColor indexed="64"/>
          <bgColor theme="5"/>
        </patternFill>
      </fill>
    </dxf>
    <dxf>
      <numFmt numFmtId="14" formatCode="0.00%"/>
    </dxf>
    <dxf>
      <numFmt numFmtId="14" formatCode="0.00%"/>
    </dxf>
    <dxf>
      <border>
        <left style="thin">
          <color indexed="64"/>
        </left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vertical style="thin">
          <color indexed="64"/>
        </vertical>
        <horizontal style="thin">
          <color indexed="64"/>
        </horizontal>
      </border>
    </dxf>
    <dxf>
      <font>
        <b/>
      </font>
    </dxf>
    <dxf>
      <font>
        <b/>
        <color theme="0"/>
      </font>
      <numFmt numFmtId="14" formatCode="0.00%"/>
      <fill>
        <patternFill patternType="solid">
          <fgColor indexed="64"/>
          <bgColor theme="5"/>
        </patternFill>
      </fill>
    </dxf>
    <dxf>
      <numFmt numFmtId="13" formatCode="0%"/>
    </dxf>
    <dxf>
      <numFmt numFmtId="164" formatCode="0.0%"/>
    </dxf>
    <dxf>
      <fill>
        <patternFill>
          <bgColor rgb="FFE94C22"/>
        </patternFill>
      </fill>
    </dxf>
    <dxf>
      <numFmt numFmtId="14" formatCode="0.00%"/>
    </dxf>
    <dxf>
      <numFmt numFmtId="14" formatCode="0.00%"/>
    </dxf>
    <dxf>
      <font>
        <b/>
        <color theme="0"/>
      </font>
      <fill>
        <patternFill patternType="solid">
          <fgColor indexed="64"/>
          <bgColor rgb="FFE94C22"/>
        </patternFill>
      </fill>
    </dxf>
    <dxf>
      <font>
        <b/>
        <color theme="0"/>
      </font>
      <numFmt numFmtId="14" formatCode="0.00%"/>
      <fill>
        <patternFill patternType="solid">
          <fgColor indexed="64"/>
          <bgColor rgb="FFE94C22"/>
        </patternFill>
      </fill>
    </dxf>
    <dxf>
      <numFmt numFmtId="14" formatCode="0.00%"/>
    </dxf>
    <dxf>
      <font>
        <b/>
        <color theme="0"/>
      </font>
      <fill>
        <patternFill patternType="solid">
          <fgColor indexed="64"/>
          <bgColor rgb="FFE94C22"/>
        </patternFill>
      </fill>
    </dxf>
    <dxf>
      <numFmt numFmtId="166" formatCode="0.0000000"/>
    </dxf>
    <dxf>
      <numFmt numFmtId="167" formatCode="0.000000"/>
    </dxf>
    <dxf>
      <numFmt numFmtId="168" formatCode="0.00000"/>
    </dxf>
    <dxf>
      <numFmt numFmtId="169" formatCode="0.0000"/>
    </dxf>
    <dxf>
      <numFmt numFmtId="170" formatCode="0.000"/>
    </dxf>
    <dxf>
      <numFmt numFmtId="2" formatCode="0.00"/>
    </dxf>
    <dxf>
      <numFmt numFmtId="171" formatCode="0.0"/>
    </dxf>
    <dxf>
      <numFmt numFmtId="2" formatCode="0.00"/>
    </dxf>
    <dxf>
      <numFmt numFmtId="166" formatCode="0.0000000"/>
    </dxf>
    <dxf>
      <numFmt numFmtId="167" formatCode="0.000000"/>
    </dxf>
    <dxf>
      <numFmt numFmtId="168" formatCode="0.00000"/>
    </dxf>
    <dxf>
      <numFmt numFmtId="169" formatCode="0.0000"/>
    </dxf>
    <dxf>
      <numFmt numFmtId="170" formatCode="0.000"/>
    </dxf>
    <dxf>
      <numFmt numFmtId="2" formatCode="0.00"/>
    </dxf>
    <dxf>
      <fill>
        <patternFill patternType="solid">
          <bgColor theme="5"/>
        </patternFill>
      </fill>
    </dxf>
    <dxf>
      <font>
        <color theme="0"/>
      </font>
    </dxf>
    <dxf>
      <border>
        <left/>
        <top/>
        <bottom/>
      </border>
    </dxf>
    <dxf>
      <font>
        <b/>
      </font>
    </dxf>
    <dxf>
      <border>
        <left/>
        <right/>
        <top/>
        <bottom/>
      </border>
    </dxf>
    <dxf>
      <border>
        <left/>
        <right/>
        <top/>
        <bottom/>
      </border>
    </dxf>
    <dxf>
      <border>
        <top/>
      </border>
    </dxf>
    <dxf>
      <fill>
        <patternFill>
          <bgColor theme="5" tint="-0.249977111117893"/>
        </patternFill>
      </fill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/>
        <right/>
        <top/>
        <bottom/>
        <vertical/>
      </border>
    </dxf>
    <dxf>
      <border>
        <left/>
        <right/>
        <top/>
        <bottom/>
        <vertical/>
      </border>
    </dxf>
    <dxf>
      <border>
        <left/>
        <top/>
      </border>
    </dxf>
    <dxf>
      <border>
        <left/>
        <top/>
      </border>
    </dxf>
    <dxf>
      <border>
        <top/>
      </border>
    </dxf>
    <dxf>
      <border>
        <top/>
      </border>
    </dxf>
    <dxf>
      <border>
        <left/>
        <top/>
      </border>
    </dxf>
    <dxf>
      <border>
        <left/>
        <top/>
      </border>
    </dxf>
    <dxf>
      <border>
        <top/>
      </border>
    </dxf>
    <dxf>
      <border>
        <top/>
      </border>
    </dxf>
    <dxf>
      <border>
        <top/>
      </border>
    </dxf>
    <dxf>
      <border>
        <top/>
      </border>
    </dxf>
    <dxf>
      <border>
        <top/>
      </border>
    </dxf>
    <dxf>
      <border>
        <top/>
      </border>
    </dxf>
    <dxf>
      <border>
        <top/>
      </border>
    </dxf>
    <dxf>
      <border>
        <top/>
      </border>
    </dxf>
    <dxf>
      <border>
        <top/>
      </border>
    </dxf>
    <dxf>
      <border>
        <top/>
      </border>
    </dxf>
    <dxf>
      <border>
        <top/>
      </border>
    </dxf>
    <dxf>
      <border>
        <top/>
      </border>
    </dxf>
    <dxf>
      <border>
        <top/>
      </border>
    </dxf>
    <dxf>
      <border>
        <top/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fill>
        <patternFill>
          <bgColor theme="5"/>
        </patternFill>
      </fill>
    </dxf>
    <dxf>
      <border>
        <horizontal style="thin">
          <color indexed="64"/>
        </horizontal>
      </border>
    </dxf>
    <dxf>
      <border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  <horizontal style="thin">
          <color indexed="64"/>
        </horizontal>
      </border>
    </dxf>
    <dxf>
      <border>
        <top style="thin">
          <color indexed="64"/>
        </top>
        <horizontal style="thin">
          <color indexed="64"/>
        </horizontal>
      </border>
    </dxf>
    <dxf>
      <border>
        <vertical style="thin">
          <color indexed="64"/>
        </vertical>
        <horizontal style="thin">
          <color indexed="64"/>
        </horizontal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vertical style="thin">
          <color indexed="64"/>
        </vertical>
        <horizontal style="thin">
          <color indexed="64"/>
        </horizontal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right style="thin">
          <color indexed="64"/>
        </right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4" formatCode="0.00%"/>
    </dxf>
    <dxf>
      <numFmt numFmtId="13" formatCode="0%"/>
    </dxf>
    <dxf>
      <alignment horizontal="center" readingOrder="0"/>
    </dxf>
    <dxf>
      <numFmt numFmtId="164" formatCode="0.0%"/>
    </dxf>
    <dxf>
      <numFmt numFmtId="14" formatCode="0.00%"/>
    </dxf>
    <dxf>
      <numFmt numFmtId="13" formatCode="0%"/>
    </dxf>
    <dxf>
      <alignment horizontal="center" readingOrder="0"/>
    </dxf>
    <dxf>
      <numFmt numFmtId="164" formatCode="0.0%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readingOrder="0"/>
    </dxf>
    <dxf>
      <numFmt numFmtId="13" formatCode="0%"/>
    </dxf>
    <dxf>
      <alignment horizontal="center" readingOrder="0"/>
    </dxf>
    <dxf>
      <border>
        <right style="thin">
          <color indexed="64"/>
        </right>
      </border>
    </dxf>
    <dxf>
      <fill>
        <patternFill>
          <bgColor rgb="FFE84C22"/>
        </patternFill>
      </fill>
    </dxf>
    <dxf>
      <fill>
        <patternFill>
          <bgColor rgb="FFE84C22"/>
        </patternFill>
      </fill>
    </dxf>
    <dxf>
      <numFmt numFmtId="14" formatCode="0.00%"/>
    </dxf>
    <dxf>
      <font>
        <color theme="0"/>
      </font>
      <numFmt numFmtId="0" formatCode="General"/>
      <fill>
        <patternFill patternType="solid">
          <fgColor indexed="64"/>
          <bgColor rgb="FFE84C22"/>
        </patternFill>
      </fill>
    </dxf>
    <dxf>
      <alignment horizontal="center"/>
    </dxf>
    <dxf>
      <font>
        <b/>
      </font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4" formatCode="0.00%"/>
    </dxf>
    <dxf>
      <numFmt numFmtId="14" formatCode="0.00%"/>
    </dxf>
    <dxf>
      <numFmt numFmtId="1" formatCode="0"/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alignment horizontal="right" readingOrder="0"/>
    </dxf>
    <dxf>
      <alignment horizontal="left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left" readingOrder="0"/>
    </dxf>
    <dxf>
      <alignment horizontal="center" readingOrder="0"/>
    </dxf>
    <dxf>
      <alignment horizontal="left" readingOrder="0"/>
    </dxf>
    <dxf>
      <alignment horizontal="center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font>
        <sz val="13"/>
      </font>
    </dxf>
    <dxf>
      <font>
        <b/>
        <sz val="13"/>
      </font>
    </dxf>
    <dxf>
      <font>
        <color rgb="FFFF0000"/>
      </font>
    </dxf>
    <dxf>
      <font>
        <color auto="1"/>
      </font>
    </dxf>
    <dxf>
      <fill>
        <patternFill patternType="solid">
          <bgColor theme="5" tint="0.79998168889431442"/>
        </patternFill>
      </fill>
    </dxf>
    <dxf>
      <fill>
        <patternFill patternType="solid">
          <bgColor theme="5"/>
        </patternFill>
      </fill>
    </dxf>
    <dxf>
      <fill>
        <patternFill>
          <bgColor theme="5" tint="0.7999816888943144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 patternType="solid">
          <bgColor theme="5" tint="0.79998168889431442"/>
        </patternFill>
      </fill>
    </dxf>
    <dxf>
      <fill>
        <patternFill patternType="solid">
          <bgColor rgb="FFE84C22"/>
        </patternFill>
      </fill>
    </dxf>
    <dxf>
      <fill>
        <patternFill patternType="solid">
          <bgColor rgb="FFE84C22"/>
        </patternFill>
      </fill>
    </dxf>
    <dxf>
      <fill>
        <patternFill patternType="solid">
          <bgColor rgb="FFE84C22"/>
        </patternFill>
      </fill>
    </dxf>
    <dxf>
      <fill>
        <patternFill patternType="solid">
          <bgColor rgb="FFE84C22"/>
        </patternFill>
      </fill>
    </dxf>
    <dxf>
      <font>
        <sz val="11"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sz val="11"/>
      </font>
    </dxf>
    <dxf>
      <font>
        <sz val="11"/>
      </font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b/>
      </font>
    </dxf>
    <dxf>
      <font>
        <sz val="12"/>
      </font>
    </dxf>
    <dxf>
      <font>
        <sz val="12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sz val="12"/>
      </font>
    </dxf>
    <dxf>
      <numFmt numFmtId="166" formatCode="0.0000000"/>
    </dxf>
    <dxf>
      <numFmt numFmtId="167" formatCode="0.000000"/>
    </dxf>
    <dxf>
      <numFmt numFmtId="168" formatCode="0.00000"/>
    </dxf>
    <dxf>
      <numFmt numFmtId="169" formatCode="0.0000"/>
    </dxf>
    <dxf>
      <numFmt numFmtId="170" formatCode="0.000"/>
    </dxf>
    <dxf>
      <numFmt numFmtId="2" formatCode="0.00"/>
    </dxf>
    <dxf>
      <numFmt numFmtId="171" formatCode="0.0"/>
    </dxf>
    <dxf>
      <numFmt numFmtId="2" formatCode="0.00"/>
    </dxf>
    <dxf>
      <numFmt numFmtId="166" formatCode="0.0000000"/>
    </dxf>
    <dxf>
      <numFmt numFmtId="167" formatCode="0.000000"/>
    </dxf>
    <dxf>
      <numFmt numFmtId="168" formatCode="0.00000"/>
    </dxf>
    <dxf>
      <numFmt numFmtId="169" formatCode="0.0000"/>
    </dxf>
    <dxf>
      <numFmt numFmtId="170" formatCode="0.000"/>
    </dxf>
    <dxf>
      <numFmt numFmtId="2" formatCode="0.00"/>
    </dxf>
    <dxf>
      <fill>
        <patternFill patternType="solid">
          <bgColor theme="5"/>
        </patternFill>
      </fill>
    </dxf>
    <dxf>
      <fill>
        <patternFill patternType="solid">
          <bgColor theme="5"/>
        </patternFill>
      </fill>
    </dxf>
    <dxf>
      <font>
        <color theme="0"/>
      </font>
    </dxf>
    <dxf>
      <font>
        <color theme="0"/>
      </font>
    </dxf>
    <dxf>
      <border>
        <left/>
        <top/>
        <bottom/>
      </border>
    </dxf>
    <dxf>
      <font>
        <b/>
      </font>
    </dxf>
    <dxf>
      <border>
        <right/>
        <top/>
        <bottom/>
      </border>
    </dxf>
    <dxf>
      <border>
        <right/>
        <top/>
        <bottom/>
      </border>
    </dxf>
    <dxf>
      <border>
        <left/>
        <right/>
        <top/>
      </border>
    </dxf>
    <dxf>
      <border>
        <left/>
        <right/>
        <top/>
      </border>
    </dxf>
    <dxf>
      <border>
        <left/>
        <right/>
        <top/>
      </border>
    </dxf>
    <dxf>
      <border>
        <left/>
        <right/>
        <top/>
      </border>
    </dxf>
    <dxf>
      <border>
        <left/>
        <right/>
        <top/>
      </border>
    </dxf>
    <dxf>
      <border>
        <top/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horizontal style="thin">
          <color indexed="64"/>
        </horizontal>
      </border>
    </dxf>
    <dxf>
      <font>
        <b val="0"/>
      </font>
    </dxf>
    <dxf>
      <font>
        <b val="0"/>
      </font>
    </dxf>
    <dxf>
      <font>
        <b/>
      </font>
    </dxf>
    <dxf>
      <font>
        <b/>
      </font>
    </dxf>
    <dxf>
      <border>
        <vertical style="thin">
          <color indexed="64"/>
        </vertical>
      </border>
    </dxf>
    <dxf>
      <border>
        <vertical style="thin">
          <color indexed="64"/>
        </vertical>
      </border>
    </dxf>
    <dxf>
      <font>
        <b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/>
        <color theme="0"/>
      </font>
      <fill>
        <patternFill patternType="solid">
          <fgColor indexed="64"/>
          <bgColor theme="5"/>
        </patternFill>
      </fill>
    </dxf>
    <dxf>
      <numFmt numFmtId="13" formatCode="0%"/>
    </dxf>
    <dxf>
      <numFmt numFmtId="164" formatCode="0.0%"/>
    </dxf>
    <dxf>
      <numFmt numFmtId="14" formatCode="0.00%"/>
    </dxf>
    <dxf>
      <border>
        <right style="thin">
          <color indexed="64"/>
        </right>
        <vertical style="thin">
          <color indexed="64"/>
        </vertical>
        <horizontal style="thin">
          <color indexed="64"/>
        </horizontal>
      </border>
    </dxf>
    <dxf>
      <font>
        <color theme="0"/>
      </font>
      <fill>
        <patternFill patternType="solid">
          <fgColor indexed="64"/>
          <bgColor theme="5"/>
        </patternFill>
      </fill>
    </dxf>
    <dxf>
      <border>
        <vertical style="thin">
          <color indexed="64"/>
        </vertical>
      </border>
    </dxf>
    <dxf>
      <numFmt numFmtId="14" formatCode="0.00%"/>
    </dxf>
    <dxf>
      <border>
        <right style="thin">
          <color indexed="64"/>
        </right>
        <vertical style="thin">
          <color indexed="64"/>
        </vertical>
        <horizontal style="thin">
          <color indexed="64"/>
        </horizontal>
      </border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border>
        <vertical style="thin">
          <color indexed="64"/>
        </vertical>
        <horizontal style="thin">
          <color indexed="64"/>
        </horizontal>
      </border>
    </dxf>
    <dxf>
      <border>
        <vertical style="thin">
          <color indexed="64"/>
        </vertical>
        <horizontal style="thin">
          <color indexed="64"/>
        </horizontal>
      </border>
    </dxf>
    <dxf>
      <border>
        <vertical style="thin">
          <color indexed="64"/>
        </vertical>
        <horizontal style="thin">
          <color indexed="64"/>
        </horizontal>
      </border>
    </dxf>
    <dxf>
      <border>
        <vertical style="thin">
          <color indexed="64"/>
        </vertical>
        <horizontal style="thin">
          <color indexed="64"/>
        </horizontal>
      </border>
    </dxf>
    <dxf>
      <border>
        <vertical style="thin">
          <color indexed="64"/>
        </vertical>
        <horizontal style="thin">
          <color indexed="64"/>
        </horizontal>
      </border>
    </dxf>
    <dxf>
      <numFmt numFmtId="13" formatCode="0%"/>
    </dxf>
    <dxf>
      <numFmt numFmtId="172" formatCode="0.000%"/>
    </dxf>
    <dxf>
      <numFmt numFmtId="14" formatCode="0.00%"/>
    </dxf>
    <dxf>
      <numFmt numFmtId="164" formatCode="0.0%"/>
    </dxf>
    <dxf>
      <alignment horizontal="center" readingOrder="0"/>
    </dxf>
    <dxf>
      <numFmt numFmtId="164" formatCode="0.0%"/>
    </dxf>
    <dxf>
      <numFmt numFmtId="13" formatCode="0%"/>
    </dxf>
    <dxf>
      <numFmt numFmtId="13" formatCode="0%"/>
    </dxf>
    <dxf>
      <numFmt numFmtId="166" formatCode="0.0000000"/>
    </dxf>
    <dxf>
      <numFmt numFmtId="167" formatCode="0.000000"/>
    </dxf>
    <dxf>
      <numFmt numFmtId="168" formatCode="0.00000"/>
    </dxf>
    <dxf>
      <numFmt numFmtId="169" formatCode="0.0000"/>
    </dxf>
    <dxf>
      <numFmt numFmtId="170" formatCode="0.000"/>
    </dxf>
    <dxf>
      <numFmt numFmtId="2" formatCode="0.00"/>
    </dxf>
    <dxf>
      <numFmt numFmtId="171" formatCode="0.0"/>
    </dxf>
    <dxf>
      <numFmt numFmtId="2" formatCode="0.00"/>
    </dxf>
    <dxf>
      <numFmt numFmtId="166" formatCode="0.0000000"/>
    </dxf>
    <dxf>
      <numFmt numFmtId="167" formatCode="0.000000"/>
    </dxf>
    <dxf>
      <numFmt numFmtId="168" formatCode="0.00000"/>
    </dxf>
    <dxf>
      <numFmt numFmtId="169" formatCode="0.0000"/>
    </dxf>
    <dxf>
      <numFmt numFmtId="170" formatCode="0.000"/>
    </dxf>
    <dxf>
      <numFmt numFmtId="2" formatCode="0.00"/>
    </dxf>
    <dxf>
      <fill>
        <patternFill patternType="solid">
          <bgColor theme="5"/>
        </patternFill>
      </fill>
    </dxf>
    <dxf>
      <fill>
        <patternFill patternType="solid">
          <bgColor theme="5"/>
        </patternFill>
      </fill>
    </dxf>
    <dxf>
      <font>
        <color theme="0"/>
      </font>
    </dxf>
    <dxf>
      <font>
        <color theme="0"/>
      </font>
    </dxf>
    <dxf>
      <border>
        <left/>
        <top/>
        <bottom/>
      </border>
    </dxf>
    <dxf>
      <font>
        <b/>
      </font>
    </dxf>
    <dxf>
      <border>
        <right/>
        <top/>
        <bottom/>
      </border>
    </dxf>
    <dxf>
      <border>
        <right/>
        <top/>
        <bottom/>
      </border>
    </dxf>
    <dxf>
      <border>
        <left/>
        <right/>
        <top/>
      </border>
    </dxf>
    <dxf>
      <border>
        <left/>
        <right/>
        <top/>
      </border>
    </dxf>
    <dxf>
      <border>
        <left/>
        <right/>
        <top/>
      </border>
    </dxf>
    <dxf>
      <border>
        <left/>
        <right/>
        <top/>
      </border>
    </dxf>
    <dxf>
      <border>
        <left/>
        <right/>
        <top/>
      </border>
    </dxf>
    <dxf>
      <border>
        <top/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lor theme="0"/>
      </font>
      <fill>
        <patternFill patternType="solid">
          <fgColor indexed="64"/>
          <bgColor theme="5"/>
        </patternFill>
      </fill>
    </dxf>
    <dxf>
      <border>
        <horizontal style="thin">
          <color indexed="64"/>
        </horizontal>
      </border>
    </dxf>
    <dxf>
      <border>
        <vertical style="thin">
          <color indexed="64"/>
        </vertical>
      </border>
    </dxf>
    <dxf>
      <font>
        <b val="0"/>
      </font>
    </dxf>
    <dxf>
      <font>
        <b val="0"/>
      </font>
    </dxf>
    <dxf>
      <font>
        <b/>
      </font>
    </dxf>
    <dxf>
      <font>
        <b/>
      </font>
    </dxf>
    <dxf>
      <border>
        <vertical style="thin">
          <color indexed="64"/>
        </vertical>
      </border>
    </dxf>
    <dxf>
      <border>
        <vertical style="thin">
          <color indexed="64"/>
        </vertical>
      </border>
    </dxf>
    <dxf>
      <font>
        <b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/>
        <color theme="0"/>
      </font>
      <fill>
        <patternFill patternType="solid">
          <fgColor indexed="64"/>
          <bgColor theme="5"/>
        </patternFill>
      </fill>
    </dxf>
    <dxf>
      <numFmt numFmtId="13" formatCode="0%"/>
    </dxf>
    <dxf>
      <numFmt numFmtId="164" formatCode="0.0%"/>
    </dxf>
    <dxf>
      <numFmt numFmtId="14" formatCode="0.00%"/>
    </dxf>
    <dxf>
      <border>
        <right style="thin">
          <color indexed="64"/>
        </right>
        <vertical style="thin">
          <color indexed="64"/>
        </vertical>
        <horizontal style="thin">
          <color indexed="64"/>
        </horizontal>
      </border>
    </dxf>
    <dxf>
      <font>
        <color theme="0"/>
      </font>
      <fill>
        <patternFill patternType="solid">
          <fgColor indexed="64"/>
          <bgColor theme="5"/>
        </patternFill>
      </fill>
    </dxf>
    <dxf>
      <border>
        <vertical style="thin">
          <color indexed="64"/>
        </vertical>
      </border>
    </dxf>
    <dxf>
      <numFmt numFmtId="14" formatCode="0.00%"/>
    </dxf>
    <dxf>
      <border>
        <right style="thin">
          <color indexed="64"/>
        </right>
        <vertical style="thin">
          <color indexed="64"/>
        </vertical>
        <horizontal style="thin">
          <color indexed="64"/>
        </horizontal>
      </border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border>
        <vertical style="thin">
          <color indexed="64"/>
        </vertical>
        <horizontal style="thin">
          <color indexed="64"/>
        </horizontal>
      </border>
    </dxf>
    <dxf>
      <border>
        <vertical style="thin">
          <color indexed="64"/>
        </vertical>
        <horizontal style="thin">
          <color indexed="64"/>
        </horizontal>
      </border>
    </dxf>
    <dxf>
      <border>
        <vertical style="thin">
          <color indexed="64"/>
        </vertical>
        <horizontal style="thin">
          <color indexed="64"/>
        </horizontal>
      </border>
    </dxf>
    <dxf>
      <border>
        <vertical style="thin">
          <color indexed="64"/>
        </vertical>
        <horizontal style="thin">
          <color indexed="64"/>
        </horizontal>
      </border>
    </dxf>
    <dxf>
      <border>
        <vertical style="thin">
          <color indexed="64"/>
        </vertical>
        <horizontal style="thin">
          <color indexed="64"/>
        </horizontal>
      </border>
    </dxf>
    <dxf>
      <numFmt numFmtId="13" formatCode="0%"/>
    </dxf>
    <dxf>
      <numFmt numFmtId="172" formatCode="0.000%"/>
    </dxf>
    <dxf>
      <numFmt numFmtId="14" formatCode="0.00%"/>
    </dxf>
    <dxf>
      <numFmt numFmtId="164" formatCode="0.0%"/>
    </dxf>
    <dxf>
      <alignment horizontal="center" readingOrder="0"/>
    </dxf>
    <dxf>
      <numFmt numFmtId="164" formatCode="0.0%"/>
    </dxf>
    <dxf>
      <numFmt numFmtId="13" formatCode="0%"/>
    </dxf>
    <dxf>
      <numFmt numFmtId="13" formatCode="0%"/>
    </dxf>
    <dxf>
      <font>
        <b/>
      </font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4" formatCode="0.00%"/>
    </dxf>
    <dxf>
      <numFmt numFmtId="14" formatCode="0.00%"/>
    </dxf>
    <dxf>
      <numFmt numFmtId="1" formatCode="0"/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alignment horizontal="right" readingOrder="0"/>
    </dxf>
    <dxf>
      <alignment horizontal="left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left" readingOrder="0"/>
    </dxf>
    <dxf>
      <alignment horizontal="center" readingOrder="0"/>
    </dxf>
    <dxf>
      <alignment horizontal="left" readingOrder="0"/>
    </dxf>
    <dxf>
      <alignment horizontal="center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font>
        <sz val="13"/>
      </font>
    </dxf>
    <dxf>
      <font>
        <b/>
        <sz val="13"/>
      </font>
    </dxf>
    <dxf>
      <font>
        <color rgb="FFFF0000"/>
      </font>
    </dxf>
    <dxf>
      <font>
        <color auto="1"/>
      </font>
    </dxf>
    <dxf>
      <fill>
        <patternFill patternType="solid">
          <bgColor theme="5" tint="0.79998168889431442"/>
        </patternFill>
      </fill>
    </dxf>
    <dxf>
      <fill>
        <patternFill patternType="solid">
          <bgColor theme="5"/>
        </patternFill>
      </fill>
    </dxf>
    <dxf>
      <fill>
        <patternFill>
          <bgColor theme="5" tint="0.7999816888943144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 patternType="solid">
          <bgColor theme="5" tint="0.79998168889431442"/>
        </patternFill>
      </fill>
    </dxf>
    <dxf>
      <fill>
        <patternFill patternType="solid">
          <bgColor rgb="FFE84C22"/>
        </patternFill>
      </fill>
    </dxf>
    <dxf>
      <fill>
        <patternFill patternType="solid">
          <bgColor rgb="FFE84C22"/>
        </patternFill>
      </fill>
    </dxf>
    <dxf>
      <fill>
        <patternFill patternType="solid">
          <bgColor rgb="FFE84C22"/>
        </patternFill>
      </fill>
    </dxf>
    <dxf>
      <fill>
        <patternFill patternType="solid">
          <bgColor rgb="FFE84C22"/>
        </patternFill>
      </fill>
    </dxf>
    <dxf>
      <font>
        <sz val="11"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sz val="11"/>
      </font>
    </dxf>
    <dxf>
      <font>
        <sz val="11"/>
      </font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b/>
      </font>
    </dxf>
    <dxf>
      <font>
        <sz val="12"/>
      </font>
    </dxf>
    <dxf>
      <font>
        <sz val="12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sz val="12"/>
      </font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readingOrder="0"/>
    </dxf>
    <dxf>
      <fill>
        <patternFill patternType="solid">
          <bgColor rgb="FFE84C22"/>
        </patternFill>
      </fill>
    </dxf>
    <dxf>
      <fill>
        <patternFill patternType="solid">
          <bgColor rgb="FFE84C22"/>
        </patternFill>
      </fill>
    </dxf>
    <dxf>
      <numFmt numFmtId="166" formatCode="0.0000000"/>
    </dxf>
    <dxf>
      <numFmt numFmtId="167" formatCode="0.000000"/>
    </dxf>
    <dxf>
      <numFmt numFmtId="168" formatCode="0.00000"/>
    </dxf>
    <dxf>
      <numFmt numFmtId="169" formatCode="0.0000"/>
    </dxf>
    <dxf>
      <numFmt numFmtId="170" formatCode="0.000"/>
    </dxf>
    <dxf>
      <numFmt numFmtId="2" formatCode="0.00"/>
    </dxf>
    <dxf>
      <numFmt numFmtId="171" formatCode="0.0"/>
    </dxf>
    <dxf>
      <numFmt numFmtId="2" formatCode="0.00"/>
    </dxf>
    <dxf>
      <numFmt numFmtId="166" formatCode="0.0000000"/>
    </dxf>
    <dxf>
      <numFmt numFmtId="167" formatCode="0.000000"/>
    </dxf>
    <dxf>
      <numFmt numFmtId="168" formatCode="0.00000"/>
    </dxf>
    <dxf>
      <numFmt numFmtId="169" formatCode="0.0000"/>
    </dxf>
    <dxf>
      <numFmt numFmtId="170" formatCode="0.000"/>
    </dxf>
    <dxf>
      <numFmt numFmtId="2" formatCode="0.00"/>
    </dxf>
    <dxf>
      <fill>
        <patternFill patternType="solid">
          <bgColor theme="5"/>
        </patternFill>
      </fill>
    </dxf>
    <dxf>
      <font>
        <color theme="0"/>
      </font>
    </dxf>
    <dxf>
      <border>
        <left/>
        <top/>
        <bottom/>
      </border>
    </dxf>
    <dxf>
      <font>
        <b/>
      </font>
    </dxf>
    <dxf>
      <border>
        <left/>
        <right/>
        <top/>
        <bottom/>
      </border>
    </dxf>
    <dxf>
      <border>
        <left/>
        <right/>
        <top/>
        <bottom/>
      </border>
    </dxf>
    <dxf>
      <border>
        <top/>
      </border>
    </dxf>
    <dxf>
      <fill>
        <patternFill>
          <bgColor theme="5" tint="-0.249977111117893"/>
        </patternFill>
      </fill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/>
        <right/>
        <top/>
        <bottom/>
        <vertical/>
      </border>
    </dxf>
    <dxf>
      <border>
        <left/>
        <right/>
        <top/>
        <bottom/>
        <vertical/>
      </border>
    </dxf>
    <dxf>
      <border>
        <left/>
        <top/>
      </border>
    </dxf>
    <dxf>
      <border>
        <left/>
        <top/>
      </border>
    </dxf>
    <dxf>
      <border>
        <top/>
      </border>
    </dxf>
    <dxf>
      <border>
        <top/>
      </border>
    </dxf>
    <dxf>
      <border>
        <left/>
        <top/>
      </border>
    </dxf>
    <dxf>
      <border>
        <left/>
        <top/>
      </border>
    </dxf>
    <dxf>
      <border>
        <top/>
      </border>
    </dxf>
    <dxf>
      <border>
        <top/>
      </border>
    </dxf>
    <dxf>
      <border>
        <top/>
      </border>
    </dxf>
    <dxf>
      <border>
        <top/>
      </border>
    </dxf>
    <dxf>
      <border>
        <top/>
      </border>
    </dxf>
    <dxf>
      <border>
        <top/>
      </border>
    </dxf>
    <dxf>
      <border>
        <top/>
      </border>
    </dxf>
    <dxf>
      <border>
        <top/>
      </border>
    </dxf>
    <dxf>
      <border>
        <top/>
      </border>
    </dxf>
    <dxf>
      <border>
        <top/>
      </border>
    </dxf>
    <dxf>
      <border>
        <top/>
      </border>
    </dxf>
    <dxf>
      <border>
        <top/>
      </border>
    </dxf>
    <dxf>
      <border>
        <top/>
      </border>
    </dxf>
    <dxf>
      <border>
        <top/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fill>
        <patternFill>
          <bgColor theme="5"/>
        </patternFill>
      </fill>
    </dxf>
    <dxf>
      <border>
        <horizontal style="thin">
          <color indexed="64"/>
        </horizontal>
      </border>
    </dxf>
    <dxf>
      <border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  <horizontal style="thin">
          <color indexed="64"/>
        </horizontal>
      </border>
    </dxf>
    <dxf>
      <border>
        <top style="thin">
          <color indexed="64"/>
        </top>
        <horizontal style="thin">
          <color indexed="64"/>
        </horizontal>
      </border>
    </dxf>
    <dxf>
      <border>
        <vertical style="thin">
          <color indexed="64"/>
        </vertical>
        <horizontal style="thin">
          <color indexed="64"/>
        </horizontal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vertical style="thin">
          <color indexed="64"/>
        </vertical>
        <horizontal style="thin">
          <color indexed="64"/>
        </horizontal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right style="thin">
          <color indexed="64"/>
        </right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4" formatCode="0.00%"/>
    </dxf>
    <dxf>
      <numFmt numFmtId="13" formatCode="0%"/>
    </dxf>
    <dxf>
      <alignment horizontal="center" readingOrder="0"/>
    </dxf>
    <dxf>
      <numFmt numFmtId="164" formatCode="0.0%"/>
    </dxf>
    <dxf>
      <numFmt numFmtId="14" formatCode="0.00%"/>
    </dxf>
    <dxf>
      <numFmt numFmtId="13" formatCode="0%"/>
    </dxf>
    <dxf>
      <alignment horizontal="center" readingOrder="0"/>
    </dxf>
    <dxf>
      <numFmt numFmtId="164" formatCode="0.0%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readingOrder="0"/>
    </dxf>
    <dxf>
      <numFmt numFmtId="13" formatCode="0%"/>
    </dxf>
    <dxf>
      <alignment horizontal="center" readingOrder="0"/>
    </dxf>
    <dxf>
      <border>
        <right style="thin">
          <color indexed="64"/>
        </right>
      </border>
    </dxf>
    <dxf>
      <fill>
        <patternFill>
          <bgColor rgb="FFE84C22"/>
        </patternFill>
      </fill>
    </dxf>
    <dxf>
      <fill>
        <patternFill>
          <bgColor rgb="FFE84C22"/>
        </patternFill>
      </fill>
    </dxf>
    <dxf>
      <numFmt numFmtId="14" formatCode="0.00%"/>
    </dxf>
    <dxf>
      <font>
        <color theme="0"/>
      </font>
      <numFmt numFmtId="0" formatCode="General"/>
      <fill>
        <patternFill patternType="solid">
          <fgColor indexed="64"/>
          <bgColor rgb="FFE84C22"/>
        </patternFill>
      </fill>
    </dxf>
    <dxf>
      <alignment horizontal="center"/>
    </dxf>
    <dxf>
      <numFmt numFmtId="166" formatCode="0.0000000"/>
    </dxf>
    <dxf>
      <numFmt numFmtId="167" formatCode="0.000000"/>
    </dxf>
    <dxf>
      <numFmt numFmtId="168" formatCode="0.00000"/>
    </dxf>
    <dxf>
      <numFmt numFmtId="169" formatCode="0.0000"/>
    </dxf>
    <dxf>
      <numFmt numFmtId="170" formatCode="0.000"/>
    </dxf>
    <dxf>
      <numFmt numFmtId="2" formatCode="0.00"/>
    </dxf>
    <dxf>
      <numFmt numFmtId="171" formatCode="0.0"/>
    </dxf>
    <dxf>
      <numFmt numFmtId="2" formatCode="0.00"/>
    </dxf>
    <dxf>
      <numFmt numFmtId="166" formatCode="0.0000000"/>
    </dxf>
    <dxf>
      <numFmt numFmtId="167" formatCode="0.000000"/>
    </dxf>
    <dxf>
      <numFmt numFmtId="168" formatCode="0.00000"/>
    </dxf>
    <dxf>
      <numFmt numFmtId="169" formatCode="0.0000"/>
    </dxf>
    <dxf>
      <numFmt numFmtId="170" formatCode="0.000"/>
    </dxf>
    <dxf>
      <numFmt numFmtId="2" formatCode="0.00"/>
    </dxf>
    <dxf>
      <fill>
        <patternFill patternType="solid">
          <bgColor theme="5"/>
        </patternFill>
      </fill>
    </dxf>
    <dxf>
      <fill>
        <patternFill patternType="solid">
          <bgColor theme="5"/>
        </patternFill>
      </fill>
    </dxf>
    <dxf>
      <font>
        <color theme="0"/>
      </font>
    </dxf>
    <dxf>
      <font>
        <color theme="0"/>
      </font>
    </dxf>
    <dxf>
      <border>
        <left/>
        <top/>
        <bottom/>
      </border>
    </dxf>
    <dxf>
      <font>
        <b/>
      </font>
    </dxf>
    <dxf>
      <border>
        <right/>
        <top/>
        <bottom/>
      </border>
    </dxf>
    <dxf>
      <border>
        <right/>
        <top/>
        <bottom/>
      </border>
    </dxf>
    <dxf>
      <border>
        <left/>
        <right/>
        <top/>
      </border>
    </dxf>
    <dxf>
      <border>
        <left/>
        <right/>
        <top/>
      </border>
    </dxf>
    <dxf>
      <border>
        <left/>
        <right/>
        <top/>
      </border>
    </dxf>
    <dxf>
      <border>
        <left/>
        <right/>
        <top/>
      </border>
    </dxf>
    <dxf>
      <border>
        <left/>
        <right/>
        <top/>
      </border>
    </dxf>
    <dxf>
      <border>
        <top/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lor theme="0"/>
      </font>
      <fill>
        <patternFill patternType="solid">
          <fgColor indexed="64"/>
          <bgColor theme="5"/>
        </patternFill>
      </fill>
    </dxf>
    <dxf>
      <border>
        <horizontal style="thin">
          <color indexed="64"/>
        </horizontal>
      </border>
    </dxf>
    <dxf>
      <border>
        <vertical style="thin">
          <color indexed="64"/>
        </vertical>
      </border>
    </dxf>
    <dxf>
      <font>
        <b val="0"/>
      </font>
    </dxf>
    <dxf>
      <font>
        <b val="0"/>
      </font>
    </dxf>
    <dxf>
      <font>
        <b/>
      </font>
    </dxf>
    <dxf>
      <font>
        <b/>
      </font>
    </dxf>
    <dxf>
      <border>
        <vertical style="thin">
          <color indexed="64"/>
        </vertical>
      </border>
    </dxf>
    <dxf>
      <border>
        <vertical style="thin">
          <color indexed="64"/>
        </vertical>
      </border>
    </dxf>
    <dxf>
      <font>
        <b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/>
        <color theme="0"/>
      </font>
      <fill>
        <patternFill patternType="solid">
          <fgColor indexed="64"/>
          <bgColor theme="5"/>
        </patternFill>
      </fill>
    </dxf>
    <dxf>
      <numFmt numFmtId="13" formatCode="0%"/>
    </dxf>
    <dxf>
      <numFmt numFmtId="164" formatCode="0.0%"/>
    </dxf>
    <dxf>
      <numFmt numFmtId="14" formatCode="0.00%"/>
    </dxf>
    <dxf>
      <border>
        <right style="thin">
          <color indexed="64"/>
        </right>
        <vertical style="thin">
          <color indexed="64"/>
        </vertical>
        <horizontal style="thin">
          <color indexed="64"/>
        </horizontal>
      </border>
    </dxf>
    <dxf>
      <font>
        <color theme="0"/>
      </font>
      <fill>
        <patternFill patternType="solid">
          <fgColor indexed="64"/>
          <bgColor theme="5"/>
        </patternFill>
      </fill>
    </dxf>
    <dxf>
      <border>
        <vertical style="thin">
          <color indexed="64"/>
        </vertical>
      </border>
    </dxf>
    <dxf>
      <numFmt numFmtId="14" formatCode="0.00%"/>
    </dxf>
    <dxf>
      <border>
        <right style="thin">
          <color indexed="64"/>
        </right>
        <vertical style="thin">
          <color indexed="64"/>
        </vertical>
        <horizontal style="thin">
          <color indexed="64"/>
        </horizontal>
      </border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border>
        <vertical style="thin">
          <color indexed="64"/>
        </vertical>
        <horizontal style="thin">
          <color indexed="64"/>
        </horizontal>
      </border>
    </dxf>
    <dxf>
      <border>
        <vertical style="thin">
          <color indexed="64"/>
        </vertical>
        <horizontal style="thin">
          <color indexed="64"/>
        </horizontal>
      </border>
    </dxf>
    <dxf>
      <border>
        <vertical style="thin">
          <color indexed="64"/>
        </vertical>
        <horizontal style="thin">
          <color indexed="64"/>
        </horizontal>
      </border>
    </dxf>
    <dxf>
      <border>
        <vertical style="thin">
          <color indexed="64"/>
        </vertical>
        <horizontal style="thin">
          <color indexed="64"/>
        </horizontal>
      </border>
    </dxf>
    <dxf>
      <border>
        <vertical style="thin">
          <color indexed="64"/>
        </vertical>
        <horizontal style="thin">
          <color indexed="64"/>
        </horizontal>
      </border>
    </dxf>
    <dxf>
      <numFmt numFmtId="13" formatCode="0%"/>
    </dxf>
    <dxf>
      <numFmt numFmtId="172" formatCode="0.000%"/>
    </dxf>
    <dxf>
      <numFmt numFmtId="14" formatCode="0.00%"/>
    </dxf>
    <dxf>
      <numFmt numFmtId="164" formatCode="0.0%"/>
    </dxf>
    <dxf>
      <alignment horizontal="center" readingOrder="0"/>
    </dxf>
    <dxf>
      <numFmt numFmtId="164" formatCode="0.0%"/>
    </dxf>
    <dxf>
      <fill>
        <patternFill>
          <bgColor rgb="FFE84C22"/>
        </patternFill>
      </fill>
    </dxf>
    <dxf>
      <fill>
        <patternFill>
          <bgColor rgb="FFE84C22"/>
        </patternFill>
      </fill>
    </dxf>
    <dxf>
      <numFmt numFmtId="13" formatCode="0%"/>
    </dxf>
    <dxf>
      <font>
        <b/>
        <color theme="0"/>
      </font>
      <numFmt numFmtId="14" formatCode="0.00%"/>
      <fill>
        <patternFill patternType="solid">
          <fgColor indexed="64"/>
          <bgColor rgb="FFE84C22"/>
        </patternFill>
      </fill>
    </dxf>
    <dxf>
      <numFmt numFmtId="14" formatCode="0.00%"/>
    </dxf>
    <dxf>
      <numFmt numFmtId="14" formatCode="0.00%"/>
    </dxf>
    <dxf>
      <fill>
        <patternFill patternType="solid">
          <fgColor indexed="64"/>
          <bgColor rgb="FFE84C22"/>
        </patternFill>
      </fill>
      <alignment horizontal="center"/>
    </dxf>
    <dxf>
      <numFmt numFmtId="14" formatCode="0.00%"/>
    </dxf>
    <dxf>
      <numFmt numFmtId="0" formatCode="General"/>
      <fill>
        <patternFill patternType="solid">
          <fgColor indexed="64"/>
          <bgColor rgb="FFE84C22"/>
        </patternFill>
      </fill>
      <alignment horizontal="center"/>
    </dxf>
    <dxf>
      <alignment horizontal="center"/>
    </dxf>
    <dxf>
      <alignment vertical="center"/>
    </dxf>
    <dxf>
      <alignment horizontal="center"/>
    </dxf>
    <dxf>
      <alignment vertical="center"/>
    </dxf>
    <dxf>
      <numFmt numFmtId="166" formatCode="0.0000000"/>
    </dxf>
    <dxf>
      <numFmt numFmtId="167" formatCode="0.000000"/>
    </dxf>
    <dxf>
      <numFmt numFmtId="168" formatCode="0.00000"/>
    </dxf>
    <dxf>
      <numFmt numFmtId="169" formatCode="0.0000"/>
    </dxf>
    <dxf>
      <numFmt numFmtId="170" formatCode="0.000"/>
    </dxf>
    <dxf>
      <numFmt numFmtId="2" formatCode="0.00"/>
    </dxf>
    <dxf>
      <numFmt numFmtId="171" formatCode="0.0"/>
    </dxf>
    <dxf>
      <numFmt numFmtId="2" formatCode="0.00"/>
    </dxf>
    <dxf>
      <numFmt numFmtId="166" formatCode="0.0000000"/>
    </dxf>
    <dxf>
      <numFmt numFmtId="167" formatCode="0.000000"/>
    </dxf>
    <dxf>
      <numFmt numFmtId="168" formatCode="0.00000"/>
    </dxf>
    <dxf>
      <numFmt numFmtId="169" formatCode="0.0000"/>
    </dxf>
    <dxf>
      <numFmt numFmtId="170" formatCode="0.000"/>
    </dxf>
    <dxf>
      <numFmt numFmtId="2" formatCode="0.00"/>
    </dxf>
    <dxf>
      <fill>
        <patternFill patternType="solid">
          <bgColor theme="5"/>
        </patternFill>
      </fill>
    </dxf>
    <dxf>
      <font>
        <color theme="0"/>
      </font>
    </dxf>
    <dxf>
      <border>
        <left/>
        <top/>
        <bottom/>
      </border>
    </dxf>
    <dxf>
      <font>
        <b/>
      </font>
    </dxf>
    <dxf>
      <border>
        <right/>
        <top/>
        <bottom/>
      </border>
    </dxf>
    <dxf>
      <border>
        <right/>
        <top/>
        <bottom/>
      </border>
    </dxf>
    <dxf>
      <border>
        <left/>
        <right/>
        <top/>
      </border>
    </dxf>
    <dxf>
      <border>
        <left/>
        <right/>
        <top/>
      </border>
    </dxf>
    <dxf>
      <border>
        <left/>
        <right/>
        <top/>
      </border>
    </dxf>
    <dxf>
      <border>
        <left/>
        <right/>
        <top/>
      </border>
    </dxf>
    <dxf>
      <border>
        <top/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lor theme="0"/>
      </font>
      <fill>
        <patternFill patternType="solid">
          <fgColor indexed="64"/>
          <bgColor theme="5"/>
        </patternFill>
      </fill>
    </dxf>
    <dxf>
      <border>
        <horizontal style="thin">
          <color indexed="64"/>
        </horizontal>
      </border>
    </dxf>
    <dxf>
      <border>
        <vertical style="thin">
          <color indexed="64"/>
        </vertical>
      </border>
    </dxf>
    <dxf>
      <font>
        <b val="0"/>
      </font>
    </dxf>
    <dxf>
      <font>
        <b val="0"/>
      </font>
    </dxf>
    <dxf>
      <font>
        <b/>
      </font>
    </dxf>
    <dxf>
      <font>
        <b/>
      </font>
    </dxf>
    <dxf>
      <border>
        <vertical style="thin">
          <color indexed="64"/>
        </vertical>
      </border>
    </dxf>
    <dxf>
      <border>
        <vertical style="thin">
          <color indexed="64"/>
        </vertical>
      </border>
    </dxf>
    <dxf>
      <font>
        <b/>
      </font>
    </dxf>
    <dxf>
      <font>
        <b/>
        <color theme="0"/>
      </font>
      <fill>
        <patternFill patternType="solid">
          <fgColor indexed="64"/>
          <bgColor theme="5"/>
        </patternFill>
      </fill>
    </dxf>
    <dxf>
      <font>
        <color theme="0"/>
      </font>
      <fill>
        <patternFill patternType="solid">
          <fgColor indexed="64"/>
          <bgColor theme="5"/>
        </patternFill>
      </fill>
    </dxf>
    <dxf>
      <numFmt numFmtId="14" formatCode="0.00%"/>
    </dxf>
    <dxf>
      <numFmt numFmtId="14" formatCode="0.00%"/>
    </dxf>
    <dxf>
      <border>
        <left style="thin">
          <color indexed="64"/>
        </left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vertical style="thin">
          <color indexed="64"/>
        </vertical>
        <horizontal style="thin">
          <color indexed="64"/>
        </horizontal>
      </border>
    </dxf>
    <dxf>
      <font>
        <b/>
      </font>
    </dxf>
    <dxf>
      <font>
        <b/>
        <color theme="0"/>
      </font>
      <numFmt numFmtId="14" formatCode="0.00%"/>
      <fill>
        <patternFill patternType="solid">
          <fgColor indexed="64"/>
          <bgColor theme="5"/>
        </patternFill>
      </fill>
    </dxf>
    <dxf>
      <numFmt numFmtId="13" formatCode="0%"/>
    </dxf>
    <dxf>
      <numFmt numFmtId="164" formatCode="0.0%"/>
    </dxf>
    <dxf>
      <fill>
        <patternFill>
          <bgColor rgb="FFE94C22"/>
        </patternFill>
      </fill>
    </dxf>
    <dxf>
      <numFmt numFmtId="14" formatCode="0.00%"/>
    </dxf>
    <dxf>
      <numFmt numFmtId="14" formatCode="0.00%"/>
    </dxf>
    <dxf>
      <font>
        <b/>
        <color theme="0"/>
      </font>
      <fill>
        <patternFill patternType="solid">
          <fgColor indexed="64"/>
          <bgColor rgb="FFE94C22"/>
        </patternFill>
      </fill>
    </dxf>
    <dxf>
      <font>
        <b/>
        <color theme="0"/>
      </font>
      <numFmt numFmtId="14" formatCode="0.00%"/>
      <fill>
        <patternFill patternType="solid">
          <fgColor indexed="64"/>
          <bgColor rgb="FFE94C22"/>
        </patternFill>
      </fill>
    </dxf>
    <dxf>
      <numFmt numFmtId="14" formatCode="0.00%"/>
    </dxf>
    <dxf>
      <font>
        <b/>
        <color theme="0"/>
      </font>
      <fill>
        <patternFill patternType="solid">
          <fgColor indexed="64"/>
          <bgColor rgb="FFE94C22"/>
        </patternFill>
      </fill>
    </dxf>
    <dxf>
      <numFmt numFmtId="166" formatCode="0.0000000"/>
    </dxf>
    <dxf>
      <numFmt numFmtId="167" formatCode="0.000000"/>
    </dxf>
    <dxf>
      <numFmt numFmtId="168" formatCode="0.00000"/>
    </dxf>
    <dxf>
      <numFmt numFmtId="169" formatCode="0.0000"/>
    </dxf>
    <dxf>
      <numFmt numFmtId="170" formatCode="0.000"/>
    </dxf>
    <dxf>
      <numFmt numFmtId="2" formatCode="0.00"/>
    </dxf>
    <dxf>
      <numFmt numFmtId="171" formatCode="0.0"/>
    </dxf>
    <dxf>
      <numFmt numFmtId="2" formatCode="0.00"/>
    </dxf>
    <dxf>
      <numFmt numFmtId="166" formatCode="0.0000000"/>
    </dxf>
    <dxf>
      <numFmt numFmtId="167" formatCode="0.000000"/>
    </dxf>
    <dxf>
      <numFmt numFmtId="168" formatCode="0.00000"/>
    </dxf>
    <dxf>
      <numFmt numFmtId="169" formatCode="0.0000"/>
    </dxf>
    <dxf>
      <numFmt numFmtId="170" formatCode="0.000"/>
    </dxf>
    <dxf>
      <numFmt numFmtId="2" formatCode="0.00"/>
    </dxf>
    <dxf>
      <fill>
        <patternFill patternType="solid">
          <bgColor theme="5"/>
        </patternFill>
      </fill>
    </dxf>
    <dxf>
      <fill>
        <patternFill patternType="solid">
          <bgColor theme="5"/>
        </patternFill>
      </fill>
    </dxf>
    <dxf>
      <font>
        <color theme="0"/>
      </font>
    </dxf>
    <dxf>
      <font>
        <color theme="0"/>
      </font>
    </dxf>
    <dxf>
      <border>
        <left/>
        <top/>
        <bottom/>
      </border>
    </dxf>
    <dxf>
      <font>
        <b/>
      </font>
    </dxf>
    <dxf>
      <border>
        <right/>
        <top/>
        <bottom/>
      </border>
    </dxf>
    <dxf>
      <border>
        <right/>
        <top/>
        <bottom/>
      </border>
    </dxf>
    <dxf>
      <border>
        <left/>
        <right/>
        <top/>
      </border>
    </dxf>
    <dxf>
      <border>
        <left/>
        <right/>
        <top/>
      </border>
    </dxf>
    <dxf>
      <border>
        <left/>
        <right/>
        <top/>
      </border>
    </dxf>
    <dxf>
      <border>
        <left/>
        <right/>
        <top/>
      </border>
    </dxf>
    <dxf>
      <border>
        <left/>
        <right/>
        <top/>
      </border>
    </dxf>
    <dxf>
      <border>
        <top/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horizontal style="thin">
          <color indexed="64"/>
        </horizontal>
      </border>
    </dxf>
    <dxf>
      <font>
        <b val="0"/>
      </font>
    </dxf>
    <dxf>
      <font>
        <b val="0"/>
      </font>
    </dxf>
    <dxf>
      <font>
        <b/>
      </font>
    </dxf>
    <dxf>
      <font>
        <b/>
      </font>
    </dxf>
    <dxf>
      <border>
        <vertical style="thin">
          <color indexed="64"/>
        </vertical>
      </border>
    </dxf>
    <dxf>
      <border>
        <vertical style="thin">
          <color indexed="64"/>
        </vertical>
      </border>
    </dxf>
    <dxf>
      <font>
        <b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/>
        <color theme="0"/>
      </font>
      <fill>
        <patternFill patternType="solid">
          <fgColor indexed="64"/>
          <bgColor theme="5"/>
        </patternFill>
      </fill>
    </dxf>
    <dxf>
      <numFmt numFmtId="13" formatCode="0%"/>
    </dxf>
    <dxf>
      <numFmt numFmtId="164" formatCode="0.0%"/>
    </dxf>
    <dxf>
      <numFmt numFmtId="14" formatCode="0.00%"/>
    </dxf>
    <dxf>
      <border>
        <right style="thin">
          <color indexed="64"/>
        </right>
        <vertical style="thin">
          <color indexed="64"/>
        </vertical>
        <horizontal style="thin">
          <color indexed="64"/>
        </horizontal>
      </border>
    </dxf>
    <dxf>
      <font>
        <color theme="0"/>
      </font>
      <fill>
        <patternFill patternType="solid">
          <fgColor indexed="64"/>
          <bgColor theme="5"/>
        </patternFill>
      </fill>
    </dxf>
    <dxf>
      <border>
        <vertical style="thin">
          <color indexed="64"/>
        </vertical>
      </border>
    </dxf>
    <dxf>
      <numFmt numFmtId="14" formatCode="0.00%"/>
    </dxf>
    <dxf>
      <border>
        <right style="thin">
          <color indexed="64"/>
        </right>
        <vertical style="thin">
          <color indexed="64"/>
        </vertical>
        <horizontal style="thin">
          <color indexed="64"/>
        </horizontal>
      </border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border>
        <vertical style="thin">
          <color indexed="64"/>
        </vertical>
        <horizontal style="thin">
          <color indexed="64"/>
        </horizontal>
      </border>
    </dxf>
    <dxf>
      <border>
        <vertical style="thin">
          <color indexed="64"/>
        </vertical>
        <horizontal style="thin">
          <color indexed="64"/>
        </horizontal>
      </border>
    </dxf>
    <dxf>
      <border>
        <vertical style="thin">
          <color indexed="64"/>
        </vertical>
        <horizontal style="thin">
          <color indexed="64"/>
        </horizontal>
      </border>
    </dxf>
    <dxf>
      <border>
        <vertical style="thin">
          <color indexed="64"/>
        </vertical>
        <horizontal style="thin">
          <color indexed="64"/>
        </horizontal>
      </border>
    </dxf>
    <dxf>
      <border>
        <vertical style="thin">
          <color indexed="64"/>
        </vertical>
        <horizontal style="thin">
          <color indexed="64"/>
        </horizontal>
      </border>
    </dxf>
    <dxf>
      <numFmt numFmtId="13" formatCode="0%"/>
    </dxf>
    <dxf>
      <numFmt numFmtId="172" formatCode="0.000%"/>
    </dxf>
    <dxf>
      <numFmt numFmtId="14" formatCode="0.00%"/>
    </dxf>
    <dxf>
      <numFmt numFmtId="164" formatCode="0.0%"/>
    </dxf>
    <dxf>
      <alignment horizontal="center" readingOrder="0"/>
    </dxf>
    <dxf>
      <numFmt numFmtId="164" formatCode="0.0%"/>
    </dxf>
    <dxf>
      <numFmt numFmtId="13" formatCode="0%"/>
    </dxf>
    <dxf>
      <numFmt numFmtId="13" formatCode="0%"/>
    </dxf>
    <dxf>
      <numFmt numFmtId="166" formatCode="0.0000000"/>
    </dxf>
    <dxf>
      <numFmt numFmtId="167" formatCode="0.000000"/>
    </dxf>
    <dxf>
      <numFmt numFmtId="168" formatCode="0.00000"/>
    </dxf>
    <dxf>
      <numFmt numFmtId="169" formatCode="0.0000"/>
    </dxf>
    <dxf>
      <numFmt numFmtId="170" formatCode="0.000"/>
    </dxf>
    <dxf>
      <numFmt numFmtId="2" formatCode="0.00"/>
    </dxf>
    <dxf>
      <numFmt numFmtId="171" formatCode="0.0"/>
    </dxf>
    <dxf>
      <numFmt numFmtId="2" formatCode="0.00"/>
    </dxf>
    <dxf>
      <numFmt numFmtId="166" formatCode="0.0000000"/>
    </dxf>
    <dxf>
      <numFmt numFmtId="167" formatCode="0.000000"/>
    </dxf>
    <dxf>
      <numFmt numFmtId="168" formatCode="0.00000"/>
    </dxf>
    <dxf>
      <numFmt numFmtId="169" formatCode="0.0000"/>
    </dxf>
    <dxf>
      <numFmt numFmtId="170" formatCode="0.000"/>
    </dxf>
    <dxf>
      <numFmt numFmtId="2" formatCode="0.00"/>
    </dxf>
    <dxf>
      <fill>
        <patternFill patternType="solid">
          <bgColor theme="5"/>
        </patternFill>
      </fill>
    </dxf>
    <dxf>
      <fill>
        <patternFill patternType="solid">
          <bgColor theme="5"/>
        </patternFill>
      </fill>
    </dxf>
    <dxf>
      <font>
        <color theme="0"/>
      </font>
    </dxf>
    <dxf>
      <font>
        <color theme="0"/>
      </font>
    </dxf>
    <dxf>
      <border>
        <left/>
        <top/>
        <bottom/>
      </border>
    </dxf>
    <dxf>
      <font>
        <b/>
      </font>
    </dxf>
    <dxf>
      <border>
        <right/>
        <top/>
        <bottom/>
      </border>
    </dxf>
    <dxf>
      <border>
        <right/>
        <top/>
        <bottom/>
      </border>
    </dxf>
    <dxf>
      <border>
        <left/>
        <right/>
        <top/>
      </border>
    </dxf>
    <dxf>
      <border>
        <left/>
        <right/>
        <top/>
      </border>
    </dxf>
    <dxf>
      <border>
        <left/>
        <right/>
        <top/>
      </border>
    </dxf>
    <dxf>
      <border>
        <left/>
        <right/>
        <top/>
      </border>
    </dxf>
    <dxf>
      <border>
        <left/>
        <right/>
        <top/>
      </border>
    </dxf>
    <dxf>
      <border>
        <top/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lor theme="0"/>
      </font>
      <fill>
        <patternFill patternType="solid">
          <fgColor indexed="64"/>
          <bgColor theme="5"/>
        </patternFill>
      </fill>
    </dxf>
    <dxf>
      <border>
        <horizontal style="thin">
          <color indexed="64"/>
        </horizontal>
      </border>
    </dxf>
    <dxf>
      <border>
        <vertical style="thin">
          <color indexed="64"/>
        </vertical>
      </border>
    </dxf>
    <dxf>
      <font>
        <b val="0"/>
      </font>
    </dxf>
    <dxf>
      <font>
        <b val="0"/>
      </font>
    </dxf>
    <dxf>
      <font>
        <b/>
      </font>
    </dxf>
    <dxf>
      <font>
        <b/>
      </font>
    </dxf>
    <dxf>
      <border>
        <vertical style="thin">
          <color indexed="64"/>
        </vertical>
      </border>
    </dxf>
    <dxf>
      <border>
        <vertical style="thin">
          <color indexed="64"/>
        </vertical>
      </border>
    </dxf>
    <dxf>
      <font>
        <b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/>
        <color theme="0"/>
      </font>
      <fill>
        <patternFill patternType="solid">
          <fgColor indexed="64"/>
          <bgColor theme="5"/>
        </patternFill>
      </fill>
    </dxf>
    <dxf>
      <numFmt numFmtId="13" formatCode="0%"/>
    </dxf>
    <dxf>
      <numFmt numFmtId="164" formatCode="0.0%"/>
    </dxf>
    <dxf>
      <numFmt numFmtId="14" formatCode="0.00%"/>
    </dxf>
    <dxf>
      <border>
        <right style="thin">
          <color indexed="64"/>
        </right>
        <vertical style="thin">
          <color indexed="64"/>
        </vertical>
        <horizontal style="thin">
          <color indexed="64"/>
        </horizontal>
      </border>
    </dxf>
    <dxf>
      <font>
        <color theme="0"/>
      </font>
      <fill>
        <patternFill patternType="solid">
          <fgColor indexed="64"/>
          <bgColor theme="5"/>
        </patternFill>
      </fill>
    </dxf>
    <dxf>
      <border>
        <vertical style="thin">
          <color indexed="64"/>
        </vertical>
      </border>
    </dxf>
    <dxf>
      <numFmt numFmtId="14" formatCode="0.00%"/>
    </dxf>
    <dxf>
      <border>
        <right style="thin">
          <color indexed="64"/>
        </right>
        <vertical style="thin">
          <color indexed="64"/>
        </vertical>
        <horizontal style="thin">
          <color indexed="64"/>
        </horizontal>
      </border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border>
        <vertical style="thin">
          <color indexed="64"/>
        </vertical>
        <horizontal style="thin">
          <color indexed="64"/>
        </horizontal>
      </border>
    </dxf>
    <dxf>
      <border>
        <vertical style="thin">
          <color indexed="64"/>
        </vertical>
        <horizontal style="thin">
          <color indexed="64"/>
        </horizontal>
      </border>
    </dxf>
    <dxf>
      <border>
        <vertical style="thin">
          <color indexed="64"/>
        </vertical>
        <horizontal style="thin">
          <color indexed="64"/>
        </horizontal>
      </border>
    </dxf>
    <dxf>
      <border>
        <vertical style="thin">
          <color indexed="64"/>
        </vertical>
        <horizontal style="thin">
          <color indexed="64"/>
        </horizontal>
      </border>
    </dxf>
    <dxf>
      <border>
        <vertical style="thin">
          <color indexed="64"/>
        </vertical>
        <horizontal style="thin">
          <color indexed="64"/>
        </horizontal>
      </border>
    </dxf>
    <dxf>
      <numFmt numFmtId="13" formatCode="0%"/>
    </dxf>
    <dxf>
      <numFmt numFmtId="172" formatCode="0.000%"/>
    </dxf>
    <dxf>
      <numFmt numFmtId="14" formatCode="0.00%"/>
    </dxf>
    <dxf>
      <numFmt numFmtId="164" formatCode="0.0%"/>
    </dxf>
    <dxf>
      <alignment horizontal="center" readingOrder="0"/>
    </dxf>
    <dxf>
      <numFmt numFmtId="164" formatCode="0.0%"/>
    </dxf>
    <dxf>
      <numFmt numFmtId="13" formatCode="0%"/>
    </dxf>
    <dxf>
      <numFmt numFmtId="13" formatCode="0%"/>
    </dxf>
    <dxf>
      <font>
        <b/>
      </font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4" formatCode="0.00%"/>
    </dxf>
    <dxf>
      <numFmt numFmtId="14" formatCode="0.00%"/>
    </dxf>
    <dxf>
      <numFmt numFmtId="1" formatCode="0"/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alignment horizontal="right" readingOrder="0"/>
    </dxf>
    <dxf>
      <alignment horizontal="left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left" readingOrder="0"/>
    </dxf>
    <dxf>
      <alignment horizontal="center" readingOrder="0"/>
    </dxf>
    <dxf>
      <alignment horizontal="left" readingOrder="0"/>
    </dxf>
    <dxf>
      <alignment horizontal="center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font>
        <sz val="13"/>
      </font>
    </dxf>
    <dxf>
      <font>
        <b/>
        <sz val="13"/>
      </font>
    </dxf>
    <dxf>
      <font>
        <color rgb="FFFF0000"/>
      </font>
    </dxf>
    <dxf>
      <font>
        <color auto="1"/>
      </font>
    </dxf>
    <dxf>
      <fill>
        <patternFill patternType="solid">
          <bgColor theme="5" tint="0.79998168889431442"/>
        </patternFill>
      </fill>
    </dxf>
    <dxf>
      <fill>
        <patternFill patternType="solid">
          <bgColor theme="5"/>
        </patternFill>
      </fill>
    </dxf>
    <dxf>
      <fill>
        <patternFill>
          <bgColor theme="5" tint="0.7999816888943144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 patternType="solid">
          <bgColor theme="5" tint="0.79998168889431442"/>
        </patternFill>
      </fill>
    </dxf>
    <dxf>
      <fill>
        <patternFill patternType="solid">
          <bgColor rgb="FFE84C22"/>
        </patternFill>
      </fill>
    </dxf>
    <dxf>
      <fill>
        <patternFill patternType="solid">
          <bgColor rgb="FFE84C22"/>
        </patternFill>
      </fill>
    </dxf>
    <dxf>
      <fill>
        <patternFill patternType="solid">
          <bgColor rgb="FFE84C22"/>
        </patternFill>
      </fill>
    </dxf>
    <dxf>
      <fill>
        <patternFill patternType="solid">
          <bgColor rgb="FFE84C22"/>
        </patternFill>
      </fill>
    </dxf>
    <dxf>
      <font>
        <sz val="11"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sz val="11"/>
      </font>
    </dxf>
    <dxf>
      <font>
        <sz val="11"/>
      </font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b/>
      </font>
    </dxf>
    <dxf>
      <font>
        <sz val="12"/>
      </font>
    </dxf>
    <dxf>
      <font>
        <sz val="12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sz val="12"/>
      </font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readingOrder="0"/>
    </dxf>
    <dxf>
      <fill>
        <patternFill patternType="solid">
          <bgColor rgb="FFE84C22"/>
        </patternFill>
      </fill>
    </dxf>
    <dxf>
      <fill>
        <patternFill patternType="solid">
          <bgColor rgb="FFE84C22"/>
        </patternFill>
      </fill>
    </dxf>
    <dxf>
      <numFmt numFmtId="166" formatCode="0.0000000"/>
    </dxf>
    <dxf>
      <numFmt numFmtId="167" formatCode="0.000000"/>
    </dxf>
    <dxf>
      <numFmt numFmtId="168" formatCode="0.00000"/>
    </dxf>
    <dxf>
      <numFmt numFmtId="169" formatCode="0.0000"/>
    </dxf>
    <dxf>
      <numFmt numFmtId="170" formatCode="0.000"/>
    </dxf>
    <dxf>
      <numFmt numFmtId="2" formatCode="0.00"/>
    </dxf>
    <dxf>
      <numFmt numFmtId="171" formatCode="0.0"/>
    </dxf>
    <dxf>
      <numFmt numFmtId="2" formatCode="0.00"/>
    </dxf>
    <dxf>
      <numFmt numFmtId="166" formatCode="0.0000000"/>
    </dxf>
    <dxf>
      <numFmt numFmtId="167" formatCode="0.000000"/>
    </dxf>
    <dxf>
      <numFmt numFmtId="168" formatCode="0.00000"/>
    </dxf>
    <dxf>
      <numFmt numFmtId="169" formatCode="0.0000"/>
    </dxf>
    <dxf>
      <numFmt numFmtId="170" formatCode="0.000"/>
    </dxf>
    <dxf>
      <numFmt numFmtId="2" formatCode="0.00"/>
    </dxf>
    <dxf>
      <fill>
        <patternFill patternType="solid">
          <bgColor theme="5"/>
        </patternFill>
      </fill>
    </dxf>
    <dxf>
      <font>
        <color theme="0"/>
      </font>
    </dxf>
    <dxf>
      <border>
        <left/>
        <top/>
        <bottom/>
      </border>
    </dxf>
    <dxf>
      <font>
        <b/>
      </font>
    </dxf>
    <dxf>
      <border>
        <left/>
        <right/>
        <top/>
        <bottom/>
      </border>
    </dxf>
    <dxf>
      <border>
        <left/>
        <right/>
        <top/>
        <bottom/>
      </border>
    </dxf>
    <dxf>
      <border>
        <top/>
      </border>
    </dxf>
    <dxf>
      <fill>
        <patternFill>
          <bgColor theme="5" tint="-0.249977111117893"/>
        </patternFill>
      </fill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/>
        <right/>
        <top/>
        <bottom/>
        <vertical/>
      </border>
    </dxf>
    <dxf>
      <border>
        <left/>
        <right/>
        <top/>
        <bottom/>
        <vertical/>
      </border>
    </dxf>
    <dxf>
      <border>
        <left/>
        <top/>
      </border>
    </dxf>
    <dxf>
      <border>
        <left/>
        <top/>
      </border>
    </dxf>
    <dxf>
      <border>
        <top/>
      </border>
    </dxf>
    <dxf>
      <border>
        <top/>
      </border>
    </dxf>
    <dxf>
      <border>
        <left/>
        <top/>
      </border>
    </dxf>
    <dxf>
      <border>
        <left/>
        <top/>
      </border>
    </dxf>
    <dxf>
      <border>
        <top/>
      </border>
    </dxf>
    <dxf>
      <border>
        <top/>
      </border>
    </dxf>
    <dxf>
      <border>
        <top/>
      </border>
    </dxf>
    <dxf>
      <border>
        <top/>
      </border>
    </dxf>
    <dxf>
      <border>
        <top/>
      </border>
    </dxf>
    <dxf>
      <border>
        <top/>
      </border>
    </dxf>
    <dxf>
      <border>
        <top/>
      </border>
    </dxf>
    <dxf>
      <border>
        <top/>
      </border>
    </dxf>
    <dxf>
      <border>
        <top/>
      </border>
    </dxf>
    <dxf>
      <border>
        <top/>
      </border>
    </dxf>
    <dxf>
      <border>
        <top/>
      </border>
    </dxf>
    <dxf>
      <border>
        <top/>
      </border>
    </dxf>
    <dxf>
      <border>
        <top/>
      </border>
    </dxf>
    <dxf>
      <border>
        <top/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fill>
        <patternFill>
          <bgColor theme="5"/>
        </patternFill>
      </fill>
    </dxf>
    <dxf>
      <border>
        <horizontal style="thin">
          <color indexed="64"/>
        </horizontal>
      </border>
    </dxf>
    <dxf>
      <border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  <horizontal style="thin">
          <color indexed="64"/>
        </horizontal>
      </border>
    </dxf>
    <dxf>
      <border>
        <top style="thin">
          <color indexed="64"/>
        </top>
        <horizontal style="thin">
          <color indexed="64"/>
        </horizontal>
      </border>
    </dxf>
    <dxf>
      <border>
        <vertical style="thin">
          <color indexed="64"/>
        </vertical>
        <horizontal style="thin">
          <color indexed="64"/>
        </horizontal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vertical style="thin">
          <color indexed="64"/>
        </vertical>
        <horizontal style="thin">
          <color indexed="64"/>
        </horizontal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right style="thin">
          <color indexed="64"/>
        </right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4" formatCode="0.00%"/>
    </dxf>
    <dxf>
      <numFmt numFmtId="13" formatCode="0%"/>
    </dxf>
    <dxf>
      <alignment horizontal="center" readingOrder="0"/>
    </dxf>
    <dxf>
      <numFmt numFmtId="164" formatCode="0.0%"/>
    </dxf>
    <dxf>
      <numFmt numFmtId="14" formatCode="0.00%"/>
    </dxf>
    <dxf>
      <numFmt numFmtId="13" formatCode="0%"/>
    </dxf>
    <dxf>
      <alignment horizontal="center" readingOrder="0"/>
    </dxf>
    <dxf>
      <numFmt numFmtId="164" formatCode="0.0%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readingOrder="0"/>
    </dxf>
    <dxf>
      <numFmt numFmtId="13" formatCode="0%"/>
    </dxf>
    <dxf>
      <alignment horizontal="center" readingOrder="0"/>
    </dxf>
    <dxf>
      <border>
        <right style="thin">
          <color indexed="64"/>
        </right>
      </border>
    </dxf>
    <dxf>
      <fill>
        <patternFill>
          <bgColor rgb="FFE84C22"/>
        </patternFill>
      </fill>
    </dxf>
    <dxf>
      <fill>
        <patternFill>
          <bgColor rgb="FFE84C22"/>
        </patternFill>
      </fill>
    </dxf>
    <dxf>
      <numFmt numFmtId="14" formatCode="0.00%"/>
    </dxf>
    <dxf>
      <font>
        <color theme="0"/>
      </font>
      <numFmt numFmtId="0" formatCode="General"/>
      <fill>
        <patternFill patternType="solid">
          <fgColor indexed="64"/>
          <bgColor rgb="FFE84C22"/>
        </patternFill>
      </fill>
    </dxf>
    <dxf>
      <alignment horizontal="center"/>
    </dxf>
    <dxf>
      <numFmt numFmtId="166" formatCode="0.0000000"/>
    </dxf>
    <dxf>
      <numFmt numFmtId="167" formatCode="0.000000"/>
    </dxf>
    <dxf>
      <numFmt numFmtId="168" formatCode="0.00000"/>
    </dxf>
    <dxf>
      <numFmt numFmtId="169" formatCode="0.0000"/>
    </dxf>
    <dxf>
      <numFmt numFmtId="170" formatCode="0.000"/>
    </dxf>
    <dxf>
      <numFmt numFmtId="2" formatCode="0.00"/>
    </dxf>
    <dxf>
      <numFmt numFmtId="171" formatCode="0.0"/>
    </dxf>
    <dxf>
      <numFmt numFmtId="2" formatCode="0.00"/>
    </dxf>
    <dxf>
      <numFmt numFmtId="166" formatCode="0.0000000"/>
    </dxf>
    <dxf>
      <numFmt numFmtId="167" formatCode="0.000000"/>
    </dxf>
    <dxf>
      <numFmt numFmtId="168" formatCode="0.00000"/>
    </dxf>
    <dxf>
      <numFmt numFmtId="169" formatCode="0.0000"/>
    </dxf>
    <dxf>
      <numFmt numFmtId="170" formatCode="0.000"/>
    </dxf>
    <dxf>
      <numFmt numFmtId="2" formatCode="0.00"/>
    </dxf>
    <dxf>
      <fill>
        <patternFill patternType="solid">
          <bgColor theme="5"/>
        </patternFill>
      </fill>
    </dxf>
    <dxf>
      <fill>
        <patternFill patternType="solid">
          <bgColor theme="5"/>
        </patternFill>
      </fill>
    </dxf>
    <dxf>
      <font>
        <color theme="0"/>
      </font>
    </dxf>
    <dxf>
      <font>
        <color theme="0"/>
      </font>
    </dxf>
    <dxf>
      <border>
        <left/>
        <top/>
        <bottom/>
      </border>
    </dxf>
    <dxf>
      <font>
        <b/>
      </font>
    </dxf>
    <dxf>
      <border>
        <right/>
        <top/>
        <bottom/>
      </border>
    </dxf>
    <dxf>
      <border>
        <right/>
        <top/>
        <bottom/>
      </border>
    </dxf>
    <dxf>
      <border>
        <left/>
        <right/>
        <top/>
      </border>
    </dxf>
    <dxf>
      <border>
        <left/>
        <right/>
        <top/>
      </border>
    </dxf>
    <dxf>
      <border>
        <left/>
        <right/>
        <top/>
      </border>
    </dxf>
    <dxf>
      <border>
        <left/>
        <right/>
        <top/>
      </border>
    </dxf>
    <dxf>
      <border>
        <left/>
        <right/>
        <top/>
      </border>
    </dxf>
    <dxf>
      <border>
        <top/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lor theme="0"/>
      </font>
      <fill>
        <patternFill patternType="solid">
          <fgColor indexed="64"/>
          <bgColor theme="5"/>
        </patternFill>
      </fill>
    </dxf>
    <dxf>
      <border>
        <horizontal style="thin">
          <color indexed="64"/>
        </horizontal>
      </border>
    </dxf>
    <dxf>
      <border>
        <vertical style="thin">
          <color indexed="64"/>
        </vertical>
      </border>
    </dxf>
    <dxf>
      <font>
        <b val="0"/>
      </font>
    </dxf>
    <dxf>
      <font>
        <b val="0"/>
      </font>
    </dxf>
    <dxf>
      <font>
        <b/>
      </font>
    </dxf>
    <dxf>
      <font>
        <b/>
      </font>
    </dxf>
    <dxf>
      <border>
        <vertical style="thin">
          <color indexed="64"/>
        </vertical>
      </border>
    </dxf>
    <dxf>
      <border>
        <vertical style="thin">
          <color indexed="64"/>
        </vertical>
      </border>
    </dxf>
    <dxf>
      <font>
        <b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/>
        <color theme="0"/>
      </font>
      <fill>
        <patternFill patternType="solid">
          <fgColor indexed="64"/>
          <bgColor theme="5"/>
        </patternFill>
      </fill>
    </dxf>
    <dxf>
      <numFmt numFmtId="13" formatCode="0%"/>
    </dxf>
    <dxf>
      <numFmt numFmtId="164" formatCode="0.0%"/>
    </dxf>
    <dxf>
      <numFmt numFmtId="14" formatCode="0.00%"/>
    </dxf>
    <dxf>
      <border>
        <right style="thin">
          <color indexed="64"/>
        </right>
        <vertical style="thin">
          <color indexed="64"/>
        </vertical>
        <horizontal style="thin">
          <color indexed="64"/>
        </horizontal>
      </border>
    </dxf>
    <dxf>
      <font>
        <color theme="0"/>
      </font>
      <fill>
        <patternFill patternType="solid">
          <fgColor indexed="64"/>
          <bgColor theme="5"/>
        </patternFill>
      </fill>
    </dxf>
    <dxf>
      <border>
        <vertical style="thin">
          <color indexed="64"/>
        </vertical>
      </border>
    </dxf>
    <dxf>
      <numFmt numFmtId="14" formatCode="0.00%"/>
    </dxf>
    <dxf>
      <border>
        <right style="thin">
          <color indexed="64"/>
        </right>
        <vertical style="thin">
          <color indexed="64"/>
        </vertical>
        <horizontal style="thin">
          <color indexed="64"/>
        </horizontal>
      </border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border>
        <vertical style="thin">
          <color indexed="64"/>
        </vertical>
        <horizontal style="thin">
          <color indexed="64"/>
        </horizontal>
      </border>
    </dxf>
    <dxf>
      <border>
        <vertical style="thin">
          <color indexed="64"/>
        </vertical>
        <horizontal style="thin">
          <color indexed="64"/>
        </horizontal>
      </border>
    </dxf>
    <dxf>
      <border>
        <vertical style="thin">
          <color indexed="64"/>
        </vertical>
        <horizontal style="thin">
          <color indexed="64"/>
        </horizontal>
      </border>
    </dxf>
    <dxf>
      <border>
        <vertical style="thin">
          <color indexed="64"/>
        </vertical>
        <horizontal style="thin">
          <color indexed="64"/>
        </horizontal>
      </border>
    </dxf>
    <dxf>
      <border>
        <vertical style="thin">
          <color indexed="64"/>
        </vertical>
        <horizontal style="thin">
          <color indexed="64"/>
        </horizontal>
      </border>
    </dxf>
    <dxf>
      <numFmt numFmtId="13" formatCode="0%"/>
    </dxf>
    <dxf>
      <numFmt numFmtId="172" formatCode="0.000%"/>
    </dxf>
    <dxf>
      <numFmt numFmtId="14" formatCode="0.00%"/>
    </dxf>
    <dxf>
      <numFmt numFmtId="164" formatCode="0.0%"/>
    </dxf>
    <dxf>
      <alignment horizontal="center" readingOrder="0"/>
    </dxf>
    <dxf>
      <numFmt numFmtId="164" formatCode="0.0%"/>
    </dxf>
    <dxf>
      <fill>
        <patternFill>
          <bgColor rgb="FFE84C22"/>
        </patternFill>
      </fill>
    </dxf>
    <dxf>
      <fill>
        <patternFill>
          <bgColor rgb="FFE84C22"/>
        </patternFill>
      </fill>
    </dxf>
    <dxf>
      <numFmt numFmtId="13" formatCode="0%"/>
    </dxf>
    <dxf>
      <font>
        <b/>
        <color theme="0"/>
      </font>
      <numFmt numFmtId="14" formatCode="0.00%"/>
      <fill>
        <patternFill patternType="solid">
          <fgColor indexed="64"/>
          <bgColor rgb="FFE84C22"/>
        </patternFill>
      </fill>
    </dxf>
    <dxf>
      <numFmt numFmtId="14" formatCode="0.00%"/>
    </dxf>
    <dxf>
      <numFmt numFmtId="14" formatCode="0.00%"/>
    </dxf>
    <dxf>
      <fill>
        <patternFill patternType="solid">
          <fgColor indexed="64"/>
          <bgColor rgb="FFE84C22"/>
        </patternFill>
      </fill>
      <alignment horizontal="center"/>
    </dxf>
    <dxf>
      <numFmt numFmtId="14" formatCode="0.00%"/>
    </dxf>
    <dxf>
      <numFmt numFmtId="0" formatCode="General"/>
      <fill>
        <patternFill patternType="solid">
          <fgColor indexed="64"/>
          <bgColor rgb="FFE84C22"/>
        </patternFill>
      </fill>
      <alignment horizontal="center"/>
    </dxf>
    <dxf>
      <alignment horizontal="center"/>
    </dxf>
    <dxf>
      <alignment vertical="center"/>
    </dxf>
    <dxf>
      <alignment horizontal="center"/>
    </dxf>
    <dxf>
      <alignment vertical="center"/>
    </dxf>
    <dxf>
      <numFmt numFmtId="166" formatCode="0.0000000"/>
    </dxf>
    <dxf>
      <numFmt numFmtId="167" formatCode="0.000000"/>
    </dxf>
    <dxf>
      <numFmt numFmtId="168" formatCode="0.00000"/>
    </dxf>
    <dxf>
      <numFmt numFmtId="169" formatCode="0.0000"/>
    </dxf>
    <dxf>
      <numFmt numFmtId="170" formatCode="0.000"/>
    </dxf>
    <dxf>
      <numFmt numFmtId="2" formatCode="0.00"/>
    </dxf>
    <dxf>
      <numFmt numFmtId="171" formatCode="0.0"/>
    </dxf>
    <dxf>
      <numFmt numFmtId="2" formatCode="0.00"/>
    </dxf>
    <dxf>
      <numFmt numFmtId="166" formatCode="0.0000000"/>
    </dxf>
    <dxf>
      <numFmt numFmtId="167" formatCode="0.000000"/>
    </dxf>
    <dxf>
      <numFmt numFmtId="168" formatCode="0.00000"/>
    </dxf>
    <dxf>
      <numFmt numFmtId="169" formatCode="0.0000"/>
    </dxf>
    <dxf>
      <numFmt numFmtId="170" formatCode="0.000"/>
    </dxf>
    <dxf>
      <numFmt numFmtId="2" formatCode="0.00"/>
    </dxf>
    <dxf>
      <fill>
        <patternFill patternType="solid">
          <bgColor theme="5"/>
        </patternFill>
      </fill>
    </dxf>
    <dxf>
      <font>
        <color theme="0"/>
      </font>
    </dxf>
    <dxf>
      <border>
        <left/>
        <top/>
        <bottom/>
      </border>
    </dxf>
    <dxf>
      <font>
        <b/>
      </font>
    </dxf>
    <dxf>
      <border>
        <right/>
        <top/>
        <bottom/>
      </border>
    </dxf>
    <dxf>
      <border>
        <right/>
        <top/>
        <bottom/>
      </border>
    </dxf>
    <dxf>
      <border>
        <left/>
        <right/>
        <top/>
      </border>
    </dxf>
    <dxf>
      <border>
        <left/>
        <right/>
        <top/>
      </border>
    </dxf>
    <dxf>
      <border>
        <left/>
        <right/>
        <top/>
      </border>
    </dxf>
    <dxf>
      <border>
        <left/>
        <right/>
        <top/>
      </border>
    </dxf>
    <dxf>
      <border>
        <top/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lor theme="0"/>
      </font>
      <fill>
        <patternFill patternType="solid">
          <fgColor indexed="64"/>
          <bgColor theme="5"/>
        </patternFill>
      </fill>
    </dxf>
    <dxf>
      <border>
        <horizontal style="thin">
          <color indexed="64"/>
        </horizontal>
      </border>
    </dxf>
    <dxf>
      <border>
        <vertical style="thin">
          <color indexed="64"/>
        </vertical>
      </border>
    </dxf>
    <dxf>
      <font>
        <b val="0"/>
      </font>
    </dxf>
    <dxf>
      <font>
        <b val="0"/>
      </font>
    </dxf>
    <dxf>
      <font>
        <b/>
      </font>
    </dxf>
    <dxf>
      <font>
        <b/>
      </font>
    </dxf>
    <dxf>
      <border>
        <vertical style="thin">
          <color indexed="64"/>
        </vertical>
      </border>
    </dxf>
    <dxf>
      <border>
        <vertical style="thin">
          <color indexed="64"/>
        </vertical>
      </border>
    </dxf>
    <dxf>
      <font>
        <b/>
      </font>
    </dxf>
    <dxf>
      <font>
        <b/>
        <color theme="0"/>
      </font>
      <fill>
        <patternFill patternType="solid">
          <fgColor indexed="64"/>
          <bgColor theme="5"/>
        </patternFill>
      </fill>
    </dxf>
    <dxf>
      <font>
        <color theme="0"/>
      </font>
      <fill>
        <patternFill patternType="solid">
          <fgColor indexed="64"/>
          <bgColor theme="5"/>
        </patternFill>
      </fill>
    </dxf>
    <dxf>
      <numFmt numFmtId="14" formatCode="0.00%"/>
    </dxf>
    <dxf>
      <numFmt numFmtId="14" formatCode="0.00%"/>
    </dxf>
    <dxf>
      <border>
        <left style="thin">
          <color indexed="64"/>
        </left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vertical style="thin">
          <color indexed="64"/>
        </vertical>
        <horizontal style="thin">
          <color indexed="64"/>
        </horizontal>
      </border>
    </dxf>
    <dxf>
      <font>
        <b/>
      </font>
    </dxf>
    <dxf>
      <font>
        <b/>
        <color theme="0"/>
      </font>
      <numFmt numFmtId="14" formatCode="0.00%"/>
      <fill>
        <patternFill patternType="solid">
          <fgColor indexed="64"/>
          <bgColor theme="5"/>
        </patternFill>
      </fill>
    </dxf>
    <dxf>
      <numFmt numFmtId="13" formatCode="0%"/>
    </dxf>
    <dxf>
      <numFmt numFmtId="164" formatCode="0.0%"/>
    </dxf>
    <dxf>
      <fill>
        <patternFill>
          <bgColor rgb="FFE94C22"/>
        </patternFill>
      </fill>
    </dxf>
    <dxf>
      <numFmt numFmtId="14" formatCode="0.00%"/>
    </dxf>
    <dxf>
      <numFmt numFmtId="14" formatCode="0.00%"/>
    </dxf>
    <dxf>
      <font>
        <b/>
        <color theme="0"/>
      </font>
      <fill>
        <patternFill patternType="solid">
          <fgColor indexed="64"/>
          <bgColor rgb="FFE94C22"/>
        </patternFill>
      </fill>
    </dxf>
    <dxf>
      <font>
        <b/>
        <color theme="0"/>
      </font>
      <numFmt numFmtId="14" formatCode="0.00%"/>
      <fill>
        <patternFill patternType="solid">
          <fgColor indexed="64"/>
          <bgColor rgb="FFE94C22"/>
        </patternFill>
      </fill>
    </dxf>
    <dxf>
      <numFmt numFmtId="14" formatCode="0.00%"/>
    </dxf>
    <dxf>
      <font>
        <b/>
        <color theme="0"/>
      </font>
      <fill>
        <patternFill patternType="solid">
          <fgColor indexed="64"/>
          <bgColor rgb="FFE94C22"/>
        </patternFill>
      </fill>
    </dxf>
    <dxf>
      <numFmt numFmtId="166" formatCode="0.0000000"/>
    </dxf>
    <dxf>
      <numFmt numFmtId="167" formatCode="0.000000"/>
    </dxf>
    <dxf>
      <numFmt numFmtId="168" formatCode="0.00000"/>
    </dxf>
    <dxf>
      <numFmt numFmtId="169" formatCode="0.0000"/>
    </dxf>
    <dxf>
      <numFmt numFmtId="170" formatCode="0.000"/>
    </dxf>
    <dxf>
      <numFmt numFmtId="2" formatCode="0.00"/>
    </dxf>
    <dxf>
      <numFmt numFmtId="171" formatCode="0.0"/>
    </dxf>
    <dxf>
      <numFmt numFmtId="2" formatCode="0.00"/>
    </dxf>
    <dxf>
      <numFmt numFmtId="166" formatCode="0.0000000"/>
    </dxf>
    <dxf>
      <numFmt numFmtId="167" formatCode="0.000000"/>
    </dxf>
    <dxf>
      <numFmt numFmtId="168" formatCode="0.00000"/>
    </dxf>
    <dxf>
      <numFmt numFmtId="169" formatCode="0.0000"/>
    </dxf>
    <dxf>
      <numFmt numFmtId="170" formatCode="0.000"/>
    </dxf>
    <dxf>
      <numFmt numFmtId="2" formatCode="0.00"/>
    </dxf>
    <dxf>
      <fill>
        <patternFill patternType="solid">
          <bgColor theme="5"/>
        </patternFill>
      </fill>
    </dxf>
    <dxf>
      <fill>
        <patternFill patternType="solid">
          <bgColor theme="5"/>
        </patternFill>
      </fill>
    </dxf>
    <dxf>
      <font>
        <color theme="0"/>
      </font>
    </dxf>
    <dxf>
      <font>
        <color theme="0"/>
      </font>
    </dxf>
    <dxf>
      <border>
        <left/>
        <top/>
        <bottom/>
      </border>
    </dxf>
    <dxf>
      <font>
        <b/>
      </font>
    </dxf>
    <dxf>
      <border>
        <right/>
        <top/>
        <bottom/>
      </border>
    </dxf>
    <dxf>
      <border>
        <right/>
        <top/>
        <bottom/>
      </border>
    </dxf>
    <dxf>
      <border>
        <left/>
        <right/>
        <top/>
      </border>
    </dxf>
    <dxf>
      <border>
        <left/>
        <right/>
        <top/>
      </border>
    </dxf>
    <dxf>
      <border>
        <left/>
        <right/>
        <top/>
      </border>
    </dxf>
    <dxf>
      <border>
        <left/>
        <right/>
        <top/>
      </border>
    </dxf>
    <dxf>
      <border>
        <left/>
        <right/>
        <top/>
      </border>
    </dxf>
    <dxf>
      <border>
        <top/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horizontal style="thin">
          <color indexed="64"/>
        </horizontal>
      </border>
    </dxf>
    <dxf>
      <font>
        <b val="0"/>
      </font>
    </dxf>
    <dxf>
      <font>
        <b val="0"/>
      </font>
    </dxf>
    <dxf>
      <font>
        <b/>
      </font>
    </dxf>
    <dxf>
      <font>
        <b/>
      </font>
    </dxf>
    <dxf>
      <border>
        <vertical style="thin">
          <color indexed="64"/>
        </vertical>
      </border>
    </dxf>
    <dxf>
      <border>
        <vertical style="thin">
          <color indexed="64"/>
        </vertical>
      </border>
    </dxf>
    <dxf>
      <font>
        <b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/>
        <color theme="0"/>
      </font>
      <fill>
        <patternFill patternType="solid">
          <fgColor indexed="64"/>
          <bgColor theme="5"/>
        </patternFill>
      </fill>
    </dxf>
    <dxf>
      <numFmt numFmtId="13" formatCode="0%"/>
    </dxf>
    <dxf>
      <numFmt numFmtId="164" formatCode="0.0%"/>
    </dxf>
    <dxf>
      <numFmt numFmtId="14" formatCode="0.00%"/>
    </dxf>
    <dxf>
      <border>
        <right style="thin">
          <color indexed="64"/>
        </right>
        <vertical style="thin">
          <color indexed="64"/>
        </vertical>
        <horizontal style="thin">
          <color indexed="64"/>
        </horizontal>
      </border>
    </dxf>
    <dxf>
      <font>
        <color theme="0"/>
      </font>
      <fill>
        <patternFill patternType="solid">
          <fgColor indexed="64"/>
          <bgColor theme="5"/>
        </patternFill>
      </fill>
    </dxf>
    <dxf>
      <border>
        <vertical style="thin">
          <color indexed="64"/>
        </vertical>
      </border>
    </dxf>
    <dxf>
      <numFmt numFmtId="14" formatCode="0.00%"/>
    </dxf>
    <dxf>
      <border>
        <right style="thin">
          <color indexed="64"/>
        </right>
        <vertical style="thin">
          <color indexed="64"/>
        </vertical>
        <horizontal style="thin">
          <color indexed="64"/>
        </horizontal>
      </border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border>
        <vertical style="thin">
          <color indexed="64"/>
        </vertical>
        <horizontal style="thin">
          <color indexed="64"/>
        </horizontal>
      </border>
    </dxf>
    <dxf>
      <border>
        <vertical style="thin">
          <color indexed="64"/>
        </vertical>
        <horizontal style="thin">
          <color indexed="64"/>
        </horizontal>
      </border>
    </dxf>
    <dxf>
      <border>
        <vertical style="thin">
          <color indexed="64"/>
        </vertical>
        <horizontal style="thin">
          <color indexed="64"/>
        </horizontal>
      </border>
    </dxf>
    <dxf>
      <border>
        <vertical style="thin">
          <color indexed="64"/>
        </vertical>
        <horizontal style="thin">
          <color indexed="64"/>
        </horizontal>
      </border>
    </dxf>
    <dxf>
      <border>
        <vertical style="thin">
          <color indexed="64"/>
        </vertical>
        <horizontal style="thin">
          <color indexed="64"/>
        </horizontal>
      </border>
    </dxf>
    <dxf>
      <numFmt numFmtId="13" formatCode="0%"/>
    </dxf>
    <dxf>
      <numFmt numFmtId="172" formatCode="0.000%"/>
    </dxf>
    <dxf>
      <numFmt numFmtId="14" formatCode="0.00%"/>
    </dxf>
    <dxf>
      <numFmt numFmtId="164" formatCode="0.0%"/>
    </dxf>
    <dxf>
      <alignment horizontal="center" readingOrder="0"/>
    </dxf>
    <dxf>
      <numFmt numFmtId="164" formatCode="0.0%"/>
    </dxf>
    <dxf>
      <numFmt numFmtId="13" formatCode="0%"/>
    </dxf>
    <dxf>
      <numFmt numFmtId="13" formatCode="0%"/>
    </dxf>
    <dxf>
      <numFmt numFmtId="166" formatCode="0.0000000"/>
    </dxf>
    <dxf>
      <numFmt numFmtId="167" formatCode="0.000000"/>
    </dxf>
    <dxf>
      <numFmt numFmtId="168" formatCode="0.00000"/>
    </dxf>
    <dxf>
      <numFmt numFmtId="169" formatCode="0.0000"/>
    </dxf>
    <dxf>
      <numFmt numFmtId="170" formatCode="0.000"/>
    </dxf>
    <dxf>
      <numFmt numFmtId="2" formatCode="0.00"/>
    </dxf>
    <dxf>
      <numFmt numFmtId="171" formatCode="0.0"/>
    </dxf>
    <dxf>
      <numFmt numFmtId="2" formatCode="0.00"/>
    </dxf>
    <dxf>
      <numFmt numFmtId="166" formatCode="0.0000000"/>
    </dxf>
    <dxf>
      <numFmt numFmtId="167" formatCode="0.000000"/>
    </dxf>
    <dxf>
      <numFmt numFmtId="168" formatCode="0.00000"/>
    </dxf>
    <dxf>
      <numFmt numFmtId="169" formatCode="0.0000"/>
    </dxf>
    <dxf>
      <numFmt numFmtId="170" formatCode="0.000"/>
    </dxf>
    <dxf>
      <numFmt numFmtId="2" formatCode="0.00"/>
    </dxf>
    <dxf>
      <fill>
        <patternFill patternType="solid">
          <bgColor theme="5"/>
        </patternFill>
      </fill>
    </dxf>
    <dxf>
      <fill>
        <patternFill patternType="solid">
          <bgColor theme="5"/>
        </patternFill>
      </fill>
    </dxf>
    <dxf>
      <font>
        <color theme="0"/>
      </font>
    </dxf>
    <dxf>
      <font>
        <color theme="0"/>
      </font>
    </dxf>
    <dxf>
      <border>
        <left/>
        <top/>
        <bottom/>
      </border>
    </dxf>
    <dxf>
      <font>
        <b/>
      </font>
    </dxf>
    <dxf>
      <border>
        <right/>
        <top/>
        <bottom/>
      </border>
    </dxf>
    <dxf>
      <border>
        <right/>
        <top/>
        <bottom/>
      </border>
    </dxf>
    <dxf>
      <border>
        <left/>
        <right/>
        <top/>
      </border>
    </dxf>
    <dxf>
      <border>
        <left/>
        <right/>
        <top/>
      </border>
    </dxf>
    <dxf>
      <border>
        <left/>
        <right/>
        <top/>
      </border>
    </dxf>
    <dxf>
      <border>
        <left/>
        <right/>
        <top/>
      </border>
    </dxf>
    <dxf>
      <border>
        <left/>
        <right/>
        <top/>
      </border>
    </dxf>
    <dxf>
      <border>
        <top/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lor theme="0"/>
      </font>
      <fill>
        <patternFill patternType="solid">
          <fgColor indexed="64"/>
          <bgColor theme="5"/>
        </patternFill>
      </fill>
    </dxf>
    <dxf>
      <border>
        <horizontal style="thin">
          <color indexed="64"/>
        </horizontal>
      </border>
    </dxf>
    <dxf>
      <border>
        <vertical style="thin">
          <color indexed="64"/>
        </vertical>
      </border>
    </dxf>
    <dxf>
      <font>
        <b val="0"/>
      </font>
    </dxf>
    <dxf>
      <font>
        <b val="0"/>
      </font>
    </dxf>
    <dxf>
      <font>
        <b/>
      </font>
    </dxf>
    <dxf>
      <font>
        <b/>
      </font>
    </dxf>
    <dxf>
      <border>
        <vertical style="thin">
          <color indexed="64"/>
        </vertical>
      </border>
    </dxf>
    <dxf>
      <border>
        <vertical style="thin">
          <color indexed="64"/>
        </vertical>
      </border>
    </dxf>
    <dxf>
      <font>
        <b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/>
        <color theme="0"/>
      </font>
      <fill>
        <patternFill patternType="solid">
          <fgColor indexed="64"/>
          <bgColor theme="5"/>
        </patternFill>
      </fill>
    </dxf>
    <dxf>
      <numFmt numFmtId="13" formatCode="0%"/>
    </dxf>
    <dxf>
      <numFmt numFmtId="164" formatCode="0.0%"/>
    </dxf>
    <dxf>
      <numFmt numFmtId="14" formatCode="0.00%"/>
    </dxf>
    <dxf>
      <border>
        <right style="thin">
          <color indexed="64"/>
        </right>
        <vertical style="thin">
          <color indexed="64"/>
        </vertical>
        <horizontal style="thin">
          <color indexed="64"/>
        </horizontal>
      </border>
    </dxf>
    <dxf>
      <font>
        <color theme="0"/>
      </font>
      <fill>
        <patternFill patternType="solid">
          <fgColor indexed="64"/>
          <bgColor theme="5"/>
        </patternFill>
      </fill>
    </dxf>
    <dxf>
      <border>
        <vertical style="thin">
          <color indexed="64"/>
        </vertical>
      </border>
    </dxf>
    <dxf>
      <numFmt numFmtId="14" formatCode="0.00%"/>
    </dxf>
    <dxf>
      <border>
        <right style="thin">
          <color indexed="64"/>
        </right>
        <vertical style="thin">
          <color indexed="64"/>
        </vertical>
        <horizontal style="thin">
          <color indexed="64"/>
        </horizontal>
      </border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border>
        <vertical style="thin">
          <color indexed="64"/>
        </vertical>
        <horizontal style="thin">
          <color indexed="64"/>
        </horizontal>
      </border>
    </dxf>
    <dxf>
      <border>
        <vertical style="thin">
          <color indexed="64"/>
        </vertical>
        <horizontal style="thin">
          <color indexed="64"/>
        </horizontal>
      </border>
    </dxf>
    <dxf>
      <border>
        <vertical style="thin">
          <color indexed="64"/>
        </vertical>
        <horizontal style="thin">
          <color indexed="64"/>
        </horizontal>
      </border>
    </dxf>
    <dxf>
      <border>
        <vertical style="thin">
          <color indexed="64"/>
        </vertical>
        <horizontal style="thin">
          <color indexed="64"/>
        </horizontal>
      </border>
    </dxf>
    <dxf>
      <border>
        <vertical style="thin">
          <color indexed="64"/>
        </vertical>
        <horizontal style="thin">
          <color indexed="64"/>
        </horizontal>
      </border>
    </dxf>
    <dxf>
      <numFmt numFmtId="13" formatCode="0%"/>
    </dxf>
    <dxf>
      <numFmt numFmtId="172" formatCode="0.000%"/>
    </dxf>
    <dxf>
      <numFmt numFmtId="14" formatCode="0.00%"/>
    </dxf>
    <dxf>
      <numFmt numFmtId="164" formatCode="0.0%"/>
    </dxf>
    <dxf>
      <alignment horizontal="center" readingOrder="0"/>
    </dxf>
    <dxf>
      <numFmt numFmtId="164" formatCode="0.0%"/>
    </dxf>
    <dxf>
      <numFmt numFmtId="13" formatCode="0%"/>
    </dxf>
    <dxf>
      <numFmt numFmtId="13" formatCode="0%"/>
    </dxf>
    <dxf>
      <font>
        <b/>
      </font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4" formatCode="0.00%"/>
    </dxf>
    <dxf>
      <numFmt numFmtId="14" formatCode="0.00%"/>
    </dxf>
    <dxf>
      <numFmt numFmtId="1" formatCode="0"/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alignment horizontal="right" readingOrder="0"/>
    </dxf>
    <dxf>
      <alignment horizontal="left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left" readingOrder="0"/>
    </dxf>
    <dxf>
      <alignment horizontal="center" readingOrder="0"/>
    </dxf>
    <dxf>
      <alignment horizontal="left" readingOrder="0"/>
    </dxf>
    <dxf>
      <alignment horizontal="center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font>
        <sz val="13"/>
      </font>
    </dxf>
    <dxf>
      <font>
        <b/>
        <sz val="13"/>
      </font>
    </dxf>
    <dxf>
      <font>
        <color rgb="FFFF0000"/>
      </font>
    </dxf>
    <dxf>
      <font>
        <color auto="1"/>
      </font>
    </dxf>
    <dxf>
      <fill>
        <patternFill patternType="solid">
          <bgColor theme="5" tint="0.79998168889431442"/>
        </patternFill>
      </fill>
    </dxf>
    <dxf>
      <fill>
        <patternFill patternType="solid">
          <bgColor theme="5"/>
        </patternFill>
      </fill>
    </dxf>
    <dxf>
      <fill>
        <patternFill>
          <bgColor theme="5" tint="0.7999816888943144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 patternType="solid">
          <bgColor theme="5" tint="0.79998168889431442"/>
        </patternFill>
      </fill>
    </dxf>
    <dxf>
      <fill>
        <patternFill patternType="solid">
          <bgColor rgb="FFE84C22"/>
        </patternFill>
      </fill>
    </dxf>
    <dxf>
      <fill>
        <patternFill patternType="solid">
          <bgColor rgb="FFE84C22"/>
        </patternFill>
      </fill>
    </dxf>
    <dxf>
      <fill>
        <patternFill patternType="solid">
          <bgColor rgb="FFE84C22"/>
        </patternFill>
      </fill>
    </dxf>
    <dxf>
      <fill>
        <patternFill patternType="solid">
          <bgColor rgb="FFE84C22"/>
        </patternFill>
      </fill>
    </dxf>
    <dxf>
      <font>
        <sz val="11"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sz val="11"/>
      </font>
    </dxf>
    <dxf>
      <font>
        <sz val="11"/>
      </font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b/>
      </font>
    </dxf>
    <dxf>
      <font>
        <sz val="12"/>
      </font>
    </dxf>
    <dxf>
      <font>
        <sz val="12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sz val="12"/>
      </font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readingOrder="0"/>
    </dxf>
    <dxf>
      <fill>
        <patternFill patternType="solid">
          <bgColor rgb="FFE84C22"/>
        </patternFill>
      </fill>
    </dxf>
    <dxf>
      <fill>
        <patternFill patternType="solid">
          <bgColor rgb="FFE84C22"/>
        </patternFill>
      </fill>
    </dxf>
    <dxf>
      <numFmt numFmtId="166" formatCode="0.0000000"/>
    </dxf>
    <dxf>
      <numFmt numFmtId="167" formatCode="0.000000"/>
    </dxf>
    <dxf>
      <numFmt numFmtId="168" formatCode="0.00000"/>
    </dxf>
    <dxf>
      <numFmt numFmtId="169" formatCode="0.0000"/>
    </dxf>
    <dxf>
      <numFmt numFmtId="170" formatCode="0.000"/>
    </dxf>
    <dxf>
      <numFmt numFmtId="2" formatCode="0.00"/>
    </dxf>
    <dxf>
      <numFmt numFmtId="171" formatCode="0.0"/>
    </dxf>
    <dxf>
      <numFmt numFmtId="2" formatCode="0.00"/>
    </dxf>
    <dxf>
      <numFmt numFmtId="166" formatCode="0.0000000"/>
    </dxf>
    <dxf>
      <numFmt numFmtId="167" formatCode="0.000000"/>
    </dxf>
    <dxf>
      <numFmt numFmtId="168" formatCode="0.00000"/>
    </dxf>
    <dxf>
      <numFmt numFmtId="169" formatCode="0.0000"/>
    </dxf>
    <dxf>
      <numFmt numFmtId="170" formatCode="0.000"/>
    </dxf>
    <dxf>
      <numFmt numFmtId="2" formatCode="0.00"/>
    </dxf>
    <dxf>
      <fill>
        <patternFill patternType="solid">
          <bgColor theme="5"/>
        </patternFill>
      </fill>
    </dxf>
    <dxf>
      <font>
        <color theme="0"/>
      </font>
    </dxf>
    <dxf>
      <border>
        <left/>
        <top/>
        <bottom/>
      </border>
    </dxf>
    <dxf>
      <font>
        <b/>
      </font>
    </dxf>
    <dxf>
      <border>
        <left/>
        <right/>
        <top/>
        <bottom/>
      </border>
    </dxf>
    <dxf>
      <border>
        <left/>
        <right/>
        <top/>
        <bottom/>
      </border>
    </dxf>
    <dxf>
      <border>
        <top/>
      </border>
    </dxf>
    <dxf>
      <fill>
        <patternFill>
          <bgColor theme="5" tint="-0.249977111117893"/>
        </patternFill>
      </fill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/>
        <right/>
        <top/>
        <bottom/>
        <vertical/>
      </border>
    </dxf>
    <dxf>
      <border>
        <left/>
        <right/>
        <top/>
        <bottom/>
        <vertical/>
      </border>
    </dxf>
    <dxf>
      <border>
        <left/>
        <top/>
      </border>
    </dxf>
    <dxf>
      <border>
        <left/>
        <top/>
      </border>
    </dxf>
    <dxf>
      <border>
        <top/>
      </border>
    </dxf>
    <dxf>
      <border>
        <top/>
      </border>
    </dxf>
    <dxf>
      <border>
        <left/>
        <top/>
      </border>
    </dxf>
    <dxf>
      <border>
        <left/>
        <top/>
      </border>
    </dxf>
    <dxf>
      <border>
        <top/>
      </border>
    </dxf>
    <dxf>
      <border>
        <top/>
      </border>
    </dxf>
    <dxf>
      <border>
        <top/>
      </border>
    </dxf>
    <dxf>
      <border>
        <top/>
      </border>
    </dxf>
    <dxf>
      <border>
        <top/>
      </border>
    </dxf>
    <dxf>
      <border>
        <top/>
      </border>
    </dxf>
    <dxf>
      <border>
        <top/>
      </border>
    </dxf>
    <dxf>
      <border>
        <top/>
      </border>
    </dxf>
    <dxf>
      <border>
        <top/>
      </border>
    </dxf>
    <dxf>
      <border>
        <top/>
      </border>
    </dxf>
    <dxf>
      <border>
        <top/>
      </border>
    </dxf>
    <dxf>
      <border>
        <top/>
      </border>
    </dxf>
    <dxf>
      <border>
        <top/>
      </border>
    </dxf>
    <dxf>
      <border>
        <top/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fill>
        <patternFill>
          <bgColor theme="5"/>
        </patternFill>
      </fill>
    </dxf>
    <dxf>
      <border>
        <horizontal style="thin">
          <color indexed="64"/>
        </horizontal>
      </border>
    </dxf>
    <dxf>
      <border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  <horizontal style="thin">
          <color indexed="64"/>
        </horizontal>
      </border>
    </dxf>
    <dxf>
      <border>
        <top style="thin">
          <color indexed="64"/>
        </top>
        <horizontal style="thin">
          <color indexed="64"/>
        </horizontal>
      </border>
    </dxf>
    <dxf>
      <border>
        <vertical style="thin">
          <color indexed="64"/>
        </vertical>
        <horizontal style="thin">
          <color indexed="64"/>
        </horizontal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vertical style="thin">
          <color indexed="64"/>
        </vertical>
        <horizontal style="thin">
          <color indexed="64"/>
        </horizontal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right style="thin">
          <color indexed="64"/>
        </right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4" formatCode="0.00%"/>
    </dxf>
    <dxf>
      <numFmt numFmtId="13" formatCode="0%"/>
    </dxf>
    <dxf>
      <alignment horizontal="center" readingOrder="0"/>
    </dxf>
    <dxf>
      <numFmt numFmtId="164" formatCode="0.0%"/>
    </dxf>
    <dxf>
      <numFmt numFmtId="14" formatCode="0.00%"/>
    </dxf>
    <dxf>
      <numFmt numFmtId="13" formatCode="0%"/>
    </dxf>
    <dxf>
      <alignment horizontal="center" readingOrder="0"/>
    </dxf>
    <dxf>
      <numFmt numFmtId="164" formatCode="0.0%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readingOrder="0"/>
    </dxf>
    <dxf>
      <numFmt numFmtId="13" formatCode="0%"/>
    </dxf>
    <dxf>
      <alignment horizontal="center" readingOrder="0"/>
    </dxf>
    <dxf>
      <border>
        <right style="thin">
          <color indexed="64"/>
        </right>
      </border>
    </dxf>
    <dxf>
      <fill>
        <patternFill>
          <bgColor rgb="FFE84C22"/>
        </patternFill>
      </fill>
    </dxf>
    <dxf>
      <fill>
        <patternFill>
          <bgColor rgb="FFE84C22"/>
        </patternFill>
      </fill>
    </dxf>
    <dxf>
      <numFmt numFmtId="14" formatCode="0.00%"/>
    </dxf>
    <dxf>
      <font>
        <color theme="0"/>
      </font>
      <numFmt numFmtId="0" formatCode="General"/>
      <fill>
        <patternFill patternType="solid">
          <fgColor indexed="64"/>
          <bgColor rgb="FFE84C22"/>
        </patternFill>
      </fill>
    </dxf>
    <dxf>
      <alignment horizontal="center"/>
    </dxf>
    <dxf>
      <numFmt numFmtId="166" formatCode="0.0000000"/>
    </dxf>
    <dxf>
      <numFmt numFmtId="167" formatCode="0.000000"/>
    </dxf>
    <dxf>
      <numFmt numFmtId="168" formatCode="0.00000"/>
    </dxf>
    <dxf>
      <numFmt numFmtId="169" formatCode="0.0000"/>
    </dxf>
    <dxf>
      <numFmt numFmtId="170" formatCode="0.000"/>
    </dxf>
    <dxf>
      <numFmt numFmtId="2" formatCode="0.00"/>
    </dxf>
    <dxf>
      <numFmt numFmtId="171" formatCode="0.0"/>
    </dxf>
    <dxf>
      <numFmt numFmtId="2" formatCode="0.00"/>
    </dxf>
    <dxf>
      <numFmt numFmtId="166" formatCode="0.0000000"/>
    </dxf>
    <dxf>
      <numFmt numFmtId="167" formatCode="0.000000"/>
    </dxf>
    <dxf>
      <numFmt numFmtId="168" formatCode="0.00000"/>
    </dxf>
    <dxf>
      <numFmt numFmtId="169" formatCode="0.0000"/>
    </dxf>
    <dxf>
      <numFmt numFmtId="170" formatCode="0.000"/>
    </dxf>
    <dxf>
      <numFmt numFmtId="2" formatCode="0.00"/>
    </dxf>
    <dxf>
      <fill>
        <patternFill patternType="solid">
          <bgColor theme="5"/>
        </patternFill>
      </fill>
    </dxf>
    <dxf>
      <fill>
        <patternFill patternType="solid">
          <bgColor theme="5"/>
        </patternFill>
      </fill>
    </dxf>
    <dxf>
      <font>
        <color theme="0"/>
      </font>
    </dxf>
    <dxf>
      <font>
        <color theme="0"/>
      </font>
    </dxf>
    <dxf>
      <border>
        <left/>
        <top/>
        <bottom/>
      </border>
    </dxf>
    <dxf>
      <font>
        <b/>
      </font>
    </dxf>
    <dxf>
      <border>
        <right/>
        <top/>
        <bottom/>
      </border>
    </dxf>
    <dxf>
      <border>
        <right/>
        <top/>
        <bottom/>
      </border>
    </dxf>
    <dxf>
      <border>
        <left/>
        <right/>
        <top/>
      </border>
    </dxf>
    <dxf>
      <border>
        <left/>
        <right/>
        <top/>
      </border>
    </dxf>
    <dxf>
      <border>
        <left/>
        <right/>
        <top/>
      </border>
    </dxf>
    <dxf>
      <border>
        <left/>
        <right/>
        <top/>
      </border>
    </dxf>
    <dxf>
      <border>
        <left/>
        <right/>
        <top/>
      </border>
    </dxf>
    <dxf>
      <border>
        <top/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lor theme="0"/>
      </font>
      <fill>
        <patternFill patternType="solid">
          <fgColor indexed="64"/>
          <bgColor theme="5"/>
        </patternFill>
      </fill>
    </dxf>
    <dxf>
      <border>
        <horizontal style="thin">
          <color indexed="64"/>
        </horizontal>
      </border>
    </dxf>
    <dxf>
      <border>
        <vertical style="thin">
          <color indexed="64"/>
        </vertical>
      </border>
    </dxf>
    <dxf>
      <font>
        <b val="0"/>
      </font>
    </dxf>
    <dxf>
      <font>
        <b val="0"/>
      </font>
    </dxf>
    <dxf>
      <font>
        <b/>
      </font>
    </dxf>
    <dxf>
      <font>
        <b/>
      </font>
    </dxf>
    <dxf>
      <border>
        <vertical style="thin">
          <color indexed="64"/>
        </vertical>
      </border>
    </dxf>
    <dxf>
      <border>
        <vertical style="thin">
          <color indexed="64"/>
        </vertical>
      </border>
    </dxf>
    <dxf>
      <font>
        <b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/>
        <color theme="0"/>
      </font>
      <fill>
        <patternFill patternType="solid">
          <fgColor indexed="64"/>
          <bgColor theme="5"/>
        </patternFill>
      </fill>
    </dxf>
    <dxf>
      <numFmt numFmtId="13" formatCode="0%"/>
    </dxf>
    <dxf>
      <numFmt numFmtId="164" formatCode="0.0%"/>
    </dxf>
    <dxf>
      <numFmt numFmtId="14" formatCode="0.00%"/>
    </dxf>
    <dxf>
      <border>
        <right style="thin">
          <color indexed="64"/>
        </right>
        <vertical style="thin">
          <color indexed="64"/>
        </vertical>
        <horizontal style="thin">
          <color indexed="64"/>
        </horizontal>
      </border>
    </dxf>
    <dxf>
      <font>
        <color theme="0"/>
      </font>
      <fill>
        <patternFill patternType="solid">
          <fgColor indexed="64"/>
          <bgColor theme="5"/>
        </patternFill>
      </fill>
    </dxf>
    <dxf>
      <border>
        <vertical style="thin">
          <color indexed="64"/>
        </vertical>
      </border>
    </dxf>
    <dxf>
      <numFmt numFmtId="14" formatCode="0.00%"/>
    </dxf>
    <dxf>
      <border>
        <right style="thin">
          <color indexed="64"/>
        </right>
        <vertical style="thin">
          <color indexed="64"/>
        </vertical>
        <horizontal style="thin">
          <color indexed="64"/>
        </horizontal>
      </border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border>
        <vertical style="thin">
          <color indexed="64"/>
        </vertical>
        <horizontal style="thin">
          <color indexed="64"/>
        </horizontal>
      </border>
    </dxf>
    <dxf>
      <border>
        <vertical style="thin">
          <color indexed="64"/>
        </vertical>
        <horizontal style="thin">
          <color indexed="64"/>
        </horizontal>
      </border>
    </dxf>
    <dxf>
      <border>
        <vertical style="thin">
          <color indexed="64"/>
        </vertical>
        <horizontal style="thin">
          <color indexed="64"/>
        </horizontal>
      </border>
    </dxf>
    <dxf>
      <border>
        <vertical style="thin">
          <color indexed="64"/>
        </vertical>
        <horizontal style="thin">
          <color indexed="64"/>
        </horizontal>
      </border>
    </dxf>
    <dxf>
      <border>
        <vertical style="thin">
          <color indexed="64"/>
        </vertical>
        <horizontal style="thin">
          <color indexed="64"/>
        </horizontal>
      </border>
    </dxf>
    <dxf>
      <numFmt numFmtId="13" formatCode="0%"/>
    </dxf>
    <dxf>
      <numFmt numFmtId="172" formatCode="0.000%"/>
    </dxf>
    <dxf>
      <numFmt numFmtId="14" formatCode="0.00%"/>
    </dxf>
    <dxf>
      <numFmt numFmtId="164" formatCode="0.0%"/>
    </dxf>
    <dxf>
      <alignment horizontal="center" readingOrder="0"/>
    </dxf>
    <dxf>
      <numFmt numFmtId="164" formatCode="0.0%"/>
    </dxf>
    <dxf>
      <fill>
        <patternFill>
          <bgColor rgb="FFE84C22"/>
        </patternFill>
      </fill>
    </dxf>
    <dxf>
      <fill>
        <patternFill>
          <bgColor rgb="FFE84C22"/>
        </patternFill>
      </fill>
    </dxf>
    <dxf>
      <numFmt numFmtId="13" formatCode="0%"/>
    </dxf>
    <dxf>
      <font>
        <b/>
        <color theme="0"/>
      </font>
      <numFmt numFmtId="14" formatCode="0.00%"/>
      <fill>
        <patternFill patternType="solid">
          <fgColor indexed="64"/>
          <bgColor rgb="FFE84C22"/>
        </patternFill>
      </fill>
    </dxf>
    <dxf>
      <numFmt numFmtId="14" formatCode="0.00%"/>
    </dxf>
    <dxf>
      <numFmt numFmtId="14" formatCode="0.00%"/>
    </dxf>
    <dxf>
      <fill>
        <patternFill patternType="solid">
          <fgColor indexed="64"/>
          <bgColor rgb="FFE84C22"/>
        </patternFill>
      </fill>
      <alignment horizontal="center"/>
    </dxf>
    <dxf>
      <numFmt numFmtId="14" formatCode="0.00%"/>
    </dxf>
    <dxf>
      <numFmt numFmtId="0" formatCode="General"/>
      <fill>
        <patternFill patternType="solid">
          <fgColor indexed="64"/>
          <bgColor rgb="FFE84C22"/>
        </patternFill>
      </fill>
      <alignment horizontal="center"/>
    </dxf>
    <dxf>
      <alignment horizontal="center"/>
    </dxf>
    <dxf>
      <alignment vertical="center"/>
    </dxf>
    <dxf>
      <alignment horizontal="center"/>
    </dxf>
    <dxf>
      <alignment vertical="center"/>
    </dxf>
    <dxf>
      <numFmt numFmtId="166" formatCode="0.0000000"/>
    </dxf>
    <dxf>
      <numFmt numFmtId="167" formatCode="0.000000"/>
    </dxf>
    <dxf>
      <numFmt numFmtId="168" formatCode="0.00000"/>
    </dxf>
    <dxf>
      <numFmt numFmtId="169" formatCode="0.0000"/>
    </dxf>
    <dxf>
      <numFmt numFmtId="170" formatCode="0.000"/>
    </dxf>
    <dxf>
      <numFmt numFmtId="2" formatCode="0.00"/>
    </dxf>
    <dxf>
      <numFmt numFmtId="171" formatCode="0.0"/>
    </dxf>
    <dxf>
      <numFmt numFmtId="2" formatCode="0.00"/>
    </dxf>
    <dxf>
      <numFmt numFmtId="166" formatCode="0.0000000"/>
    </dxf>
    <dxf>
      <numFmt numFmtId="167" formatCode="0.000000"/>
    </dxf>
    <dxf>
      <numFmt numFmtId="168" formatCode="0.00000"/>
    </dxf>
    <dxf>
      <numFmt numFmtId="169" formatCode="0.0000"/>
    </dxf>
    <dxf>
      <numFmt numFmtId="170" formatCode="0.000"/>
    </dxf>
    <dxf>
      <numFmt numFmtId="2" formatCode="0.00"/>
    </dxf>
    <dxf>
      <fill>
        <patternFill patternType="solid">
          <bgColor theme="5"/>
        </patternFill>
      </fill>
    </dxf>
    <dxf>
      <font>
        <color theme="0"/>
      </font>
    </dxf>
    <dxf>
      <border>
        <left/>
        <top/>
        <bottom/>
      </border>
    </dxf>
    <dxf>
      <font>
        <b/>
      </font>
    </dxf>
    <dxf>
      <border>
        <right/>
        <top/>
        <bottom/>
      </border>
    </dxf>
    <dxf>
      <border>
        <right/>
        <top/>
        <bottom/>
      </border>
    </dxf>
    <dxf>
      <border>
        <left/>
        <right/>
        <top/>
      </border>
    </dxf>
    <dxf>
      <border>
        <left/>
        <right/>
        <top/>
      </border>
    </dxf>
    <dxf>
      <border>
        <left/>
        <right/>
        <top/>
      </border>
    </dxf>
    <dxf>
      <border>
        <left/>
        <right/>
        <top/>
      </border>
    </dxf>
    <dxf>
      <border>
        <top/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lor theme="0"/>
      </font>
      <fill>
        <patternFill patternType="solid">
          <fgColor indexed="64"/>
          <bgColor theme="5"/>
        </patternFill>
      </fill>
    </dxf>
    <dxf>
      <border>
        <horizontal style="thin">
          <color indexed="64"/>
        </horizontal>
      </border>
    </dxf>
    <dxf>
      <border>
        <vertical style="thin">
          <color indexed="64"/>
        </vertical>
      </border>
    </dxf>
    <dxf>
      <font>
        <b val="0"/>
      </font>
    </dxf>
    <dxf>
      <font>
        <b val="0"/>
      </font>
    </dxf>
    <dxf>
      <font>
        <b/>
      </font>
    </dxf>
    <dxf>
      <font>
        <b/>
      </font>
    </dxf>
    <dxf>
      <border>
        <vertical style="thin">
          <color indexed="64"/>
        </vertical>
      </border>
    </dxf>
    <dxf>
      <border>
        <vertical style="thin">
          <color indexed="64"/>
        </vertical>
      </border>
    </dxf>
    <dxf>
      <font>
        <b/>
      </font>
    </dxf>
    <dxf>
      <font>
        <b/>
        <color theme="0"/>
      </font>
      <fill>
        <patternFill patternType="solid">
          <fgColor indexed="64"/>
          <bgColor theme="5"/>
        </patternFill>
      </fill>
    </dxf>
    <dxf>
      <font>
        <color theme="0"/>
      </font>
      <fill>
        <patternFill patternType="solid">
          <fgColor indexed="64"/>
          <bgColor theme="5"/>
        </patternFill>
      </fill>
    </dxf>
    <dxf>
      <numFmt numFmtId="14" formatCode="0.00%"/>
    </dxf>
    <dxf>
      <numFmt numFmtId="14" formatCode="0.00%"/>
    </dxf>
    <dxf>
      <border>
        <left style="thin">
          <color indexed="64"/>
        </left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vertical style="thin">
          <color indexed="64"/>
        </vertical>
        <horizontal style="thin">
          <color indexed="64"/>
        </horizontal>
      </border>
    </dxf>
    <dxf>
      <font>
        <b/>
      </font>
    </dxf>
    <dxf>
      <font>
        <b/>
        <color theme="0"/>
      </font>
      <numFmt numFmtId="14" formatCode="0.00%"/>
      <fill>
        <patternFill patternType="solid">
          <fgColor indexed="64"/>
          <bgColor theme="5"/>
        </patternFill>
      </fill>
    </dxf>
    <dxf>
      <numFmt numFmtId="13" formatCode="0%"/>
    </dxf>
    <dxf>
      <numFmt numFmtId="164" formatCode="0.0%"/>
    </dxf>
    <dxf>
      <fill>
        <patternFill>
          <bgColor rgb="FFE94C22"/>
        </patternFill>
      </fill>
    </dxf>
    <dxf>
      <numFmt numFmtId="14" formatCode="0.00%"/>
    </dxf>
    <dxf>
      <numFmt numFmtId="14" formatCode="0.00%"/>
    </dxf>
    <dxf>
      <font>
        <b/>
        <color theme="0"/>
      </font>
      <fill>
        <patternFill patternType="solid">
          <fgColor indexed="64"/>
          <bgColor rgb="FFE94C22"/>
        </patternFill>
      </fill>
    </dxf>
    <dxf>
      <font>
        <b/>
        <color theme="0"/>
      </font>
      <numFmt numFmtId="14" formatCode="0.00%"/>
      <fill>
        <patternFill patternType="solid">
          <fgColor indexed="64"/>
          <bgColor rgb="FFE94C22"/>
        </patternFill>
      </fill>
    </dxf>
    <dxf>
      <numFmt numFmtId="14" formatCode="0.00%"/>
    </dxf>
    <dxf>
      <font>
        <b/>
        <color theme="0"/>
      </font>
      <fill>
        <patternFill patternType="solid">
          <fgColor indexed="64"/>
          <bgColor rgb="FFE94C22"/>
        </patternFill>
      </fill>
    </dxf>
    <dxf>
      <numFmt numFmtId="166" formatCode="0.0000000"/>
    </dxf>
    <dxf>
      <numFmt numFmtId="167" formatCode="0.000000"/>
    </dxf>
    <dxf>
      <numFmt numFmtId="168" formatCode="0.00000"/>
    </dxf>
    <dxf>
      <numFmt numFmtId="169" formatCode="0.0000"/>
    </dxf>
    <dxf>
      <numFmt numFmtId="170" formatCode="0.000"/>
    </dxf>
    <dxf>
      <numFmt numFmtId="2" formatCode="0.00"/>
    </dxf>
    <dxf>
      <numFmt numFmtId="171" formatCode="0.0"/>
    </dxf>
    <dxf>
      <numFmt numFmtId="2" formatCode="0.00"/>
    </dxf>
    <dxf>
      <numFmt numFmtId="166" formatCode="0.0000000"/>
    </dxf>
    <dxf>
      <numFmt numFmtId="167" formatCode="0.000000"/>
    </dxf>
    <dxf>
      <numFmt numFmtId="168" formatCode="0.00000"/>
    </dxf>
    <dxf>
      <numFmt numFmtId="169" formatCode="0.0000"/>
    </dxf>
    <dxf>
      <numFmt numFmtId="170" formatCode="0.000"/>
    </dxf>
    <dxf>
      <numFmt numFmtId="2" formatCode="0.00"/>
    </dxf>
    <dxf>
      <fill>
        <patternFill patternType="solid">
          <bgColor theme="5"/>
        </patternFill>
      </fill>
    </dxf>
    <dxf>
      <fill>
        <patternFill patternType="solid">
          <bgColor theme="5"/>
        </patternFill>
      </fill>
    </dxf>
    <dxf>
      <font>
        <color theme="0"/>
      </font>
    </dxf>
    <dxf>
      <font>
        <color theme="0"/>
      </font>
    </dxf>
    <dxf>
      <border>
        <left/>
        <top/>
        <bottom/>
      </border>
    </dxf>
    <dxf>
      <font>
        <b/>
      </font>
    </dxf>
    <dxf>
      <border>
        <right/>
        <top/>
        <bottom/>
      </border>
    </dxf>
    <dxf>
      <border>
        <right/>
        <top/>
        <bottom/>
      </border>
    </dxf>
    <dxf>
      <border>
        <left/>
        <right/>
        <top/>
      </border>
    </dxf>
    <dxf>
      <border>
        <left/>
        <right/>
        <top/>
      </border>
    </dxf>
    <dxf>
      <border>
        <left/>
        <right/>
        <top/>
      </border>
    </dxf>
    <dxf>
      <border>
        <left/>
        <right/>
        <top/>
      </border>
    </dxf>
    <dxf>
      <border>
        <left/>
        <right/>
        <top/>
      </border>
    </dxf>
    <dxf>
      <border>
        <top/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horizontal style="thin">
          <color indexed="64"/>
        </horizontal>
      </border>
    </dxf>
    <dxf>
      <font>
        <b val="0"/>
      </font>
    </dxf>
    <dxf>
      <font>
        <b val="0"/>
      </font>
    </dxf>
    <dxf>
      <font>
        <b/>
      </font>
    </dxf>
    <dxf>
      <font>
        <b/>
      </font>
    </dxf>
    <dxf>
      <border>
        <vertical style="thin">
          <color indexed="64"/>
        </vertical>
      </border>
    </dxf>
    <dxf>
      <border>
        <vertical style="thin">
          <color indexed="64"/>
        </vertical>
      </border>
    </dxf>
    <dxf>
      <font>
        <b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/>
        <color theme="0"/>
      </font>
      <fill>
        <patternFill patternType="solid">
          <fgColor indexed="64"/>
          <bgColor theme="5"/>
        </patternFill>
      </fill>
    </dxf>
    <dxf>
      <numFmt numFmtId="13" formatCode="0%"/>
    </dxf>
    <dxf>
      <numFmt numFmtId="164" formatCode="0.0%"/>
    </dxf>
    <dxf>
      <numFmt numFmtId="14" formatCode="0.00%"/>
    </dxf>
    <dxf>
      <border>
        <right style="thin">
          <color indexed="64"/>
        </right>
        <vertical style="thin">
          <color indexed="64"/>
        </vertical>
        <horizontal style="thin">
          <color indexed="64"/>
        </horizontal>
      </border>
    </dxf>
    <dxf>
      <font>
        <color theme="0"/>
      </font>
      <fill>
        <patternFill patternType="solid">
          <fgColor indexed="64"/>
          <bgColor theme="5"/>
        </patternFill>
      </fill>
    </dxf>
    <dxf>
      <border>
        <vertical style="thin">
          <color indexed="64"/>
        </vertical>
      </border>
    </dxf>
    <dxf>
      <numFmt numFmtId="14" formatCode="0.00%"/>
    </dxf>
    <dxf>
      <border>
        <right style="thin">
          <color indexed="64"/>
        </right>
        <vertical style="thin">
          <color indexed="64"/>
        </vertical>
        <horizontal style="thin">
          <color indexed="64"/>
        </horizontal>
      </border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border>
        <vertical style="thin">
          <color indexed="64"/>
        </vertical>
        <horizontal style="thin">
          <color indexed="64"/>
        </horizontal>
      </border>
    </dxf>
    <dxf>
      <border>
        <vertical style="thin">
          <color indexed="64"/>
        </vertical>
        <horizontal style="thin">
          <color indexed="64"/>
        </horizontal>
      </border>
    </dxf>
    <dxf>
      <border>
        <vertical style="thin">
          <color indexed="64"/>
        </vertical>
        <horizontal style="thin">
          <color indexed="64"/>
        </horizontal>
      </border>
    </dxf>
    <dxf>
      <border>
        <vertical style="thin">
          <color indexed="64"/>
        </vertical>
        <horizontal style="thin">
          <color indexed="64"/>
        </horizontal>
      </border>
    </dxf>
    <dxf>
      <border>
        <vertical style="thin">
          <color indexed="64"/>
        </vertical>
        <horizontal style="thin">
          <color indexed="64"/>
        </horizontal>
      </border>
    </dxf>
    <dxf>
      <numFmt numFmtId="13" formatCode="0%"/>
    </dxf>
    <dxf>
      <numFmt numFmtId="172" formatCode="0.000%"/>
    </dxf>
    <dxf>
      <numFmt numFmtId="14" formatCode="0.00%"/>
    </dxf>
    <dxf>
      <numFmt numFmtId="164" formatCode="0.0%"/>
    </dxf>
    <dxf>
      <alignment horizontal="center" readingOrder="0"/>
    </dxf>
    <dxf>
      <numFmt numFmtId="164" formatCode="0.0%"/>
    </dxf>
    <dxf>
      <numFmt numFmtId="13" formatCode="0%"/>
    </dxf>
    <dxf>
      <numFmt numFmtId="13" formatCode="0%"/>
    </dxf>
    <dxf>
      <numFmt numFmtId="166" formatCode="0.0000000"/>
    </dxf>
    <dxf>
      <numFmt numFmtId="167" formatCode="0.000000"/>
    </dxf>
    <dxf>
      <numFmt numFmtId="168" formatCode="0.00000"/>
    </dxf>
    <dxf>
      <numFmt numFmtId="169" formatCode="0.0000"/>
    </dxf>
    <dxf>
      <numFmt numFmtId="170" formatCode="0.000"/>
    </dxf>
    <dxf>
      <numFmt numFmtId="2" formatCode="0.00"/>
    </dxf>
    <dxf>
      <numFmt numFmtId="171" formatCode="0.0"/>
    </dxf>
    <dxf>
      <numFmt numFmtId="2" formatCode="0.00"/>
    </dxf>
    <dxf>
      <numFmt numFmtId="166" formatCode="0.0000000"/>
    </dxf>
    <dxf>
      <numFmt numFmtId="167" formatCode="0.000000"/>
    </dxf>
    <dxf>
      <numFmt numFmtId="168" formatCode="0.00000"/>
    </dxf>
    <dxf>
      <numFmt numFmtId="169" formatCode="0.0000"/>
    </dxf>
    <dxf>
      <numFmt numFmtId="170" formatCode="0.000"/>
    </dxf>
    <dxf>
      <numFmt numFmtId="2" formatCode="0.00"/>
    </dxf>
    <dxf>
      <fill>
        <patternFill patternType="solid">
          <bgColor theme="5"/>
        </patternFill>
      </fill>
    </dxf>
    <dxf>
      <fill>
        <patternFill patternType="solid">
          <bgColor theme="5"/>
        </patternFill>
      </fill>
    </dxf>
    <dxf>
      <font>
        <color theme="0"/>
      </font>
    </dxf>
    <dxf>
      <font>
        <color theme="0"/>
      </font>
    </dxf>
    <dxf>
      <border>
        <left/>
        <top/>
        <bottom/>
      </border>
    </dxf>
    <dxf>
      <font>
        <b/>
      </font>
    </dxf>
    <dxf>
      <border>
        <right/>
        <top/>
        <bottom/>
      </border>
    </dxf>
    <dxf>
      <border>
        <right/>
        <top/>
        <bottom/>
      </border>
    </dxf>
    <dxf>
      <border>
        <left/>
        <right/>
        <top/>
      </border>
    </dxf>
    <dxf>
      <border>
        <left/>
        <right/>
        <top/>
      </border>
    </dxf>
    <dxf>
      <border>
        <left/>
        <right/>
        <top/>
      </border>
    </dxf>
    <dxf>
      <border>
        <left/>
        <right/>
        <top/>
      </border>
    </dxf>
    <dxf>
      <border>
        <left/>
        <right/>
        <top/>
      </border>
    </dxf>
    <dxf>
      <border>
        <top/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lor theme="0"/>
      </font>
      <fill>
        <patternFill patternType="solid">
          <fgColor indexed="64"/>
          <bgColor theme="5"/>
        </patternFill>
      </fill>
    </dxf>
    <dxf>
      <border>
        <horizontal style="thin">
          <color indexed="64"/>
        </horizontal>
      </border>
    </dxf>
    <dxf>
      <border>
        <vertical style="thin">
          <color indexed="64"/>
        </vertical>
      </border>
    </dxf>
    <dxf>
      <font>
        <b val="0"/>
      </font>
    </dxf>
    <dxf>
      <font>
        <b val="0"/>
      </font>
    </dxf>
    <dxf>
      <font>
        <b/>
      </font>
    </dxf>
    <dxf>
      <font>
        <b/>
      </font>
    </dxf>
    <dxf>
      <border>
        <vertical style="thin">
          <color indexed="64"/>
        </vertical>
      </border>
    </dxf>
    <dxf>
      <border>
        <vertical style="thin">
          <color indexed="64"/>
        </vertical>
      </border>
    </dxf>
    <dxf>
      <font>
        <b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/>
        <color theme="0"/>
      </font>
      <fill>
        <patternFill patternType="solid">
          <fgColor indexed="64"/>
          <bgColor theme="5"/>
        </patternFill>
      </fill>
    </dxf>
    <dxf>
      <numFmt numFmtId="13" formatCode="0%"/>
    </dxf>
    <dxf>
      <numFmt numFmtId="164" formatCode="0.0%"/>
    </dxf>
    <dxf>
      <numFmt numFmtId="14" formatCode="0.00%"/>
    </dxf>
    <dxf>
      <border>
        <right style="thin">
          <color indexed="64"/>
        </right>
        <vertical style="thin">
          <color indexed="64"/>
        </vertical>
        <horizontal style="thin">
          <color indexed="64"/>
        </horizontal>
      </border>
    </dxf>
    <dxf>
      <font>
        <color theme="0"/>
      </font>
      <fill>
        <patternFill patternType="solid">
          <fgColor indexed="64"/>
          <bgColor theme="5"/>
        </patternFill>
      </fill>
    </dxf>
    <dxf>
      <border>
        <vertical style="thin">
          <color indexed="64"/>
        </vertical>
      </border>
    </dxf>
    <dxf>
      <numFmt numFmtId="14" formatCode="0.00%"/>
    </dxf>
    <dxf>
      <border>
        <right style="thin">
          <color indexed="64"/>
        </right>
        <vertical style="thin">
          <color indexed="64"/>
        </vertical>
        <horizontal style="thin">
          <color indexed="64"/>
        </horizontal>
      </border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border>
        <vertical style="thin">
          <color indexed="64"/>
        </vertical>
        <horizontal style="thin">
          <color indexed="64"/>
        </horizontal>
      </border>
    </dxf>
    <dxf>
      <border>
        <vertical style="thin">
          <color indexed="64"/>
        </vertical>
        <horizontal style="thin">
          <color indexed="64"/>
        </horizontal>
      </border>
    </dxf>
    <dxf>
      <border>
        <vertical style="thin">
          <color indexed="64"/>
        </vertical>
        <horizontal style="thin">
          <color indexed="64"/>
        </horizontal>
      </border>
    </dxf>
    <dxf>
      <border>
        <vertical style="thin">
          <color indexed="64"/>
        </vertical>
        <horizontal style="thin">
          <color indexed="64"/>
        </horizontal>
      </border>
    </dxf>
    <dxf>
      <border>
        <vertical style="thin">
          <color indexed="64"/>
        </vertical>
        <horizontal style="thin">
          <color indexed="64"/>
        </horizontal>
      </border>
    </dxf>
    <dxf>
      <numFmt numFmtId="13" formatCode="0%"/>
    </dxf>
    <dxf>
      <numFmt numFmtId="172" formatCode="0.000%"/>
    </dxf>
    <dxf>
      <numFmt numFmtId="14" formatCode="0.00%"/>
    </dxf>
    <dxf>
      <numFmt numFmtId="164" formatCode="0.0%"/>
    </dxf>
    <dxf>
      <alignment horizontal="center" readingOrder="0"/>
    </dxf>
    <dxf>
      <numFmt numFmtId="164" formatCode="0.0%"/>
    </dxf>
    <dxf>
      <numFmt numFmtId="13" formatCode="0%"/>
    </dxf>
    <dxf>
      <numFmt numFmtId="13" formatCode="0%"/>
    </dxf>
    <dxf>
      <font>
        <b/>
      </font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4" formatCode="0.00%"/>
    </dxf>
    <dxf>
      <numFmt numFmtId="14" formatCode="0.00%"/>
    </dxf>
    <dxf>
      <numFmt numFmtId="1" formatCode="0"/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alignment horizontal="right" readingOrder="0"/>
    </dxf>
    <dxf>
      <alignment horizontal="left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left" readingOrder="0"/>
    </dxf>
    <dxf>
      <alignment horizontal="center" readingOrder="0"/>
    </dxf>
    <dxf>
      <alignment horizontal="left" readingOrder="0"/>
    </dxf>
    <dxf>
      <alignment horizontal="center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font>
        <sz val="13"/>
      </font>
    </dxf>
    <dxf>
      <font>
        <b/>
        <sz val="13"/>
      </font>
    </dxf>
    <dxf>
      <font>
        <color rgb="FFFF0000"/>
      </font>
    </dxf>
    <dxf>
      <font>
        <color auto="1"/>
      </font>
    </dxf>
    <dxf>
      <fill>
        <patternFill patternType="solid">
          <bgColor theme="5" tint="0.79998168889431442"/>
        </patternFill>
      </fill>
    </dxf>
    <dxf>
      <fill>
        <patternFill patternType="solid">
          <bgColor theme="5"/>
        </patternFill>
      </fill>
    </dxf>
    <dxf>
      <fill>
        <patternFill>
          <bgColor theme="5" tint="0.7999816888943144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 patternType="solid">
          <bgColor theme="5" tint="0.79998168889431442"/>
        </patternFill>
      </fill>
    </dxf>
    <dxf>
      <fill>
        <patternFill patternType="solid">
          <bgColor rgb="FFE84C22"/>
        </patternFill>
      </fill>
    </dxf>
    <dxf>
      <fill>
        <patternFill patternType="solid">
          <bgColor rgb="FFE84C22"/>
        </patternFill>
      </fill>
    </dxf>
    <dxf>
      <fill>
        <patternFill patternType="solid">
          <bgColor rgb="FFE84C22"/>
        </patternFill>
      </fill>
    </dxf>
    <dxf>
      <fill>
        <patternFill patternType="solid">
          <bgColor rgb="FFE84C22"/>
        </patternFill>
      </fill>
    </dxf>
    <dxf>
      <font>
        <sz val="11"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sz val="11"/>
      </font>
    </dxf>
    <dxf>
      <font>
        <sz val="11"/>
      </font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b/>
      </font>
    </dxf>
    <dxf>
      <font>
        <sz val="12"/>
      </font>
    </dxf>
    <dxf>
      <font>
        <sz val="12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sz val="12"/>
      </font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readingOrder="0"/>
    </dxf>
    <dxf>
      <fill>
        <patternFill patternType="solid">
          <bgColor rgb="FFE84C22"/>
        </patternFill>
      </fill>
    </dxf>
    <dxf>
      <fill>
        <patternFill patternType="solid">
          <bgColor rgb="FFE84C22"/>
        </patternFill>
      </fill>
    </dxf>
    <dxf>
      <numFmt numFmtId="166" formatCode="0.0000000"/>
    </dxf>
    <dxf>
      <numFmt numFmtId="167" formatCode="0.000000"/>
    </dxf>
    <dxf>
      <numFmt numFmtId="168" formatCode="0.00000"/>
    </dxf>
    <dxf>
      <numFmt numFmtId="169" formatCode="0.0000"/>
    </dxf>
    <dxf>
      <numFmt numFmtId="170" formatCode="0.000"/>
    </dxf>
    <dxf>
      <numFmt numFmtId="2" formatCode="0.00"/>
    </dxf>
    <dxf>
      <numFmt numFmtId="171" formatCode="0.0"/>
    </dxf>
    <dxf>
      <numFmt numFmtId="2" formatCode="0.00"/>
    </dxf>
    <dxf>
      <numFmt numFmtId="166" formatCode="0.0000000"/>
    </dxf>
    <dxf>
      <numFmt numFmtId="167" formatCode="0.000000"/>
    </dxf>
    <dxf>
      <numFmt numFmtId="168" formatCode="0.00000"/>
    </dxf>
    <dxf>
      <numFmt numFmtId="169" formatCode="0.0000"/>
    </dxf>
    <dxf>
      <numFmt numFmtId="170" formatCode="0.000"/>
    </dxf>
    <dxf>
      <numFmt numFmtId="2" formatCode="0.00"/>
    </dxf>
    <dxf>
      <fill>
        <patternFill patternType="solid">
          <bgColor theme="5"/>
        </patternFill>
      </fill>
    </dxf>
    <dxf>
      <font>
        <color theme="0"/>
      </font>
    </dxf>
    <dxf>
      <border>
        <left/>
        <top/>
        <bottom/>
      </border>
    </dxf>
    <dxf>
      <font>
        <b/>
      </font>
    </dxf>
    <dxf>
      <border>
        <left/>
        <right/>
        <top/>
        <bottom/>
      </border>
    </dxf>
    <dxf>
      <border>
        <left/>
        <right/>
        <top/>
        <bottom/>
      </border>
    </dxf>
    <dxf>
      <border>
        <top/>
      </border>
    </dxf>
    <dxf>
      <fill>
        <patternFill>
          <bgColor theme="5" tint="-0.249977111117893"/>
        </patternFill>
      </fill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/>
        <right/>
        <top/>
        <bottom/>
        <vertical/>
      </border>
    </dxf>
    <dxf>
      <border>
        <left/>
        <right/>
        <top/>
        <bottom/>
        <vertical/>
      </border>
    </dxf>
    <dxf>
      <border>
        <left/>
        <top/>
      </border>
    </dxf>
    <dxf>
      <border>
        <left/>
        <top/>
      </border>
    </dxf>
    <dxf>
      <border>
        <top/>
      </border>
    </dxf>
    <dxf>
      <border>
        <top/>
      </border>
    </dxf>
    <dxf>
      <border>
        <left/>
        <top/>
      </border>
    </dxf>
    <dxf>
      <border>
        <left/>
        <top/>
      </border>
    </dxf>
    <dxf>
      <border>
        <top/>
      </border>
    </dxf>
    <dxf>
      <border>
        <top/>
      </border>
    </dxf>
    <dxf>
      <border>
        <top/>
      </border>
    </dxf>
    <dxf>
      <border>
        <top/>
      </border>
    </dxf>
    <dxf>
      <border>
        <top/>
      </border>
    </dxf>
    <dxf>
      <border>
        <top/>
      </border>
    </dxf>
    <dxf>
      <border>
        <top/>
      </border>
    </dxf>
    <dxf>
      <border>
        <top/>
      </border>
    </dxf>
    <dxf>
      <border>
        <top/>
      </border>
    </dxf>
    <dxf>
      <border>
        <top/>
      </border>
    </dxf>
    <dxf>
      <border>
        <top/>
      </border>
    </dxf>
    <dxf>
      <border>
        <top/>
      </border>
    </dxf>
    <dxf>
      <border>
        <top/>
      </border>
    </dxf>
    <dxf>
      <border>
        <top/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fill>
        <patternFill>
          <bgColor theme="5"/>
        </patternFill>
      </fill>
    </dxf>
    <dxf>
      <border>
        <horizontal style="thin">
          <color indexed="64"/>
        </horizontal>
      </border>
    </dxf>
    <dxf>
      <border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  <horizontal style="thin">
          <color indexed="64"/>
        </horizontal>
      </border>
    </dxf>
    <dxf>
      <border>
        <top style="thin">
          <color indexed="64"/>
        </top>
        <horizontal style="thin">
          <color indexed="64"/>
        </horizontal>
      </border>
    </dxf>
    <dxf>
      <border>
        <vertical style="thin">
          <color indexed="64"/>
        </vertical>
        <horizontal style="thin">
          <color indexed="64"/>
        </horizontal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vertical style="thin">
          <color indexed="64"/>
        </vertical>
        <horizontal style="thin">
          <color indexed="64"/>
        </horizontal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right style="thin">
          <color indexed="64"/>
        </right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4" formatCode="0.00%"/>
    </dxf>
    <dxf>
      <numFmt numFmtId="13" formatCode="0%"/>
    </dxf>
    <dxf>
      <alignment horizontal="center" readingOrder="0"/>
    </dxf>
    <dxf>
      <numFmt numFmtId="164" formatCode="0.0%"/>
    </dxf>
    <dxf>
      <numFmt numFmtId="14" formatCode="0.00%"/>
    </dxf>
    <dxf>
      <numFmt numFmtId="13" formatCode="0%"/>
    </dxf>
    <dxf>
      <alignment horizontal="center" readingOrder="0"/>
    </dxf>
    <dxf>
      <numFmt numFmtId="164" formatCode="0.0%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readingOrder="0"/>
    </dxf>
    <dxf>
      <numFmt numFmtId="13" formatCode="0%"/>
    </dxf>
    <dxf>
      <alignment horizontal="center" readingOrder="0"/>
    </dxf>
    <dxf>
      <border>
        <right style="thin">
          <color indexed="64"/>
        </right>
      </border>
    </dxf>
    <dxf>
      <fill>
        <patternFill>
          <bgColor rgb="FFE84C22"/>
        </patternFill>
      </fill>
    </dxf>
    <dxf>
      <fill>
        <patternFill>
          <bgColor rgb="FFE84C22"/>
        </patternFill>
      </fill>
    </dxf>
    <dxf>
      <numFmt numFmtId="14" formatCode="0.00%"/>
    </dxf>
    <dxf>
      <font>
        <color theme="0"/>
      </font>
      <numFmt numFmtId="0" formatCode="General"/>
      <fill>
        <patternFill patternType="solid">
          <fgColor indexed="64"/>
          <bgColor rgb="FFE84C22"/>
        </patternFill>
      </fill>
    </dxf>
    <dxf>
      <alignment horizontal="center"/>
    </dxf>
    <dxf>
      <numFmt numFmtId="166" formatCode="0.0000000"/>
    </dxf>
    <dxf>
      <numFmt numFmtId="167" formatCode="0.000000"/>
    </dxf>
    <dxf>
      <numFmt numFmtId="168" formatCode="0.00000"/>
    </dxf>
    <dxf>
      <numFmt numFmtId="169" formatCode="0.0000"/>
    </dxf>
    <dxf>
      <numFmt numFmtId="170" formatCode="0.000"/>
    </dxf>
    <dxf>
      <numFmt numFmtId="2" formatCode="0.00"/>
    </dxf>
    <dxf>
      <numFmt numFmtId="171" formatCode="0.0"/>
    </dxf>
    <dxf>
      <numFmt numFmtId="2" formatCode="0.00"/>
    </dxf>
    <dxf>
      <numFmt numFmtId="166" formatCode="0.0000000"/>
    </dxf>
    <dxf>
      <numFmt numFmtId="167" formatCode="0.000000"/>
    </dxf>
    <dxf>
      <numFmt numFmtId="168" formatCode="0.00000"/>
    </dxf>
    <dxf>
      <numFmt numFmtId="169" formatCode="0.0000"/>
    </dxf>
    <dxf>
      <numFmt numFmtId="170" formatCode="0.000"/>
    </dxf>
    <dxf>
      <numFmt numFmtId="2" formatCode="0.00"/>
    </dxf>
    <dxf>
      <fill>
        <patternFill patternType="solid">
          <bgColor theme="5"/>
        </patternFill>
      </fill>
    </dxf>
    <dxf>
      <fill>
        <patternFill patternType="solid">
          <bgColor theme="5"/>
        </patternFill>
      </fill>
    </dxf>
    <dxf>
      <font>
        <color theme="0"/>
      </font>
    </dxf>
    <dxf>
      <font>
        <color theme="0"/>
      </font>
    </dxf>
    <dxf>
      <border>
        <left/>
        <top/>
        <bottom/>
      </border>
    </dxf>
    <dxf>
      <font>
        <b/>
      </font>
    </dxf>
    <dxf>
      <border>
        <right/>
        <top/>
        <bottom/>
      </border>
    </dxf>
    <dxf>
      <border>
        <right/>
        <top/>
        <bottom/>
      </border>
    </dxf>
    <dxf>
      <border>
        <left/>
        <right/>
        <top/>
      </border>
    </dxf>
    <dxf>
      <border>
        <left/>
        <right/>
        <top/>
      </border>
    </dxf>
    <dxf>
      <border>
        <left/>
        <right/>
        <top/>
      </border>
    </dxf>
    <dxf>
      <border>
        <left/>
        <right/>
        <top/>
      </border>
    </dxf>
    <dxf>
      <border>
        <left/>
        <right/>
        <top/>
      </border>
    </dxf>
    <dxf>
      <border>
        <top/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lor theme="0"/>
      </font>
      <fill>
        <patternFill patternType="solid">
          <fgColor indexed="64"/>
          <bgColor theme="5"/>
        </patternFill>
      </fill>
    </dxf>
    <dxf>
      <border>
        <horizontal style="thin">
          <color indexed="64"/>
        </horizontal>
      </border>
    </dxf>
    <dxf>
      <border>
        <vertical style="thin">
          <color indexed="64"/>
        </vertical>
      </border>
    </dxf>
    <dxf>
      <font>
        <b val="0"/>
      </font>
    </dxf>
    <dxf>
      <font>
        <b val="0"/>
      </font>
    </dxf>
    <dxf>
      <font>
        <b/>
      </font>
    </dxf>
    <dxf>
      <font>
        <b/>
      </font>
    </dxf>
    <dxf>
      <border>
        <vertical style="thin">
          <color indexed="64"/>
        </vertical>
      </border>
    </dxf>
    <dxf>
      <border>
        <vertical style="thin">
          <color indexed="64"/>
        </vertical>
      </border>
    </dxf>
    <dxf>
      <font>
        <b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/>
        <color theme="0"/>
      </font>
      <fill>
        <patternFill patternType="solid">
          <fgColor indexed="64"/>
          <bgColor theme="5"/>
        </patternFill>
      </fill>
    </dxf>
    <dxf>
      <numFmt numFmtId="13" formatCode="0%"/>
    </dxf>
    <dxf>
      <numFmt numFmtId="164" formatCode="0.0%"/>
    </dxf>
    <dxf>
      <numFmt numFmtId="14" formatCode="0.00%"/>
    </dxf>
    <dxf>
      <border>
        <right style="thin">
          <color indexed="64"/>
        </right>
        <vertical style="thin">
          <color indexed="64"/>
        </vertical>
        <horizontal style="thin">
          <color indexed="64"/>
        </horizontal>
      </border>
    </dxf>
    <dxf>
      <font>
        <color theme="0"/>
      </font>
      <fill>
        <patternFill patternType="solid">
          <fgColor indexed="64"/>
          <bgColor theme="5"/>
        </patternFill>
      </fill>
    </dxf>
    <dxf>
      <border>
        <vertical style="thin">
          <color indexed="64"/>
        </vertical>
      </border>
    </dxf>
    <dxf>
      <numFmt numFmtId="14" formatCode="0.00%"/>
    </dxf>
    <dxf>
      <border>
        <right style="thin">
          <color indexed="64"/>
        </right>
        <vertical style="thin">
          <color indexed="64"/>
        </vertical>
        <horizontal style="thin">
          <color indexed="64"/>
        </horizontal>
      </border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border>
        <vertical style="thin">
          <color indexed="64"/>
        </vertical>
        <horizontal style="thin">
          <color indexed="64"/>
        </horizontal>
      </border>
    </dxf>
    <dxf>
      <border>
        <vertical style="thin">
          <color indexed="64"/>
        </vertical>
        <horizontal style="thin">
          <color indexed="64"/>
        </horizontal>
      </border>
    </dxf>
    <dxf>
      <border>
        <vertical style="thin">
          <color indexed="64"/>
        </vertical>
        <horizontal style="thin">
          <color indexed="64"/>
        </horizontal>
      </border>
    </dxf>
    <dxf>
      <border>
        <vertical style="thin">
          <color indexed="64"/>
        </vertical>
        <horizontal style="thin">
          <color indexed="64"/>
        </horizontal>
      </border>
    </dxf>
    <dxf>
      <border>
        <vertical style="thin">
          <color indexed="64"/>
        </vertical>
        <horizontal style="thin">
          <color indexed="64"/>
        </horizontal>
      </border>
    </dxf>
    <dxf>
      <numFmt numFmtId="13" formatCode="0%"/>
    </dxf>
    <dxf>
      <numFmt numFmtId="172" formatCode="0.000%"/>
    </dxf>
    <dxf>
      <numFmt numFmtId="14" formatCode="0.00%"/>
    </dxf>
    <dxf>
      <numFmt numFmtId="164" formatCode="0.0%"/>
    </dxf>
    <dxf>
      <alignment horizontal="center" readingOrder="0"/>
    </dxf>
    <dxf>
      <numFmt numFmtId="164" formatCode="0.0%"/>
    </dxf>
    <dxf>
      <fill>
        <patternFill>
          <bgColor rgb="FFE84C22"/>
        </patternFill>
      </fill>
    </dxf>
    <dxf>
      <fill>
        <patternFill>
          <bgColor rgb="FFE84C22"/>
        </patternFill>
      </fill>
    </dxf>
    <dxf>
      <numFmt numFmtId="13" formatCode="0%"/>
    </dxf>
    <dxf>
      <font>
        <b/>
        <color theme="0"/>
      </font>
      <numFmt numFmtId="14" formatCode="0.00%"/>
      <fill>
        <patternFill patternType="solid">
          <fgColor indexed="64"/>
          <bgColor rgb="FFE84C22"/>
        </patternFill>
      </fill>
    </dxf>
    <dxf>
      <numFmt numFmtId="14" formatCode="0.00%"/>
    </dxf>
    <dxf>
      <numFmt numFmtId="14" formatCode="0.00%"/>
    </dxf>
    <dxf>
      <fill>
        <patternFill patternType="solid">
          <fgColor indexed="64"/>
          <bgColor rgb="FFE84C22"/>
        </patternFill>
      </fill>
      <alignment horizontal="center"/>
    </dxf>
    <dxf>
      <numFmt numFmtId="14" formatCode="0.00%"/>
    </dxf>
    <dxf>
      <numFmt numFmtId="0" formatCode="General"/>
      <fill>
        <patternFill patternType="solid">
          <fgColor indexed="64"/>
          <bgColor rgb="FFE84C22"/>
        </patternFill>
      </fill>
      <alignment horizontal="center"/>
    </dxf>
    <dxf>
      <alignment horizontal="center"/>
    </dxf>
    <dxf>
      <alignment vertical="center"/>
    </dxf>
    <dxf>
      <alignment horizontal="center"/>
    </dxf>
    <dxf>
      <alignment vertical="center"/>
    </dxf>
    <dxf>
      <numFmt numFmtId="166" formatCode="0.0000000"/>
    </dxf>
    <dxf>
      <numFmt numFmtId="167" formatCode="0.000000"/>
    </dxf>
    <dxf>
      <numFmt numFmtId="168" formatCode="0.00000"/>
    </dxf>
    <dxf>
      <numFmt numFmtId="169" formatCode="0.0000"/>
    </dxf>
    <dxf>
      <numFmt numFmtId="170" formatCode="0.000"/>
    </dxf>
    <dxf>
      <numFmt numFmtId="2" formatCode="0.00"/>
    </dxf>
    <dxf>
      <numFmt numFmtId="171" formatCode="0.0"/>
    </dxf>
    <dxf>
      <numFmt numFmtId="2" formatCode="0.00"/>
    </dxf>
    <dxf>
      <numFmt numFmtId="166" formatCode="0.0000000"/>
    </dxf>
    <dxf>
      <numFmt numFmtId="167" formatCode="0.000000"/>
    </dxf>
    <dxf>
      <numFmt numFmtId="168" formatCode="0.00000"/>
    </dxf>
    <dxf>
      <numFmt numFmtId="169" formatCode="0.0000"/>
    </dxf>
    <dxf>
      <numFmt numFmtId="170" formatCode="0.000"/>
    </dxf>
    <dxf>
      <numFmt numFmtId="2" formatCode="0.00"/>
    </dxf>
    <dxf>
      <fill>
        <patternFill patternType="solid">
          <bgColor theme="5"/>
        </patternFill>
      </fill>
    </dxf>
    <dxf>
      <font>
        <color theme="0"/>
      </font>
    </dxf>
    <dxf>
      <border>
        <left/>
        <top/>
        <bottom/>
      </border>
    </dxf>
    <dxf>
      <font>
        <b/>
      </font>
    </dxf>
    <dxf>
      <border>
        <right/>
        <top/>
        <bottom/>
      </border>
    </dxf>
    <dxf>
      <border>
        <right/>
        <top/>
        <bottom/>
      </border>
    </dxf>
    <dxf>
      <border>
        <left/>
        <right/>
        <top/>
      </border>
    </dxf>
    <dxf>
      <border>
        <left/>
        <right/>
        <top/>
      </border>
    </dxf>
    <dxf>
      <border>
        <left/>
        <right/>
        <top/>
      </border>
    </dxf>
    <dxf>
      <border>
        <left/>
        <right/>
        <top/>
      </border>
    </dxf>
    <dxf>
      <border>
        <top/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lor theme="0"/>
      </font>
      <fill>
        <patternFill patternType="solid">
          <fgColor indexed="64"/>
          <bgColor theme="5"/>
        </patternFill>
      </fill>
    </dxf>
    <dxf>
      <border>
        <horizontal style="thin">
          <color indexed="64"/>
        </horizontal>
      </border>
    </dxf>
    <dxf>
      <border>
        <vertical style="thin">
          <color indexed="64"/>
        </vertical>
      </border>
    </dxf>
    <dxf>
      <font>
        <b val="0"/>
      </font>
    </dxf>
    <dxf>
      <font>
        <b val="0"/>
      </font>
    </dxf>
    <dxf>
      <font>
        <b/>
      </font>
    </dxf>
    <dxf>
      <font>
        <b/>
      </font>
    </dxf>
    <dxf>
      <border>
        <vertical style="thin">
          <color indexed="64"/>
        </vertical>
      </border>
    </dxf>
    <dxf>
      <border>
        <vertical style="thin">
          <color indexed="64"/>
        </vertical>
      </border>
    </dxf>
    <dxf>
      <font>
        <b/>
      </font>
    </dxf>
    <dxf>
      <font>
        <b/>
        <color theme="0"/>
      </font>
      <fill>
        <patternFill patternType="solid">
          <fgColor indexed="64"/>
          <bgColor theme="5"/>
        </patternFill>
      </fill>
    </dxf>
    <dxf>
      <font>
        <color theme="0"/>
      </font>
      <fill>
        <patternFill patternType="solid">
          <fgColor indexed="64"/>
          <bgColor theme="5"/>
        </patternFill>
      </fill>
    </dxf>
    <dxf>
      <numFmt numFmtId="14" formatCode="0.00%"/>
    </dxf>
    <dxf>
      <numFmt numFmtId="14" formatCode="0.00%"/>
    </dxf>
    <dxf>
      <border>
        <left style="thin">
          <color indexed="64"/>
        </left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vertical style="thin">
          <color indexed="64"/>
        </vertical>
        <horizontal style="thin">
          <color indexed="64"/>
        </horizontal>
      </border>
    </dxf>
    <dxf>
      <font>
        <b/>
      </font>
    </dxf>
    <dxf>
      <font>
        <b/>
        <color theme="0"/>
      </font>
      <numFmt numFmtId="14" formatCode="0.00%"/>
      <fill>
        <patternFill patternType="solid">
          <fgColor indexed="64"/>
          <bgColor theme="5"/>
        </patternFill>
      </fill>
    </dxf>
    <dxf>
      <numFmt numFmtId="13" formatCode="0%"/>
    </dxf>
    <dxf>
      <numFmt numFmtId="164" formatCode="0.0%"/>
    </dxf>
    <dxf>
      <fill>
        <patternFill>
          <bgColor rgb="FFE94C22"/>
        </patternFill>
      </fill>
    </dxf>
    <dxf>
      <numFmt numFmtId="14" formatCode="0.00%"/>
    </dxf>
    <dxf>
      <numFmt numFmtId="14" formatCode="0.00%"/>
    </dxf>
    <dxf>
      <font>
        <b/>
        <color theme="0"/>
      </font>
      <fill>
        <patternFill patternType="solid">
          <fgColor indexed="64"/>
          <bgColor rgb="FFE94C22"/>
        </patternFill>
      </fill>
    </dxf>
    <dxf>
      <font>
        <b/>
        <color theme="0"/>
      </font>
      <numFmt numFmtId="14" formatCode="0.00%"/>
      <fill>
        <patternFill patternType="solid">
          <fgColor indexed="64"/>
          <bgColor rgb="FFE94C22"/>
        </patternFill>
      </fill>
    </dxf>
    <dxf>
      <numFmt numFmtId="14" formatCode="0.00%"/>
    </dxf>
    <dxf>
      <font>
        <b/>
        <color theme="0"/>
      </font>
      <fill>
        <patternFill patternType="solid">
          <fgColor indexed="64"/>
          <bgColor rgb="FFE94C22"/>
        </patternFill>
      </fill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readingOrder="0"/>
    </dxf>
    <dxf>
      <fill>
        <patternFill patternType="solid">
          <bgColor rgb="FFE84C22"/>
        </patternFill>
      </fill>
    </dxf>
    <dxf>
      <fill>
        <patternFill patternType="solid">
          <bgColor rgb="FFE84C22"/>
        </patternFill>
      </fill>
    </dxf>
    <dxf>
      <numFmt numFmtId="166" formatCode="0.0000000"/>
    </dxf>
    <dxf>
      <numFmt numFmtId="167" formatCode="0.000000"/>
    </dxf>
    <dxf>
      <numFmt numFmtId="168" formatCode="0.00000"/>
    </dxf>
    <dxf>
      <numFmt numFmtId="169" formatCode="0.0000"/>
    </dxf>
    <dxf>
      <numFmt numFmtId="170" formatCode="0.000"/>
    </dxf>
    <dxf>
      <numFmt numFmtId="2" formatCode="0.00"/>
    </dxf>
    <dxf>
      <numFmt numFmtId="171" formatCode="0.0"/>
    </dxf>
    <dxf>
      <numFmt numFmtId="2" formatCode="0.00"/>
    </dxf>
    <dxf>
      <numFmt numFmtId="166" formatCode="0.0000000"/>
    </dxf>
    <dxf>
      <numFmt numFmtId="167" formatCode="0.000000"/>
    </dxf>
    <dxf>
      <numFmt numFmtId="168" formatCode="0.00000"/>
    </dxf>
    <dxf>
      <numFmt numFmtId="169" formatCode="0.0000"/>
    </dxf>
    <dxf>
      <numFmt numFmtId="170" formatCode="0.000"/>
    </dxf>
    <dxf>
      <numFmt numFmtId="2" formatCode="0.00"/>
    </dxf>
    <dxf>
      <fill>
        <patternFill patternType="solid">
          <bgColor theme="5"/>
        </patternFill>
      </fill>
    </dxf>
    <dxf>
      <fill>
        <patternFill patternType="solid">
          <bgColor theme="5"/>
        </patternFill>
      </fill>
    </dxf>
    <dxf>
      <font>
        <color theme="0"/>
      </font>
    </dxf>
    <dxf>
      <font>
        <color theme="0"/>
      </font>
    </dxf>
    <dxf>
      <border>
        <left/>
        <top/>
        <bottom/>
      </border>
    </dxf>
    <dxf>
      <font>
        <b/>
      </font>
    </dxf>
    <dxf>
      <border>
        <right/>
        <top/>
        <bottom/>
      </border>
    </dxf>
    <dxf>
      <border>
        <right/>
        <top/>
        <bottom/>
      </border>
    </dxf>
    <dxf>
      <border>
        <left/>
        <right/>
        <top/>
      </border>
    </dxf>
    <dxf>
      <border>
        <left/>
        <right/>
        <top/>
      </border>
    </dxf>
    <dxf>
      <border>
        <left/>
        <right/>
        <top/>
      </border>
    </dxf>
    <dxf>
      <border>
        <left/>
        <right/>
        <top/>
      </border>
    </dxf>
    <dxf>
      <border>
        <left/>
        <right/>
        <top/>
      </border>
    </dxf>
    <dxf>
      <border>
        <top/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lor theme="0"/>
      </font>
      <fill>
        <patternFill patternType="solid">
          <fgColor indexed="64"/>
          <bgColor theme="5"/>
        </patternFill>
      </fill>
    </dxf>
    <dxf>
      <border>
        <horizontal style="thin">
          <color indexed="64"/>
        </horizontal>
      </border>
    </dxf>
    <dxf>
      <border>
        <vertical style="thin">
          <color indexed="64"/>
        </vertical>
      </border>
    </dxf>
    <dxf>
      <font>
        <b val="0"/>
      </font>
    </dxf>
    <dxf>
      <font>
        <b val="0"/>
      </font>
    </dxf>
    <dxf>
      <font>
        <b/>
      </font>
    </dxf>
    <dxf>
      <font>
        <b/>
      </font>
    </dxf>
    <dxf>
      <border>
        <vertical style="thin">
          <color indexed="64"/>
        </vertical>
      </border>
    </dxf>
    <dxf>
      <border>
        <vertical style="thin">
          <color indexed="64"/>
        </vertical>
      </border>
    </dxf>
    <dxf>
      <font>
        <b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/>
        <color theme="0"/>
      </font>
      <fill>
        <patternFill patternType="solid">
          <fgColor indexed="64"/>
          <bgColor theme="5"/>
        </patternFill>
      </fill>
    </dxf>
    <dxf>
      <numFmt numFmtId="13" formatCode="0%"/>
    </dxf>
    <dxf>
      <numFmt numFmtId="164" formatCode="0.0%"/>
    </dxf>
    <dxf>
      <numFmt numFmtId="14" formatCode="0.00%"/>
    </dxf>
    <dxf>
      <border>
        <right style="thin">
          <color indexed="64"/>
        </right>
        <vertical style="thin">
          <color indexed="64"/>
        </vertical>
        <horizontal style="thin">
          <color indexed="64"/>
        </horizontal>
      </border>
    </dxf>
    <dxf>
      <font>
        <color theme="0"/>
      </font>
      <fill>
        <patternFill patternType="solid">
          <fgColor indexed="64"/>
          <bgColor theme="5"/>
        </patternFill>
      </fill>
    </dxf>
    <dxf>
      <border>
        <vertical style="thin">
          <color indexed="64"/>
        </vertical>
      </border>
    </dxf>
    <dxf>
      <numFmt numFmtId="14" formatCode="0.00%"/>
    </dxf>
    <dxf>
      <border>
        <right style="thin">
          <color indexed="64"/>
        </right>
        <vertical style="thin">
          <color indexed="64"/>
        </vertical>
        <horizontal style="thin">
          <color indexed="64"/>
        </horizontal>
      </border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border>
        <vertical style="thin">
          <color indexed="64"/>
        </vertical>
        <horizontal style="thin">
          <color indexed="64"/>
        </horizontal>
      </border>
    </dxf>
    <dxf>
      <border>
        <vertical style="thin">
          <color indexed="64"/>
        </vertical>
        <horizontal style="thin">
          <color indexed="64"/>
        </horizontal>
      </border>
    </dxf>
    <dxf>
      <border>
        <vertical style="thin">
          <color indexed="64"/>
        </vertical>
        <horizontal style="thin">
          <color indexed="64"/>
        </horizontal>
      </border>
    </dxf>
    <dxf>
      <border>
        <vertical style="thin">
          <color indexed="64"/>
        </vertical>
        <horizontal style="thin">
          <color indexed="64"/>
        </horizontal>
      </border>
    </dxf>
    <dxf>
      <border>
        <vertical style="thin">
          <color indexed="64"/>
        </vertical>
        <horizontal style="thin">
          <color indexed="64"/>
        </horizontal>
      </border>
    </dxf>
    <dxf>
      <numFmt numFmtId="13" formatCode="0%"/>
    </dxf>
    <dxf>
      <numFmt numFmtId="172" formatCode="0.000%"/>
    </dxf>
    <dxf>
      <numFmt numFmtId="14" formatCode="0.00%"/>
    </dxf>
    <dxf>
      <numFmt numFmtId="164" formatCode="0.0%"/>
    </dxf>
    <dxf>
      <alignment horizontal="center" readingOrder="0"/>
    </dxf>
    <dxf>
      <numFmt numFmtId="164" formatCode="0.0%"/>
    </dxf>
    <dxf>
      <fill>
        <patternFill>
          <bgColor rgb="FFE84C22"/>
        </patternFill>
      </fill>
    </dxf>
    <dxf>
      <fill>
        <patternFill>
          <bgColor rgb="FFE84C22"/>
        </patternFill>
      </fill>
    </dxf>
    <dxf>
      <numFmt numFmtId="13" formatCode="0%"/>
    </dxf>
    <dxf>
      <font>
        <b/>
        <color theme="0"/>
      </font>
      <numFmt numFmtId="14" formatCode="0.00%"/>
      <fill>
        <patternFill patternType="solid">
          <fgColor indexed="64"/>
          <bgColor rgb="FFE84C22"/>
        </patternFill>
      </fill>
    </dxf>
    <dxf>
      <numFmt numFmtId="14" formatCode="0.00%"/>
    </dxf>
    <dxf>
      <numFmt numFmtId="14" formatCode="0.00%"/>
    </dxf>
    <dxf>
      <fill>
        <patternFill patternType="solid">
          <fgColor indexed="64"/>
          <bgColor rgb="FFE84C22"/>
        </patternFill>
      </fill>
      <alignment horizontal="center"/>
    </dxf>
    <dxf>
      <numFmt numFmtId="14" formatCode="0.00%"/>
    </dxf>
    <dxf>
      <numFmt numFmtId="0" formatCode="General"/>
      <fill>
        <patternFill patternType="solid">
          <fgColor indexed="64"/>
          <bgColor rgb="FFE84C22"/>
        </patternFill>
      </fill>
      <alignment horizontal="center"/>
    </dxf>
    <dxf>
      <alignment horizontal="center"/>
    </dxf>
    <dxf>
      <alignment vertical="center"/>
    </dxf>
    <dxf>
      <alignment horizontal="center"/>
    </dxf>
    <dxf>
      <alignment vertical="center"/>
    </dxf>
    <dxf>
      <numFmt numFmtId="166" formatCode="0.0000000"/>
    </dxf>
    <dxf>
      <numFmt numFmtId="167" formatCode="0.000000"/>
    </dxf>
    <dxf>
      <numFmt numFmtId="168" formatCode="0.00000"/>
    </dxf>
    <dxf>
      <numFmt numFmtId="169" formatCode="0.0000"/>
    </dxf>
    <dxf>
      <numFmt numFmtId="170" formatCode="0.000"/>
    </dxf>
    <dxf>
      <numFmt numFmtId="2" formatCode="0.00"/>
    </dxf>
    <dxf>
      <numFmt numFmtId="171" formatCode="0.0"/>
    </dxf>
    <dxf>
      <numFmt numFmtId="2" formatCode="0.00"/>
    </dxf>
    <dxf>
      <numFmt numFmtId="166" formatCode="0.0000000"/>
    </dxf>
    <dxf>
      <numFmt numFmtId="167" formatCode="0.000000"/>
    </dxf>
    <dxf>
      <numFmt numFmtId="168" formatCode="0.00000"/>
    </dxf>
    <dxf>
      <numFmt numFmtId="169" formatCode="0.0000"/>
    </dxf>
    <dxf>
      <numFmt numFmtId="170" formatCode="0.000"/>
    </dxf>
    <dxf>
      <numFmt numFmtId="2" formatCode="0.00"/>
    </dxf>
    <dxf>
      <fill>
        <patternFill patternType="solid">
          <bgColor theme="5"/>
        </patternFill>
      </fill>
    </dxf>
    <dxf>
      <font>
        <color theme="0"/>
      </font>
    </dxf>
    <dxf>
      <border>
        <left/>
        <top/>
        <bottom/>
      </border>
    </dxf>
    <dxf>
      <font>
        <b/>
      </font>
    </dxf>
    <dxf>
      <border>
        <right/>
        <top/>
        <bottom/>
      </border>
    </dxf>
    <dxf>
      <border>
        <right/>
        <top/>
        <bottom/>
      </border>
    </dxf>
    <dxf>
      <border>
        <left/>
        <right/>
        <top/>
      </border>
    </dxf>
    <dxf>
      <border>
        <left/>
        <right/>
        <top/>
      </border>
    </dxf>
    <dxf>
      <border>
        <left/>
        <right/>
        <top/>
      </border>
    </dxf>
    <dxf>
      <border>
        <left/>
        <right/>
        <top/>
      </border>
    </dxf>
    <dxf>
      <border>
        <top/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lor theme="0"/>
      </font>
      <fill>
        <patternFill patternType="solid">
          <fgColor indexed="64"/>
          <bgColor theme="5"/>
        </patternFill>
      </fill>
    </dxf>
    <dxf>
      <border>
        <horizontal style="thin">
          <color indexed="64"/>
        </horizontal>
      </border>
    </dxf>
    <dxf>
      <border>
        <vertical style="thin">
          <color indexed="64"/>
        </vertical>
      </border>
    </dxf>
    <dxf>
      <font>
        <b val="0"/>
      </font>
    </dxf>
    <dxf>
      <font>
        <b val="0"/>
      </font>
    </dxf>
    <dxf>
      <font>
        <b/>
      </font>
    </dxf>
    <dxf>
      <font>
        <b/>
      </font>
    </dxf>
    <dxf>
      <border>
        <vertical style="thin">
          <color indexed="64"/>
        </vertical>
      </border>
    </dxf>
    <dxf>
      <border>
        <vertical style="thin">
          <color indexed="64"/>
        </vertical>
      </border>
    </dxf>
    <dxf>
      <font>
        <b/>
      </font>
    </dxf>
    <dxf>
      <font>
        <b/>
        <color theme="0"/>
      </font>
      <fill>
        <patternFill patternType="solid">
          <fgColor indexed="64"/>
          <bgColor theme="5"/>
        </patternFill>
      </fill>
    </dxf>
    <dxf>
      <font>
        <color theme="0"/>
      </font>
      <fill>
        <patternFill patternType="solid">
          <fgColor indexed="64"/>
          <bgColor theme="5"/>
        </patternFill>
      </fill>
    </dxf>
    <dxf>
      <numFmt numFmtId="14" formatCode="0.00%"/>
    </dxf>
    <dxf>
      <numFmt numFmtId="14" formatCode="0.00%"/>
    </dxf>
    <dxf>
      <border>
        <left style="thin">
          <color indexed="64"/>
        </left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vertical style="thin">
          <color indexed="64"/>
        </vertical>
        <horizontal style="thin">
          <color indexed="64"/>
        </horizontal>
      </border>
    </dxf>
    <dxf>
      <font>
        <b/>
      </font>
    </dxf>
    <dxf>
      <font>
        <b/>
        <color theme="0"/>
      </font>
      <numFmt numFmtId="14" formatCode="0.00%"/>
      <fill>
        <patternFill patternType="solid">
          <fgColor indexed="64"/>
          <bgColor theme="5"/>
        </patternFill>
      </fill>
    </dxf>
    <dxf>
      <numFmt numFmtId="13" formatCode="0%"/>
    </dxf>
    <dxf>
      <numFmt numFmtId="164" formatCode="0.0%"/>
    </dxf>
    <dxf>
      <fill>
        <patternFill>
          <bgColor rgb="FFE94C22"/>
        </patternFill>
      </fill>
    </dxf>
    <dxf>
      <numFmt numFmtId="14" formatCode="0.00%"/>
    </dxf>
    <dxf>
      <numFmt numFmtId="14" formatCode="0.00%"/>
    </dxf>
    <dxf>
      <font>
        <b/>
        <color theme="0"/>
      </font>
      <fill>
        <patternFill patternType="solid">
          <fgColor indexed="64"/>
          <bgColor rgb="FFE94C22"/>
        </patternFill>
      </fill>
    </dxf>
    <dxf>
      <font>
        <b/>
        <color theme="0"/>
      </font>
      <numFmt numFmtId="14" formatCode="0.00%"/>
      <fill>
        <patternFill patternType="solid">
          <fgColor indexed="64"/>
          <bgColor rgb="FFE94C22"/>
        </patternFill>
      </fill>
    </dxf>
    <dxf>
      <numFmt numFmtId="14" formatCode="0.00%"/>
    </dxf>
    <dxf>
      <font>
        <b/>
        <color theme="0"/>
      </font>
      <fill>
        <patternFill patternType="solid">
          <fgColor indexed="64"/>
          <bgColor rgb="FFE94C22"/>
        </patternFill>
      </fill>
    </dxf>
    <dxf>
      <numFmt numFmtId="166" formatCode="0.0000000"/>
    </dxf>
    <dxf>
      <numFmt numFmtId="167" formatCode="0.000000"/>
    </dxf>
    <dxf>
      <numFmt numFmtId="168" formatCode="0.00000"/>
    </dxf>
    <dxf>
      <numFmt numFmtId="169" formatCode="0.0000"/>
    </dxf>
    <dxf>
      <numFmt numFmtId="170" formatCode="0.000"/>
    </dxf>
    <dxf>
      <numFmt numFmtId="2" formatCode="0.00"/>
    </dxf>
    <dxf>
      <numFmt numFmtId="171" formatCode="0.0"/>
    </dxf>
    <dxf>
      <numFmt numFmtId="2" formatCode="0.00"/>
    </dxf>
    <dxf>
      <numFmt numFmtId="166" formatCode="0.0000000"/>
    </dxf>
    <dxf>
      <numFmt numFmtId="167" formatCode="0.000000"/>
    </dxf>
    <dxf>
      <numFmt numFmtId="168" formatCode="0.00000"/>
    </dxf>
    <dxf>
      <numFmt numFmtId="169" formatCode="0.0000"/>
    </dxf>
    <dxf>
      <numFmt numFmtId="170" formatCode="0.000"/>
    </dxf>
    <dxf>
      <numFmt numFmtId="2" formatCode="0.00"/>
    </dxf>
    <dxf>
      <fill>
        <patternFill patternType="solid">
          <bgColor theme="5"/>
        </patternFill>
      </fill>
    </dxf>
    <dxf>
      <font>
        <color theme="0"/>
      </font>
    </dxf>
    <dxf>
      <border>
        <left/>
        <top/>
        <bottom/>
      </border>
    </dxf>
    <dxf>
      <font>
        <b/>
      </font>
    </dxf>
    <dxf>
      <border>
        <left/>
        <right/>
        <top/>
        <bottom/>
      </border>
    </dxf>
    <dxf>
      <border>
        <left/>
        <right/>
        <top/>
        <bottom/>
      </border>
    </dxf>
    <dxf>
      <border>
        <top/>
      </border>
    </dxf>
    <dxf>
      <fill>
        <patternFill>
          <bgColor theme="5" tint="-0.249977111117893"/>
        </patternFill>
      </fill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/>
        <right/>
        <top/>
        <bottom/>
        <vertical/>
      </border>
    </dxf>
    <dxf>
      <border>
        <left/>
        <right/>
        <top/>
        <bottom/>
        <vertical/>
      </border>
    </dxf>
    <dxf>
      <border>
        <left/>
        <top/>
      </border>
    </dxf>
    <dxf>
      <border>
        <left/>
        <top/>
      </border>
    </dxf>
    <dxf>
      <border>
        <top/>
      </border>
    </dxf>
    <dxf>
      <border>
        <top/>
      </border>
    </dxf>
    <dxf>
      <border>
        <left/>
        <top/>
      </border>
    </dxf>
    <dxf>
      <border>
        <left/>
        <top/>
      </border>
    </dxf>
    <dxf>
      <border>
        <top/>
      </border>
    </dxf>
    <dxf>
      <border>
        <top/>
      </border>
    </dxf>
    <dxf>
      <border>
        <top/>
      </border>
    </dxf>
    <dxf>
      <border>
        <top/>
      </border>
    </dxf>
    <dxf>
      <border>
        <top/>
      </border>
    </dxf>
    <dxf>
      <border>
        <top/>
      </border>
    </dxf>
    <dxf>
      <border>
        <top/>
      </border>
    </dxf>
    <dxf>
      <border>
        <top/>
      </border>
    </dxf>
    <dxf>
      <border>
        <top/>
      </border>
    </dxf>
    <dxf>
      <border>
        <top/>
      </border>
    </dxf>
    <dxf>
      <border>
        <top/>
      </border>
    </dxf>
    <dxf>
      <border>
        <top/>
      </border>
    </dxf>
    <dxf>
      <border>
        <top/>
      </border>
    </dxf>
    <dxf>
      <border>
        <top/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fill>
        <patternFill>
          <bgColor theme="5"/>
        </patternFill>
      </fill>
    </dxf>
    <dxf>
      <border>
        <horizontal style="thin">
          <color indexed="64"/>
        </horizontal>
      </border>
    </dxf>
    <dxf>
      <border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  <horizontal style="thin">
          <color indexed="64"/>
        </horizontal>
      </border>
    </dxf>
    <dxf>
      <border>
        <top style="thin">
          <color indexed="64"/>
        </top>
        <horizontal style="thin">
          <color indexed="64"/>
        </horizontal>
      </border>
    </dxf>
    <dxf>
      <border>
        <vertical style="thin">
          <color indexed="64"/>
        </vertical>
        <horizontal style="thin">
          <color indexed="64"/>
        </horizontal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vertical style="thin">
          <color indexed="64"/>
        </vertical>
        <horizontal style="thin">
          <color indexed="64"/>
        </horizontal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right style="thin">
          <color indexed="64"/>
        </right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4" formatCode="0.00%"/>
    </dxf>
    <dxf>
      <numFmt numFmtId="13" formatCode="0%"/>
    </dxf>
    <dxf>
      <alignment horizontal="center" readingOrder="0"/>
    </dxf>
    <dxf>
      <numFmt numFmtId="164" formatCode="0.0%"/>
    </dxf>
    <dxf>
      <numFmt numFmtId="14" formatCode="0.00%"/>
    </dxf>
    <dxf>
      <numFmt numFmtId="13" formatCode="0%"/>
    </dxf>
    <dxf>
      <alignment horizontal="center" readingOrder="0"/>
    </dxf>
    <dxf>
      <numFmt numFmtId="164" formatCode="0.0%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readingOrder="0"/>
    </dxf>
    <dxf>
      <numFmt numFmtId="13" formatCode="0%"/>
    </dxf>
    <dxf>
      <alignment horizontal="center" readingOrder="0"/>
    </dxf>
    <dxf>
      <border>
        <right style="thin">
          <color indexed="64"/>
        </right>
      </border>
    </dxf>
    <dxf>
      <fill>
        <patternFill>
          <bgColor rgb="FFE84C22"/>
        </patternFill>
      </fill>
    </dxf>
    <dxf>
      <fill>
        <patternFill>
          <bgColor rgb="FFE84C22"/>
        </patternFill>
      </fill>
    </dxf>
    <dxf>
      <numFmt numFmtId="14" formatCode="0.00%"/>
    </dxf>
    <dxf>
      <font>
        <color theme="0"/>
      </font>
      <numFmt numFmtId="0" formatCode="General"/>
      <fill>
        <patternFill patternType="solid">
          <fgColor indexed="64"/>
          <bgColor rgb="FFE84C22"/>
        </patternFill>
      </fill>
    </dxf>
    <dxf>
      <alignment horizontal="center"/>
    </dxf>
    <dxf>
      <font>
        <b/>
      </font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4" formatCode="0.00%"/>
    </dxf>
    <dxf>
      <numFmt numFmtId="14" formatCode="0.00%"/>
    </dxf>
    <dxf>
      <numFmt numFmtId="1" formatCode="0"/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alignment horizontal="right" readingOrder="0"/>
    </dxf>
    <dxf>
      <alignment horizontal="left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left" readingOrder="0"/>
    </dxf>
    <dxf>
      <alignment horizontal="center" readingOrder="0"/>
    </dxf>
    <dxf>
      <alignment horizontal="left" readingOrder="0"/>
    </dxf>
    <dxf>
      <alignment horizontal="center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font>
        <sz val="13"/>
      </font>
    </dxf>
    <dxf>
      <font>
        <b/>
        <sz val="13"/>
      </font>
    </dxf>
    <dxf>
      <font>
        <color rgb="FFFF0000"/>
      </font>
    </dxf>
    <dxf>
      <font>
        <color auto="1"/>
      </font>
    </dxf>
    <dxf>
      <fill>
        <patternFill patternType="solid">
          <bgColor theme="5" tint="0.79998168889431442"/>
        </patternFill>
      </fill>
    </dxf>
    <dxf>
      <fill>
        <patternFill patternType="solid">
          <bgColor theme="5"/>
        </patternFill>
      </fill>
    </dxf>
    <dxf>
      <fill>
        <patternFill>
          <bgColor theme="5" tint="0.7999816888943144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 patternType="solid">
          <bgColor theme="5" tint="0.79998168889431442"/>
        </patternFill>
      </fill>
    </dxf>
    <dxf>
      <fill>
        <patternFill patternType="solid">
          <bgColor rgb="FFE84C22"/>
        </patternFill>
      </fill>
    </dxf>
    <dxf>
      <fill>
        <patternFill patternType="solid">
          <bgColor rgb="FFE84C22"/>
        </patternFill>
      </fill>
    </dxf>
    <dxf>
      <fill>
        <patternFill patternType="solid">
          <bgColor rgb="FFE84C22"/>
        </patternFill>
      </fill>
    </dxf>
    <dxf>
      <fill>
        <patternFill patternType="solid">
          <bgColor rgb="FFE84C22"/>
        </patternFill>
      </fill>
    </dxf>
    <dxf>
      <font>
        <sz val="11"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sz val="11"/>
      </font>
    </dxf>
    <dxf>
      <font>
        <sz val="11"/>
      </font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b/>
      </font>
    </dxf>
    <dxf>
      <font>
        <sz val="12"/>
      </font>
    </dxf>
    <dxf>
      <font>
        <sz val="12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sz val="12"/>
      </font>
    </dxf>
    <dxf>
      <numFmt numFmtId="166" formatCode="0.0000000"/>
    </dxf>
    <dxf>
      <numFmt numFmtId="167" formatCode="0.000000"/>
    </dxf>
    <dxf>
      <numFmt numFmtId="168" formatCode="0.00000"/>
    </dxf>
    <dxf>
      <numFmt numFmtId="169" formatCode="0.0000"/>
    </dxf>
    <dxf>
      <numFmt numFmtId="170" formatCode="0.000"/>
    </dxf>
    <dxf>
      <numFmt numFmtId="2" formatCode="0.00"/>
    </dxf>
    <dxf>
      <numFmt numFmtId="171" formatCode="0.0"/>
    </dxf>
    <dxf>
      <numFmt numFmtId="2" formatCode="0.00"/>
    </dxf>
    <dxf>
      <numFmt numFmtId="166" formatCode="0.0000000"/>
    </dxf>
    <dxf>
      <numFmt numFmtId="167" formatCode="0.000000"/>
    </dxf>
    <dxf>
      <numFmt numFmtId="168" formatCode="0.00000"/>
    </dxf>
    <dxf>
      <numFmt numFmtId="169" formatCode="0.0000"/>
    </dxf>
    <dxf>
      <numFmt numFmtId="170" formatCode="0.000"/>
    </dxf>
    <dxf>
      <numFmt numFmtId="2" formatCode="0.00"/>
    </dxf>
    <dxf>
      <fill>
        <patternFill patternType="solid">
          <bgColor theme="5"/>
        </patternFill>
      </fill>
    </dxf>
    <dxf>
      <fill>
        <patternFill patternType="solid">
          <bgColor theme="5"/>
        </patternFill>
      </fill>
    </dxf>
    <dxf>
      <font>
        <color theme="0"/>
      </font>
    </dxf>
    <dxf>
      <font>
        <color theme="0"/>
      </font>
    </dxf>
    <dxf>
      <border>
        <left/>
        <top/>
        <bottom/>
      </border>
    </dxf>
    <dxf>
      <font>
        <b/>
      </font>
    </dxf>
    <dxf>
      <border>
        <right/>
        <top/>
        <bottom/>
      </border>
    </dxf>
    <dxf>
      <border>
        <right/>
        <top/>
        <bottom/>
      </border>
    </dxf>
    <dxf>
      <border>
        <left/>
        <right/>
        <top/>
      </border>
    </dxf>
    <dxf>
      <border>
        <left/>
        <right/>
        <top/>
      </border>
    </dxf>
    <dxf>
      <border>
        <left/>
        <right/>
        <top/>
      </border>
    </dxf>
    <dxf>
      <border>
        <left/>
        <right/>
        <top/>
      </border>
    </dxf>
    <dxf>
      <border>
        <left/>
        <right/>
        <top/>
      </border>
    </dxf>
    <dxf>
      <border>
        <top/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horizontal style="thin">
          <color indexed="64"/>
        </horizontal>
      </border>
    </dxf>
    <dxf>
      <font>
        <b val="0"/>
      </font>
    </dxf>
    <dxf>
      <font>
        <b val="0"/>
      </font>
    </dxf>
    <dxf>
      <font>
        <b/>
      </font>
    </dxf>
    <dxf>
      <font>
        <b/>
      </font>
    </dxf>
    <dxf>
      <border>
        <vertical style="thin">
          <color indexed="64"/>
        </vertical>
      </border>
    </dxf>
    <dxf>
      <border>
        <vertical style="thin">
          <color indexed="64"/>
        </vertical>
      </border>
    </dxf>
    <dxf>
      <font>
        <b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/>
        <color theme="0"/>
      </font>
      <fill>
        <patternFill patternType="solid">
          <fgColor indexed="64"/>
          <bgColor theme="5"/>
        </patternFill>
      </fill>
    </dxf>
    <dxf>
      <numFmt numFmtId="13" formatCode="0%"/>
    </dxf>
    <dxf>
      <numFmt numFmtId="164" formatCode="0.0%"/>
    </dxf>
    <dxf>
      <numFmt numFmtId="14" formatCode="0.00%"/>
    </dxf>
    <dxf>
      <border>
        <right style="thin">
          <color indexed="64"/>
        </right>
        <vertical style="thin">
          <color indexed="64"/>
        </vertical>
        <horizontal style="thin">
          <color indexed="64"/>
        </horizontal>
      </border>
    </dxf>
    <dxf>
      <font>
        <color theme="0"/>
      </font>
      <fill>
        <patternFill patternType="solid">
          <fgColor indexed="64"/>
          <bgColor theme="5"/>
        </patternFill>
      </fill>
    </dxf>
    <dxf>
      <border>
        <vertical style="thin">
          <color indexed="64"/>
        </vertical>
      </border>
    </dxf>
    <dxf>
      <numFmt numFmtId="14" formatCode="0.00%"/>
    </dxf>
    <dxf>
      <border>
        <right style="thin">
          <color indexed="64"/>
        </right>
        <vertical style="thin">
          <color indexed="64"/>
        </vertical>
        <horizontal style="thin">
          <color indexed="64"/>
        </horizontal>
      </border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border>
        <vertical style="thin">
          <color indexed="64"/>
        </vertical>
        <horizontal style="thin">
          <color indexed="64"/>
        </horizontal>
      </border>
    </dxf>
    <dxf>
      <border>
        <vertical style="thin">
          <color indexed="64"/>
        </vertical>
        <horizontal style="thin">
          <color indexed="64"/>
        </horizontal>
      </border>
    </dxf>
    <dxf>
      <border>
        <vertical style="thin">
          <color indexed="64"/>
        </vertical>
        <horizontal style="thin">
          <color indexed="64"/>
        </horizontal>
      </border>
    </dxf>
    <dxf>
      <border>
        <vertical style="thin">
          <color indexed="64"/>
        </vertical>
        <horizontal style="thin">
          <color indexed="64"/>
        </horizontal>
      </border>
    </dxf>
    <dxf>
      <border>
        <vertical style="thin">
          <color indexed="64"/>
        </vertical>
        <horizontal style="thin">
          <color indexed="64"/>
        </horizontal>
      </border>
    </dxf>
    <dxf>
      <numFmt numFmtId="13" formatCode="0%"/>
    </dxf>
    <dxf>
      <numFmt numFmtId="172" formatCode="0.000%"/>
    </dxf>
    <dxf>
      <numFmt numFmtId="14" formatCode="0.00%"/>
    </dxf>
    <dxf>
      <numFmt numFmtId="164" formatCode="0.0%"/>
    </dxf>
    <dxf>
      <alignment horizontal="center" readingOrder="0"/>
    </dxf>
    <dxf>
      <numFmt numFmtId="164" formatCode="0.0%"/>
    </dxf>
    <dxf>
      <numFmt numFmtId="13" formatCode="0%"/>
    </dxf>
    <dxf>
      <numFmt numFmtId="13" formatCode="0%"/>
    </dxf>
    <dxf>
      <numFmt numFmtId="166" formatCode="0.0000000"/>
    </dxf>
    <dxf>
      <numFmt numFmtId="167" formatCode="0.000000"/>
    </dxf>
    <dxf>
      <numFmt numFmtId="168" formatCode="0.00000"/>
    </dxf>
    <dxf>
      <numFmt numFmtId="169" formatCode="0.0000"/>
    </dxf>
    <dxf>
      <numFmt numFmtId="170" formatCode="0.000"/>
    </dxf>
    <dxf>
      <numFmt numFmtId="2" formatCode="0.00"/>
    </dxf>
    <dxf>
      <numFmt numFmtId="171" formatCode="0.0"/>
    </dxf>
    <dxf>
      <numFmt numFmtId="2" formatCode="0.00"/>
    </dxf>
    <dxf>
      <numFmt numFmtId="166" formatCode="0.0000000"/>
    </dxf>
    <dxf>
      <numFmt numFmtId="167" formatCode="0.000000"/>
    </dxf>
    <dxf>
      <numFmt numFmtId="168" formatCode="0.00000"/>
    </dxf>
    <dxf>
      <numFmt numFmtId="169" formatCode="0.0000"/>
    </dxf>
    <dxf>
      <numFmt numFmtId="170" formatCode="0.000"/>
    </dxf>
    <dxf>
      <numFmt numFmtId="2" formatCode="0.00"/>
    </dxf>
    <dxf>
      <fill>
        <patternFill patternType="solid">
          <bgColor theme="5"/>
        </patternFill>
      </fill>
    </dxf>
    <dxf>
      <fill>
        <patternFill patternType="solid">
          <bgColor theme="5"/>
        </patternFill>
      </fill>
    </dxf>
    <dxf>
      <font>
        <color theme="0"/>
      </font>
    </dxf>
    <dxf>
      <font>
        <color theme="0"/>
      </font>
    </dxf>
    <dxf>
      <border>
        <left/>
        <top/>
        <bottom/>
      </border>
    </dxf>
    <dxf>
      <font>
        <b/>
      </font>
    </dxf>
    <dxf>
      <border>
        <right/>
        <top/>
        <bottom/>
      </border>
    </dxf>
    <dxf>
      <border>
        <right/>
        <top/>
        <bottom/>
      </border>
    </dxf>
    <dxf>
      <border>
        <left/>
        <right/>
        <top/>
      </border>
    </dxf>
    <dxf>
      <border>
        <left/>
        <right/>
        <top/>
      </border>
    </dxf>
    <dxf>
      <border>
        <left/>
        <right/>
        <top/>
      </border>
    </dxf>
    <dxf>
      <border>
        <left/>
        <right/>
        <top/>
      </border>
    </dxf>
    <dxf>
      <border>
        <left/>
        <right/>
        <top/>
      </border>
    </dxf>
    <dxf>
      <border>
        <top/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lor theme="0"/>
      </font>
      <fill>
        <patternFill patternType="solid">
          <fgColor indexed="64"/>
          <bgColor theme="5"/>
        </patternFill>
      </fill>
    </dxf>
    <dxf>
      <border>
        <horizontal style="thin">
          <color indexed="64"/>
        </horizontal>
      </border>
    </dxf>
    <dxf>
      <border>
        <vertical style="thin">
          <color indexed="64"/>
        </vertical>
      </border>
    </dxf>
    <dxf>
      <font>
        <b val="0"/>
      </font>
    </dxf>
    <dxf>
      <font>
        <b val="0"/>
      </font>
    </dxf>
    <dxf>
      <font>
        <b/>
      </font>
    </dxf>
    <dxf>
      <font>
        <b/>
      </font>
    </dxf>
    <dxf>
      <border>
        <vertical style="thin">
          <color indexed="64"/>
        </vertical>
      </border>
    </dxf>
    <dxf>
      <border>
        <vertical style="thin">
          <color indexed="64"/>
        </vertical>
      </border>
    </dxf>
    <dxf>
      <font>
        <b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/>
        <color theme="0"/>
      </font>
      <fill>
        <patternFill patternType="solid">
          <fgColor indexed="64"/>
          <bgColor theme="5"/>
        </patternFill>
      </fill>
    </dxf>
    <dxf>
      <numFmt numFmtId="13" formatCode="0%"/>
    </dxf>
    <dxf>
      <numFmt numFmtId="164" formatCode="0.0%"/>
    </dxf>
    <dxf>
      <numFmt numFmtId="14" formatCode="0.00%"/>
    </dxf>
    <dxf>
      <border>
        <right style="thin">
          <color indexed="64"/>
        </right>
        <vertical style="thin">
          <color indexed="64"/>
        </vertical>
        <horizontal style="thin">
          <color indexed="64"/>
        </horizontal>
      </border>
    </dxf>
    <dxf>
      <font>
        <color theme="0"/>
      </font>
      <fill>
        <patternFill patternType="solid">
          <fgColor indexed="64"/>
          <bgColor theme="5"/>
        </patternFill>
      </fill>
    </dxf>
    <dxf>
      <border>
        <vertical style="thin">
          <color indexed="64"/>
        </vertical>
      </border>
    </dxf>
    <dxf>
      <numFmt numFmtId="14" formatCode="0.00%"/>
    </dxf>
    <dxf>
      <border>
        <right style="thin">
          <color indexed="64"/>
        </right>
        <vertical style="thin">
          <color indexed="64"/>
        </vertical>
        <horizontal style="thin">
          <color indexed="64"/>
        </horizontal>
      </border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border>
        <vertical style="thin">
          <color indexed="64"/>
        </vertical>
        <horizontal style="thin">
          <color indexed="64"/>
        </horizontal>
      </border>
    </dxf>
    <dxf>
      <border>
        <vertical style="thin">
          <color indexed="64"/>
        </vertical>
        <horizontal style="thin">
          <color indexed="64"/>
        </horizontal>
      </border>
    </dxf>
    <dxf>
      <border>
        <vertical style="thin">
          <color indexed="64"/>
        </vertical>
        <horizontal style="thin">
          <color indexed="64"/>
        </horizontal>
      </border>
    </dxf>
    <dxf>
      <border>
        <vertical style="thin">
          <color indexed="64"/>
        </vertical>
        <horizontal style="thin">
          <color indexed="64"/>
        </horizontal>
      </border>
    </dxf>
    <dxf>
      <border>
        <vertical style="thin">
          <color indexed="64"/>
        </vertical>
        <horizontal style="thin">
          <color indexed="64"/>
        </horizontal>
      </border>
    </dxf>
    <dxf>
      <numFmt numFmtId="13" formatCode="0%"/>
    </dxf>
    <dxf>
      <numFmt numFmtId="172" formatCode="0.000%"/>
    </dxf>
    <dxf>
      <numFmt numFmtId="14" formatCode="0.00%"/>
    </dxf>
    <dxf>
      <numFmt numFmtId="164" formatCode="0.0%"/>
    </dxf>
    <dxf>
      <alignment horizontal="center" readingOrder="0"/>
    </dxf>
    <dxf>
      <numFmt numFmtId="164" formatCode="0.0%"/>
    </dxf>
    <dxf>
      <numFmt numFmtId="13" formatCode="0%"/>
    </dxf>
    <dxf>
      <numFmt numFmtId="13" formatCode="0%"/>
    </dxf>
    <dxf>
      <font>
        <b/>
      </font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4" formatCode="0.00%"/>
    </dxf>
    <dxf>
      <numFmt numFmtId="14" formatCode="0.00%"/>
    </dxf>
    <dxf>
      <numFmt numFmtId="1" formatCode="0"/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alignment horizontal="right" readingOrder="0"/>
    </dxf>
    <dxf>
      <alignment horizontal="left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left" readingOrder="0"/>
    </dxf>
    <dxf>
      <alignment horizontal="center" readingOrder="0"/>
    </dxf>
    <dxf>
      <alignment horizontal="left" readingOrder="0"/>
    </dxf>
    <dxf>
      <alignment horizontal="center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font>
        <sz val="13"/>
      </font>
    </dxf>
    <dxf>
      <font>
        <b/>
        <sz val="13"/>
      </font>
    </dxf>
    <dxf>
      <font>
        <color rgb="FFFF0000"/>
      </font>
    </dxf>
    <dxf>
      <font>
        <color auto="1"/>
      </font>
    </dxf>
    <dxf>
      <fill>
        <patternFill patternType="solid">
          <bgColor theme="5" tint="0.79998168889431442"/>
        </patternFill>
      </fill>
    </dxf>
    <dxf>
      <fill>
        <patternFill patternType="solid">
          <bgColor theme="5"/>
        </patternFill>
      </fill>
    </dxf>
    <dxf>
      <fill>
        <patternFill>
          <bgColor theme="5" tint="0.7999816888943144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 patternType="solid">
          <bgColor theme="5" tint="0.79998168889431442"/>
        </patternFill>
      </fill>
    </dxf>
    <dxf>
      <fill>
        <patternFill patternType="solid">
          <bgColor rgb="FFE84C22"/>
        </patternFill>
      </fill>
    </dxf>
    <dxf>
      <fill>
        <patternFill patternType="solid">
          <bgColor rgb="FFE84C22"/>
        </patternFill>
      </fill>
    </dxf>
    <dxf>
      <fill>
        <patternFill patternType="solid">
          <bgColor rgb="FFE84C22"/>
        </patternFill>
      </fill>
    </dxf>
    <dxf>
      <fill>
        <patternFill patternType="solid">
          <bgColor rgb="FFE84C22"/>
        </patternFill>
      </fill>
    </dxf>
    <dxf>
      <font>
        <sz val="11"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sz val="11"/>
      </font>
    </dxf>
    <dxf>
      <font>
        <sz val="11"/>
      </font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b/>
      </font>
    </dxf>
    <dxf>
      <font>
        <sz val="12"/>
      </font>
    </dxf>
    <dxf>
      <font>
        <sz val="12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sz val="12"/>
      </font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readingOrder="0"/>
    </dxf>
    <dxf>
      <fill>
        <patternFill patternType="solid">
          <bgColor rgb="FFE84C22"/>
        </patternFill>
      </fill>
    </dxf>
    <dxf>
      <fill>
        <patternFill patternType="solid">
          <bgColor rgb="FFE84C22"/>
        </patternFill>
      </fill>
    </dxf>
    <dxf>
      <numFmt numFmtId="166" formatCode="0.0000000"/>
    </dxf>
    <dxf>
      <numFmt numFmtId="167" formatCode="0.000000"/>
    </dxf>
    <dxf>
      <numFmt numFmtId="168" formatCode="0.00000"/>
    </dxf>
    <dxf>
      <numFmt numFmtId="169" formatCode="0.0000"/>
    </dxf>
    <dxf>
      <numFmt numFmtId="170" formatCode="0.000"/>
    </dxf>
    <dxf>
      <numFmt numFmtId="2" formatCode="0.00"/>
    </dxf>
    <dxf>
      <numFmt numFmtId="171" formatCode="0.0"/>
    </dxf>
    <dxf>
      <numFmt numFmtId="2" formatCode="0.00"/>
    </dxf>
    <dxf>
      <numFmt numFmtId="166" formatCode="0.0000000"/>
    </dxf>
    <dxf>
      <numFmt numFmtId="167" formatCode="0.000000"/>
    </dxf>
    <dxf>
      <numFmt numFmtId="168" formatCode="0.00000"/>
    </dxf>
    <dxf>
      <numFmt numFmtId="169" formatCode="0.0000"/>
    </dxf>
    <dxf>
      <numFmt numFmtId="170" formatCode="0.000"/>
    </dxf>
    <dxf>
      <numFmt numFmtId="2" formatCode="0.00"/>
    </dxf>
    <dxf>
      <fill>
        <patternFill patternType="solid">
          <bgColor theme="5"/>
        </patternFill>
      </fill>
    </dxf>
    <dxf>
      <font>
        <color theme="0"/>
      </font>
    </dxf>
    <dxf>
      <border>
        <left/>
        <top/>
        <bottom/>
      </border>
    </dxf>
    <dxf>
      <font>
        <b/>
      </font>
    </dxf>
    <dxf>
      <border>
        <left/>
        <right/>
        <top/>
        <bottom/>
      </border>
    </dxf>
    <dxf>
      <border>
        <left/>
        <right/>
        <top/>
        <bottom/>
      </border>
    </dxf>
    <dxf>
      <border>
        <top/>
      </border>
    </dxf>
    <dxf>
      <fill>
        <patternFill>
          <bgColor theme="5" tint="-0.249977111117893"/>
        </patternFill>
      </fill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/>
        <right/>
        <top/>
        <bottom/>
        <vertical/>
      </border>
    </dxf>
    <dxf>
      <border>
        <left/>
        <right/>
        <top/>
        <bottom/>
        <vertical/>
      </border>
    </dxf>
    <dxf>
      <border>
        <left/>
        <top/>
      </border>
    </dxf>
    <dxf>
      <border>
        <left/>
        <top/>
      </border>
    </dxf>
    <dxf>
      <border>
        <top/>
      </border>
    </dxf>
    <dxf>
      <border>
        <top/>
      </border>
    </dxf>
    <dxf>
      <border>
        <left/>
        <top/>
      </border>
    </dxf>
    <dxf>
      <border>
        <left/>
        <top/>
      </border>
    </dxf>
    <dxf>
      <border>
        <top/>
      </border>
    </dxf>
    <dxf>
      <border>
        <top/>
      </border>
    </dxf>
    <dxf>
      <border>
        <top/>
      </border>
    </dxf>
    <dxf>
      <border>
        <top/>
      </border>
    </dxf>
    <dxf>
      <border>
        <top/>
      </border>
    </dxf>
    <dxf>
      <border>
        <top/>
      </border>
    </dxf>
    <dxf>
      <border>
        <top/>
      </border>
    </dxf>
    <dxf>
      <border>
        <top/>
      </border>
    </dxf>
    <dxf>
      <border>
        <top/>
      </border>
    </dxf>
    <dxf>
      <border>
        <top/>
      </border>
    </dxf>
    <dxf>
      <border>
        <top/>
      </border>
    </dxf>
    <dxf>
      <border>
        <top/>
      </border>
    </dxf>
    <dxf>
      <border>
        <top/>
      </border>
    </dxf>
    <dxf>
      <border>
        <top/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fill>
        <patternFill>
          <bgColor theme="5"/>
        </patternFill>
      </fill>
    </dxf>
    <dxf>
      <border>
        <horizontal style="thin">
          <color indexed="64"/>
        </horizontal>
      </border>
    </dxf>
    <dxf>
      <border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  <horizontal style="thin">
          <color indexed="64"/>
        </horizontal>
      </border>
    </dxf>
    <dxf>
      <border>
        <top style="thin">
          <color indexed="64"/>
        </top>
        <horizontal style="thin">
          <color indexed="64"/>
        </horizontal>
      </border>
    </dxf>
    <dxf>
      <border>
        <vertical style="thin">
          <color indexed="64"/>
        </vertical>
        <horizontal style="thin">
          <color indexed="64"/>
        </horizontal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vertical style="thin">
          <color indexed="64"/>
        </vertical>
        <horizontal style="thin">
          <color indexed="64"/>
        </horizontal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right style="thin">
          <color indexed="64"/>
        </right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4" formatCode="0.00%"/>
    </dxf>
    <dxf>
      <numFmt numFmtId="13" formatCode="0%"/>
    </dxf>
    <dxf>
      <alignment horizontal="center" readingOrder="0"/>
    </dxf>
    <dxf>
      <numFmt numFmtId="164" formatCode="0.0%"/>
    </dxf>
    <dxf>
      <numFmt numFmtId="14" formatCode="0.00%"/>
    </dxf>
    <dxf>
      <numFmt numFmtId="13" formatCode="0%"/>
    </dxf>
    <dxf>
      <alignment horizontal="center" readingOrder="0"/>
    </dxf>
    <dxf>
      <numFmt numFmtId="164" formatCode="0.0%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readingOrder="0"/>
    </dxf>
    <dxf>
      <numFmt numFmtId="13" formatCode="0%"/>
    </dxf>
    <dxf>
      <alignment horizontal="center" readingOrder="0"/>
    </dxf>
    <dxf>
      <border>
        <right style="thin">
          <color indexed="64"/>
        </right>
      </border>
    </dxf>
    <dxf>
      <fill>
        <patternFill>
          <bgColor rgb="FFE84C22"/>
        </patternFill>
      </fill>
    </dxf>
    <dxf>
      <fill>
        <patternFill>
          <bgColor rgb="FFE84C22"/>
        </patternFill>
      </fill>
    </dxf>
    <dxf>
      <numFmt numFmtId="14" formatCode="0.00%"/>
    </dxf>
    <dxf>
      <font>
        <color theme="0"/>
      </font>
      <numFmt numFmtId="0" formatCode="General"/>
      <fill>
        <patternFill patternType="solid">
          <fgColor indexed="64"/>
          <bgColor rgb="FFE84C22"/>
        </patternFill>
      </fill>
    </dxf>
    <dxf>
      <alignment horizontal="center"/>
    </dxf>
    <dxf>
      <numFmt numFmtId="166" formatCode="0.0000000"/>
    </dxf>
    <dxf>
      <numFmt numFmtId="167" formatCode="0.000000"/>
    </dxf>
    <dxf>
      <numFmt numFmtId="168" formatCode="0.00000"/>
    </dxf>
    <dxf>
      <numFmt numFmtId="169" formatCode="0.0000"/>
    </dxf>
    <dxf>
      <numFmt numFmtId="170" formatCode="0.000"/>
    </dxf>
    <dxf>
      <numFmt numFmtId="2" formatCode="0.00"/>
    </dxf>
    <dxf>
      <numFmt numFmtId="171" formatCode="0.0"/>
    </dxf>
    <dxf>
      <numFmt numFmtId="2" formatCode="0.00"/>
    </dxf>
    <dxf>
      <numFmt numFmtId="166" formatCode="0.0000000"/>
    </dxf>
    <dxf>
      <numFmt numFmtId="167" formatCode="0.000000"/>
    </dxf>
    <dxf>
      <numFmt numFmtId="168" formatCode="0.00000"/>
    </dxf>
    <dxf>
      <numFmt numFmtId="169" formatCode="0.0000"/>
    </dxf>
    <dxf>
      <numFmt numFmtId="170" formatCode="0.000"/>
    </dxf>
    <dxf>
      <numFmt numFmtId="2" formatCode="0.00"/>
    </dxf>
    <dxf>
      <fill>
        <patternFill patternType="solid">
          <bgColor theme="5"/>
        </patternFill>
      </fill>
    </dxf>
    <dxf>
      <fill>
        <patternFill patternType="solid">
          <bgColor theme="5"/>
        </patternFill>
      </fill>
    </dxf>
    <dxf>
      <font>
        <color theme="0"/>
      </font>
    </dxf>
    <dxf>
      <font>
        <color theme="0"/>
      </font>
    </dxf>
    <dxf>
      <border>
        <left/>
        <top/>
        <bottom/>
      </border>
    </dxf>
    <dxf>
      <font>
        <b/>
      </font>
    </dxf>
    <dxf>
      <border>
        <right/>
        <top/>
        <bottom/>
      </border>
    </dxf>
    <dxf>
      <border>
        <right/>
        <top/>
        <bottom/>
      </border>
    </dxf>
    <dxf>
      <border>
        <left/>
        <right/>
        <top/>
      </border>
    </dxf>
    <dxf>
      <border>
        <left/>
        <right/>
        <top/>
      </border>
    </dxf>
    <dxf>
      <border>
        <left/>
        <right/>
        <top/>
      </border>
    </dxf>
    <dxf>
      <border>
        <left/>
        <right/>
        <top/>
      </border>
    </dxf>
    <dxf>
      <border>
        <left/>
        <right/>
        <top/>
      </border>
    </dxf>
    <dxf>
      <border>
        <top/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lor theme="0"/>
      </font>
      <fill>
        <patternFill patternType="solid">
          <fgColor indexed="64"/>
          <bgColor theme="5"/>
        </patternFill>
      </fill>
    </dxf>
    <dxf>
      <border>
        <horizontal style="thin">
          <color indexed="64"/>
        </horizontal>
      </border>
    </dxf>
    <dxf>
      <border>
        <vertical style="thin">
          <color indexed="64"/>
        </vertical>
      </border>
    </dxf>
    <dxf>
      <font>
        <b val="0"/>
      </font>
    </dxf>
    <dxf>
      <font>
        <b val="0"/>
      </font>
    </dxf>
    <dxf>
      <font>
        <b/>
      </font>
    </dxf>
    <dxf>
      <font>
        <b/>
      </font>
    </dxf>
    <dxf>
      <border>
        <vertical style="thin">
          <color indexed="64"/>
        </vertical>
      </border>
    </dxf>
    <dxf>
      <border>
        <vertical style="thin">
          <color indexed="64"/>
        </vertical>
      </border>
    </dxf>
    <dxf>
      <font>
        <b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/>
        <color theme="0"/>
      </font>
      <fill>
        <patternFill patternType="solid">
          <fgColor indexed="64"/>
          <bgColor theme="5"/>
        </patternFill>
      </fill>
    </dxf>
    <dxf>
      <numFmt numFmtId="13" formatCode="0%"/>
    </dxf>
    <dxf>
      <numFmt numFmtId="164" formatCode="0.0%"/>
    </dxf>
    <dxf>
      <numFmt numFmtId="14" formatCode="0.00%"/>
    </dxf>
    <dxf>
      <border>
        <right style="thin">
          <color indexed="64"/>
        </right>
        <vertical style="thin">
          <color indexed="64"/>
        </vertical>
        <horizontal style="thin">
          <color indexed="64"/>
        </horizontal>
      </border>
    </dxf>
    <dxf>
      <font>
        <color theme="0"/>
      </font>
      <fill>
        <patternFill patternType="solid">
          <fgColor indexed="64"/>
          <bgColor theme="5"/>
        </patternFill>
      </fill>
    </dxf>
    <dxf>
      <border>
        <vertical style="thin">
          <color indexed="64"/>
        </vertical>
      </border>
    </dxf>
    <dxf>
      <numFmt numFmtId="14" formatCode="0.00%"/>
    </dxf>
    <dxf>
      <border>
        <right style="thin">
          <color indexed="64"/>
        </right>
        <vertical style="thin">
          <color indexed="64"/>
        </vertical>
        <horizontal style="thin">
          <color indexed="64"/>
        </horizontal>
      </border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border>
        <vertical style="thin">
          <color indexed="64"/>
        </vertical>
        <horizontal style="thin">
          <color indexed="64"/>
        </horizontal>
      </border>
    </dxf>
    <dxf>
      <border>
        <vertical style="thin">
          <color indexed="64"/>
        </vertical>
        <horizontal style="thin">
          <color indexed="64"/>
        </horizontal>
      </border>
    </dxf>
    <dxf>
      <border>
        <vertical style="thin">
          <color indexed="64"/>
        </vertical>
        <horizontal style="thin">
          <color indexed="64"/>
        </horizontal>
      </border>
    </dxf>
    <dxf>
      <border>
        <vertical style="thin">
          <color indexed="64"/>
        </vertical>
        <horizontal style="thin">
          <color indexed="64"/>
        </horizontal>
      </border>
    </dxf>
    <dxf>
      <border>
        <vertical style="thin">
          <color indexed="64"/>
        </vertical>
        <horizontal style="thin">
          <color indexed="64"/>
        </horizontal>
      </border>
    </dxf>
    <dxf>
      <numFmt numFmtId="13" formatCode="0%"/>
    </dxf>
    <dxf>
      <numFmt numFmtId="172" formatCode="0.000%"/>
    </dxf>
    <dxf>
      <numFmt numFmtId="14" formatCode="0.00%"/>
    </dxf>
    <dxf>
      <numFmt numFmtId="164" formatCode="0.0%"/>
    </dxf>
    <dxf>
      <alignment horizontal="center" readingOrder="0"/>
    </dxf>
    <dxf>
      <numFmt numFmtId="164" formatCode="0.0%"/>
    </dxf>
    <dxf>
      <fill>
        <patternFill>
          <bgColor rgb="FFE84C22"/>
        </patternFill>
      </fill>
    </dxf>
    <dxf>
      <fill>
        <patternFill>
          <bgColor rgb="FFE84C22"/>
        </patternFill>
      </fill>
    </dxf>
    <dxf>
      <numFmt numFmtId="13" formatCode="0%"/>
    </dxf>
    <dxf>
      <font>
        <b/>
        <color theme="0"/>
      </font>
      <numFmt numFmtId="14" formatCode="0.00%"/>
      <fill>
        <patternFill patternType="solid">
          <fgColor indexed="64"/>
          <bgColor rgb="FFE84C22"/>
        </patternFill>
      </fill>
    </dxf>
    <dxf>
      <numFmt numFmtId="14" formatCode="0.00%"/>
    </dxf>
    <dxf>
      <numFmt numFmtId="14" formatCode="0.00%"/>
    </dxf>
    <dxf>
      <fill>
        <patternFill patternType="solid">
          <fgColor indexed="64"/>
          <bgColor rgb="FFE84C22"/>
        </patternFill>
      </fill>
      <alignment horizontal="center"/>
    </dxf>
    <dxf>
      <numFmt numFmtId="14" formatCode="0.00%"/>
    </dxf>
    <dxf>
      <numFmt numFmtId="0" formatCode="General"/>
      <fill>
        <patternFill patternType="solid">
          <fgColor indexed="64"/>
          <bgColor rgb="FFE84C22"/>
        </patternFill>
      </fill>
      <alignment horizontal="center"/>
    </dxf>
    <dxf>
      <alignment horizontal="center"/>
    </dxf>
    <dxf>
      <alignment vertical="center"/>
    </dxf>
    <dxf>
      <alignment horizontal="center"/>
    </dxf>
    <dxf>
      <alignment vertical="center"/>
    </dxf>
    <dxf>
      <numFmt numFmtId="166" formatCode="0.0000000"/>
    </dxf>
    <dxf>
      <numFmt numFmtId="167" formatCode="0.000000"/>
    </dxf>
    <dxf>
      <numFmt numFmtId="168" formatCode="0.00000"/>
    </dxf>
    <dxf>
      <numFmt numFmtId="169" formatCode="0.0000"/>
    </dxf>
    <dxf>
      <numFmt numFmtId="170" formatCode="0.000"/>
    </dxf>
    <dxf>
      <numFmt numFmtId="2" formatCode="0.00"/>
    </dxf>
    <dxf>
      <numFmt numFmtId="171" formatCode="0.0"/>
    </dxf>
    <dxf>
      <numFmt numFmtId="2" formatCode="0.00"/>
    </dxf>
    <dxf>
      <numFmt numFmtId="166" formatCode="0.0000000"/>
    </dxf>
    <dxf>
      <numFmt numFmtId="167" formatCode="0.000000"/>
    </dxf>
    <dxf>
      <numFmt numFmtId="168" formatCode="0.00000"/>
    </dxf>
    <dxf>
      <numFmt numFmtId="169" formatCode="0.0000"/>
    </dxf>
    <dxf>
      <numFmt numFmtId="170" formatCode="0.000"/>
    </dxf>
    <dxf>
      <numFmt numFmtId="2" formatCode="0.00"/>
    </dxf>
    <dxf>
      <fill>
        <patternFill patternType="solid">
          <bgColor theme="5"/>
        </patternFill>
      </fill>
    </dxf>
    <dxf>
      <font>
        <color theme="0"/>
      </font>
    </dxf>
    <dxf>
      <border>
        <left/>
        <top/>
        <bottom/>
      </border>
    </dxf>
    <dxf>
      <font>
        <b/>
      </font>
    </dxf>
    <dxf>
      <border>
        <right/>
        <top/>
        <bottom/>
      </border>
    </dxf>
    <dxf>
      <border>
        <right/>
        <top/>
        <bottom/>
      </border>
    </dxf>
    <dxf>
      <border>
        <left/>
        <right/>
        <top/>
      </border>
    </dxf>
    <dxf>
      <border>
        <left/>
        <right/>
        <top/>
      </border>
    </dxf>
    <dxf>
      <border>
        <left/>
        <right/>
        <top/>
      </border>
    </dxf>
    <dxf>
      <border>
        <left/>
        <right/>
        <top/>
      </border>
    </dxf>
    <dxf>
      <border>
        <top/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lor theme="0"/>
      </font>
      <fill>
        <patternFill patternType="solid">
          <fgColor indexed="64"/>
          <bgColor theme="5"/>
        </patternFill>
      </fill>
    </dxf>
    <dxf>
      <border>
        <horizontal style="thin">
          <color indexed="64"/>
        </horizontal>
      </border>
    </dxf>
    <dxf>
      <border>
        <vertical style="thin">
          <color indexed="64"/>
        </vertical>
      </border>
    </dxf>
    <dxf>
      <font>
        <b val="0"/>
      </font>
    </dxf>
    <dxf>
      <font>
        <b val="0"/>
      </font>
    </dxf>
    <dxf>
      <font>
        <b/>
      </font>
    </dxf>
    <dxf>
      <font>
        <b/>
      </font>
    </dxf>
    <dxf>
      <border>
        <vertical style="thin">
          <color indexed="64"/>
        </vertical>
      </border>
    </dxf>
    <dxf>
      <border>
        <vertical style="thin">
          <color indexed="64"/>
        </vertical>
      </border>
    </dxf>
    <dxf>
      <font>
        <b/>
      </font>
    </dxf>
    <dxf>
      <font>
        <b/>
        <color theme="0"/>
      </font>
      <fill>
        <patternFill patternType="solid">
          <fgColor indexed="64"/>
          <bgColor theme="5"/>
        </patternFill>
      </fill>
    </dxf>
    <dxf>
      <font>
        <color theme="0"/>
      </font>
      <fill>
        <patternFill patternType="solid">
          <fgColor indexed="64"/>
          <bgColor theme="5"/>
        </patternFill>
      </fill>
    </dxf>
    <dxf>
      <numFmt numFmtId="14" formatCode="0.00%"/>
    </dxf>
    <dxf>
      <numFmt numFmtId="14" formatCode="0.00%"/>
    </dxf>
    <dxf>
      <border>
        <left style="thin">
          <color indexed="64"/>
        </left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vertical style="thin">
          <color indexed="64"/>
        </vertical>
        <horizontal style="thin">
          <color indexed="64"/>
        </horizontal>
      </border>
    </dxf>
    <dxf>
      <font>
        <b/>
      </font>
    </dxf>
    <dxf>
      <font>
        <b/>
        <color theme="0"/>
      </font>
      <numFmt numFmtId="14" formatCode="0.00%"/>
      <fill>
        <patternFill patternType="solid">
          <fgColor indexed="64"/>
          <bgColor theme="5"/>
        </patternFill>
      </fill>
    </dxf>
    <dxf>
      <numFmt numFmtId="13" formatCode="0%"/>
    </dxf>
    <dxf>
      <numFmt numFmtId="164" formatCode="0.0%"/>
    </dxf>
    <dxf>
      <fill>
        <patternFill>
          <bgColor rgb="FFE94C22"/>
        </patternFill>
      </fill>
    </dxf>
    <dxf>
      <numFmt numFmtId="14" formatCode="0.00%"/>
    </dxf>
    <dxf>
      <numFmt numFmtId="14" formatCode="0.00%"/>
    </dxf>
    <dxf>
      <font>
        <b/>
        <color theme="0"/>
      </font>
      <fill>
        <patternFill patternType="solid">
          <fgColor indexed="64"/>
          <bgColor rgb="FFE94C22"/>
        </patternFill>
      </fill>
    </dxf>
    <dxf>
      <font>
        <b/>
        <color theme="0"/>
      </font>
      <numFmt numFmtId="14" formatCode="0.00%"/>
      <fill>
        <patternFill patternType="solid">
          <fgColor indexed="64"/>
          <bgColor rgb="FFE94C22"/>
        </patternFill>
      </fill>
    </dxf>
    <dxf>
      <numFmt numFmtId="14" formatCode="0.00%"/>
    </dxf>
    <dxf>
      <font>
        <b/>
        <color theme="0"/>
      </font>
      <fill>
        <patternFill patternType="solid">
          <fgColor indexed="64"/>
          <bgColor rgb="FFE94C22"/>
        </patternFill>
      </fill>
    </dxf>
    <dxf>
      <numFmt numFmtId="0" formatCode="General"/>
      <fill>
        <patternFill patternType="none">
          <bgColor auto="1"/>
        </patternFill>
      </fill>
    </dxf>
    <dxf>
      <numFmt numFmtId="166" formatCode="0.0000000"/>
    </dxf>
    <dxf>
      <numFmt numFmtId="167" formatCode="0.000000"/>
    </dxf>
    <dxf>
      <numFmt numFmtId="168" formatCode="0.00000"/>
    </dxf>
    <dxf>
      <numFmt numFmtId="169" formatCode="0.0000"/>
    </dxf>
    <dxf>
      <numFmt numFmtId="170" formatCode="0.000"/>
    </dxf>
    <dxf>
      <numFmt numFmtId="2" formatCode="0.00"/>
    </dxf>
    <dxf>
      <numFmt numFmtId="171" formatCode="0.0"/>
    </dxf>
    <dxf>
      <numFmt numFmtId="2" formatCode="0.00"/>
    </dxf>
    <dxf>
      <numFmt numFmtId="166" formatCode="0.0000000"/>
    </dxf>
    <dxf>
      <numFmt numFmtId="167" formatCode="0.000000"/>
    </dxf>
    <dxf>
      <numFmt numFmtId="168" formatCode="0.00000"/>
    </dxf>
    <dxf>
      <numFmt numFmtId="169" formatCode="0.0000"/>
    </dxf>
    <dxf>
      <numFmt numFmtId="170" formatCode="0.000"/>
    </dxf>
    <dxf>
      <numFmt numFmtId="2" formatCode="0.00"/>
    </dxf>
    <dxf>
      <fill>
        <patternFill patternType="solid">
          <bgColor theme="5"/>
        </patternFill>
      </fill>
    </dxf>
    <dxf>
      <fill>
        <patternFill patternType="solid">
          <bgColor theme="5"/>
        </patternFill>
      </fill>
    </dxf>
    <dxf>
      <font>
        <color theme="0"/>
      </font>
    </dxf>
    <dxf>
      <font>
        <color theme="0"/>
      </font>
    </dxf>
    <dxf>
      <border>
        <left/>
        <top/>
        <bottom/>
      </border>
    </dxf>
    <dxf>
      <font>
        <b/>
      </font>
    </dxf>
    <dxf>
      <border>
        <right/>
        <top/>
        <bottom/>
      </border>
    </dxf>
    <dxf>
      <border>
        <right/>
        <top/>
        <bottom/>
      </border>
    </dxf>
    <dxf>
      <border>
        <left/>
        <right/>
        <top/>
      </border>
    </dxf>
    <dxf>
      <border>
        <left/>
        <right/>
        <top/>
      </border>
    </dxf>
    <dxf>
      <border>
        <left/>
        <right/>
        <top/>
      </border>
    </dxf>
    <dxf>
      <border>
        <left/>
        <right/>
        <top/>
      </border>
    </dxf>
    <dxf>
      <border>
        <left/>
        <right/>
        <top/>
      </border>
    </dxf>
    <dxf>
      <border>
        <top/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horizontal style="thin">
          <color indexed="64"/>
        </horizontal>
      </border>
    </dxf>
    <dxf>
      <font>
        <b val="0"/>
      </font>
    </dxf>
    <dxf>
      <font>
        <b val="0"/>
      </font>
    </dxf>
    <dxf>
      <font>
        <b/>
      </font>
    </dxf>
    <dxf>
      <font>
        <b/>
      </font>
    </dxf>
    <dxf>
      <border>
        <vertical style="thin">
          <color indexed="64"/>
        </vertical>
      </border>
    </dxf>
    <dxf>
      <border>
        <vertical style="thin">
          <color indexed="64"/>
        </vertical>
      </border>
    </dxf>
    <dxf>
      <font>
        <b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/>
        <color theme="0"/>
      </font>
      <fill>
        <patternFill patternType="solid">
          <fgColor indexed="64"/>
          <bgColor theme="5"/>
        </patternFill>
      </fill>
    </dxf>
    <dxf>
      <numFmt numFmtId="13" formatCode="0%"/>
    </dxf>
    <dxf>
      <numFmt numFmtId="164" formatCode="0.0%"/>
    </dxf>
    <dxf>
      <numFmt numFmtId="14" formatCode="0.00%"/>
    </dxf>
    <dxf>
      <border>
        <right style="thin">
          <color indexed="64"/>
        </right>
        <vertical style="thin">
          <color indexed="64"/>
        </vertical>
        <horizontal style="thin">
          <color indexed="64"/>
        </horizontal>
      </border>
    </dxf>
    <dxf>
      <font>
        <color theme="0"/>
      </font>
      <fill>
        <patternFill patternType="solid">
          <fgColor indexed="64"/>
          <bgColor theme="5"/>
        </patternFill>
      </fill>
    </dxf>
    <dxf>
      <border>
        <vertical style="thin">
          <color indexed="64"/>
        </vertical>
      </border>
    </dxf>
    <dxf>
      <numFmt numFmtId="14" formatCode="0.00%"/>
    </dxf>
    <dxf>
      <border>
        <right style="thin">
          <color indexed="64"/>
        </right>
        <vertical style="thin">
          <color indexed="64"/>
        </vertical>
        <horizontal style="thin">
          <color indexed="64"/>
        </horizontal>
      </border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border>
        <vertical style="thin">
          <color indexed="64"/>
        </vertical>
        <horizontal style="thin">
          <color indexed="64"/>
        </horizontal>
      </border>
    </dxf>
    <dxf>
      <border>
        <vertical style="thin">
          <color indexed="64"/>
        </vertical>
        <horizontal style="thin">
          <color indexed="64"/>
        </horizontal>
      </border>
    </dxf>
    <dxf>
      <border>
        <vertical style="thin">
          <color indexed="64"/>
        </vertical>
        <horizontal style="thin">
          <color indexed="64"/>
        </horizontal>
      </border>
    </dxf>
    <dxf>
      <border>
        <vertical style="thin">
          <color indexed="64"/>
        </vertical>
        <horizontal style="thin">
          <color indexed="64"/>
        </horizontal>
      </border>
    </dxf>
    <dxf>
      <border>
        <vertical style="thin">
          <color indexed="64"/>
        </vertical>
        <horizontal style="thin">
          <color indexed="64"/>
        </horizontal>
      </border>
    </dxf>
    <dxf>
      <numFmt numFmtId="13" formatCode="0%"/>
    </dxf>
    <dxf>
      <numFmt numFmtId="172" formatCode="0.000%"/>
    </dxf>
    <dxf>
      <numFmt numFmtId="14" formatCode="0.00%"/>
    </dxf>
    <dxf>
      <numFmt numFmtId="164" formatCode="0.0%"/>
    </dxf>
    <dxf>
      <alignment horizontal="center" readingOrder="0"/>
    </dxf>
    <dxf>
      <numFmt numFmtId="164" formatCode="0.0%"/>
    </dxf>
    <dxf>
      <numFmt numFmtId="13" formatCode="0%"/>
    </dxf>
    <dxf>
      <numFmt numFmtId="13" formatCode="0%"/>
    </dxf>
    <dxf>
      <numFmt numFmtId="166" formatCode="0.0000000"/>
    </dxf>
    <dxf>
      <numFmt numFmtId="167" formatCode="0.000000"/>
    </dxf>
    <dxf>
      <numFmt numFmtId="168" formatCode="0.00000"/>
    </dxf>
    <dxf>
      <numFmt numFmtId="169" formatCode="0.0000"/>
    </dxf>
    <dxf>
      <numFmt numFmtId="170" formatCode="0.000"/>
    </dxf>
    <dxf>
      <numFmt numFmtId="2" formatCode="0.00"/>
    </dxf>
    <dxf>
      <numFmt numFmtId="171" formatCode="0.0"/>
    </dxf>
    <dxf>
      <numFmt numFmtId="2" formatCode="0.00"/>
    </dxf>
    <dxf>
      <numFmt numFmtId="166" formatCode="0.0000000"/>
    </dxf>
    <dxf>
      <numFmt numFmtId="167" formatCode="0.000000"/>
    </dxf>
    <dxf>
      <numFmt numFmtId="168" formatCode="0.00000"/>
    </dxf>
    <dxf>
      <numFmt numFmtId="169" formatCode="0.0000"/>
    </dxf>
    <dxf>
      <numFmt numFmtId="170" formatCode="0.000"/>
    </dxf>
    <dxf>
      <numFmt numFmtId="2" formatCode="0.00"/>
    </dxf>
    <dxf>
      <fill>
        <patternFill patternType="solid">
          <bgColor theme="5"/>
        </patternFill>
      </fill>
    </dxf>
    <dxf>
      <fill>
        <patternFill patternType="solid">
          <bgColor theme="5"/>
        </patternFill>
      </fill>
    </dxf>
    <dxf>
      <font>
        <color theme="0"/>
      </font>
    </dxf>
    <dxf>
      <font>
        <color theme="0"/>
      </font>
    </dxf>
    <dxf>
      <border>
        <left/>
        <top/>
        <bottom/>
      </border>
    </dxf>
    <dxf>
      <font>
        <b/>
      </font>
    </dxf>
    <dxf>
      <border>
        <right/>
        <top/>
        <bottom/>
      </border>
    </dxf>
    <dxf>
      <border>
        <right/>
        <top/>
        <bottom/>
      </border>
    </dxf>
    <dxf>
      <border>
        <left/>
        <right/>
        <top/>
      </border>
    </dxf>
    <dxf>
      <border>
        <left/>
        <right/>
        <top/>
      </border>
    </dxf>
    <dxf>
      <border>
        <left/>
        <right/>
        <top/>
      </border>
    </dxf>
    <dxf>
      <border>
        <left/>
        <right/>
        <top/>
      </border>
    </dxf>
    <dxf>
      <border>
        <left/>
        <right/>
        <top/>
      </border>
    </dxf>
    <dxf>
      <border>
        <top/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lor theme="0"/>
      </font>
      <fill>
        <patternFill patternType="solid">
          <fgColor indexed="64"/>
          <bgColor theme="5"/>
        </patternFill>
      </fill>
    </dxf>
    <dxf>
      <border>
        <horizontal style="thin">
          <color indexed="64"/>
        </horizontal>
      </border>
    </dxf>
    <dxf>
      <border>
        <vertical style="thin">
          <color indexed="64"/>
        </vertical>
      </border>
    </dxf>
    <dxf>
      <font>
        <b val="0"/>
      </font>
    </dxf>
    <dxf>
      <font>
        <b val="0"/>
      </font>
    </dxf>
    <dxf>
      <font>
        <b/>
      </font>
    </dxf>
    <dxf>
      <font>
        <b/>
      </font>
    </dxf>
    <dxf>
      <border>
        <vertical style="thin">
          <color indexed="64"/>
        </vertical>
      </border>
    </dxf>
    <dxf>
      <border>
        <vertical style="thin">
          <color indexed="64"/>
        </vertical>
      </border>
    </dxf>
    <dxf>
      <font>
        <b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/>
        <color theme="0"/>
      </font>
      <fill>
        <patternFill patternType="solid">
          <fgColor indexed="64"/>
          <bgColor theme="5"/>
        </patternFill>
      </fill>
    </dxf>
    <dxf>
      <numFmt numFmtId="13" formatCode="0%"/>
    </dxf>
    <dxf>
      <numFmt numFmtId="164" formatCode="0.0%"/>
    </dxf>
    <dxf>
      <numFmt numFmtId="14" formatCode="0.00%"/>
    </dxf>
    <dxf>
      <border>
        <right style="thin">
          <color indexed="64"/>
        </right>
        <vertical style="thin">
          <color indexed="64"/>
        </vertical>
        <horizontal style="thin">
          <color indexed="64"/>
        </horizontal>
      </border>
    </dxf>
    <dxf>
      <font>
        <color theme="0"/>
      </font>
      <fill>
        <patternFill patternType="solid">
          <fgColor indexed="64"/>
          <bgColor theme="5"/>
        </patternFill>
      </fill>
    </dxf>
    <dxf>
      <border>
        <vertical style="thin">
          <color indexed="64"/>
        </vertical>
      </border>
    </dxf>
    <dxf>
      <numFmt numFmtId="14" formatCode="0.00%"/>
    </dxf>
    <dxf>
      <border>
        <right style="thin">
          <color indexed="64"/>
        </right>
        <vertical style="thin">
          <color indexed="64"/>
        </vertical>
        <horizontal style="thin">
          <color indexed="64"/>
        </horizontal>
      </border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border>
        <vertical style="thin">
          <color indexed="64"/>
        </vertical>
        <horizontal style="thin">
          <color indexed="64"/>
        </horizontal>
      </border>
    </dxf>
    <dxf>
      <border>
        <vertical style="thin">
          <color indexed="64"/>
        </vertical>
        <horizontal style="thin">
          <color indexed="64"/>
        </horizontal>
      </border>
    </dxf>
    <dxf>
      <border>
        <vertical style="thin">
          <color indexed="64"/>
        </vertical>
        <horizontal style="thin">
          <color indexed="64"/>
        </horizontal>
      </border>
    </dxf>
    <dxf>
      <border>
        <vertical style="thin">
          <color indexed="64"/>
        </vertical>
        <horizontal style="thin">
          <color indexed="64"/>
        </horizontal>
      </border>
    </dxf>
    <dxf>
      <border>
        <vertical style="thin">
          <color indexed="64"/>
        </vertical>
        <horizontal style="thin">
          <color indexed="64"/>
        </horizontal>
      </border>
    </dxf>
    <dxf>
      <numFmt numFmtId="13" formatCode="0%"/>
    </dxf>
    <dxf>
      <numFmt numFmtId="172" formatCode="0.000%"/>
    </dxf>
    <dxf>
      <numFmt numFmtId="14" formatCode="0.00%"/>
    </dxf>
    <dxf>
      <numFmt numFmtId="164" formatCode="0.0%"/>
    </dxf>
    <dxf>
      <alignment horizontal="center" readingOrder="0"/>
    </dxf>
    <dxf>
      <numFmt numFmtId="164" formatCode="0.0%"/>
    </dxf>
    <dxf>
      <numFmt numFmtId="13" formatCode="0%"/>
    </dxf>
    <dxf>
      <numFmt numFmtId="13" formatCode="0%"/>
    </dxf>
    <dxf>
      <font>
        <b/>
      </font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4" formatCode="0.00%"/>
    </dxf>
    <dxf>
      <numFmt numFmtId="14" formatCode="0.00%"/>
    </dxf>
    <dxf>
      <numFmt numFmtId="1" formatCode="0"/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alignment horizontal="right" readingOrder="0"/>
    </dxf>
    <dxf>
      <alignment horizontal="left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left" readingOrder="0"/>
    </dxf>
    <dxf>
      <alignment horizontal="center" readingOrder="0"/>
    </dxf>
    <dxf>
      <alignment horizontal="left" readingOrder="0"/>
    </dxf>
    <dxf>
      <alignment horizontal="center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font>
        <sz val="13"/>
      </font>
    </dxf>
    <dxf>
      <font>
        <b/>
        <sz val="13"/>
      </font>
    </dxf>
    <dxf>
      <font>
        <color rgb="FFFF0000"/>
      </font>
    </dxf>
    <dxf>
      <font>
        <color auto="1"/>
      </font>
    </dxf>
    <dxf>
      <fill>
        <patternFill patternType="solid">
          <bgColor theme="5" tint="0.79998168889431442"/>
        </patternFill>
      </fill>
    </dxf>
    <dxf>
      <fill>
        <patternFill patternType="solid">
          <bgColor theme="5"/>
        </patternFill>
      </fill>
    </dxf>
    <dxf>
      <fill>
        <patternFill>
          <bgColor theme="5" tint="0.7999816888943144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 patternType="solid">
          <bgColor theme="5" tint="0.79998168889431442"/>
        </patternFill>
      </fill>
    </dxf>
    <dxf>
      <fill>
        <patternFill patternType="solid">
          <bgColor rgb="FFE84C22"/>
        </patternFill>
      </fill>
    </dxf>
    <dxf>
      <fill>
        <patternFill patternType="solid">
          <bgColor rgb="FFE84C22"/>
        </patternFill>
      </fill>
    </dxf>
    <dxf>
      <fill>
        <patternFill patternType="solid">
          <bgColor rgb="FFE84C22"/>
        </patternFill>
      </fill>
    </dxf>
    <dxf>
      <fill>
        <patternFill patternType="solid">
          <bgColor rgb="FFE84C22"/>
        </patternFill>
      </fill>
    </dxf>
    <dxf>
      <font>
        <sz val="11"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sz val="11"/>
      </font>
    </dxf>
    <dxf>
      <font>
        <sz val="11"/>
      </font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b/>
      </font>
    </dxf>
    <dxf>
      <font>
        <sz val="12"/>
      </font>
    </dxf>
    <dxf>
      <font>
        <sz val="12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sz val="12"/>
      </font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readingOrder="0"/>
    </dxf>
    <dxf>
      <fill>
        <patternFill patternType="solid">
          <bgColor rgb="FFE84C22"/>
        </patternFill>
      </fill>
    </dxf>
    <dxf>
      <fill>
        <patternFill patternType="solid">
          <bgColor rgb="FFE84C22"/>
        </patternFill>
      </fill>
    </dxf>
    <dxf>
      <numFmt numFmtId="166" formatCode="0.0000000"/>
    </dxf>
    <dxf>
      <numFmt numFmtId="167" formatCode="0.000000"/>
    </dxf>
    <dxf>
      <numFmt numFmtId="168" formatCode="0.00000"/>
    </dxf>
    <dxf>
      <numFmt numFmtId="169" formatCode="0.0000"/>
    </dxf>
    <dxf>
      <numFmt numFmtId="170" formatCode="0.000"/>
    </dxf>
    <dxf>
      <numFmt numFmtId="2" formatCode="0.00"/>
    </dxf>
    <dxf>
      <numFmt numFmtId="171" formatCode="0.0"/>
    </dxf>
    <dxf>
      <numFmt numFmtId="2" formatCode="0.00"/>
    </dxf>
    <dxf>
      <numFmt numFmtId="166" formatCode="0.0000000"/>
    </dxf>
    <dxf>
      <numFmt numFmtId="167" formatCode="0.000000"/>
    </dxf>
    <dxf>
      <numFmt numFmtId="168" formatCode="0.00000"/>
    </dxf>
    <dxf>
      <numFmt numFmtId="169" formatCode="0.0000"/>
    </dxf>
    <dxf>
      <numFmt numFmtId="170" formatCode="0.000"/>
    </dxf>
    <dxf>
      <numFmt numFmtId="2" formatCode="0.00"/>
    </dxf>
    <dxf>
      <fill>
        <patternFill patternType="solid">
          <bgColor theme="5"/>
        </patternFill>
      </fill>
    </dxf>
    <dxf>
      <font>
        <color theme="0"/>
      </font>
    </dxf>
    <dxf>
      <border>
        <left/>
        <top/>
        <bottom/>
      </border>
    </dxf>
    <dxf>
      <font>
        <b/>
      </font>
    </dxf>
    <dxf>
      <border>
        <left/>
        <right/>
        <top/>
        <bottom/>
      </border>
    </dxf>
    <dxf>
      <border>
        <left/>
        <right/>
        <top/>
        <bottom/>
      </border>
    </dxf>
    <dxf>
      <border>
        <top/>
      </border>
    </dxf>
    <dxf>
      <fill>
        <patternFill>
          <bgColor theme="5" tint="-0.249977111117893"/>
        </patternFill>
      </fill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/>
        <right/>
        <top/>
        <bottom/>
        <vertical/>
      </border>
    </dxf>
    <dxf>
      <border>
        <left/>
        <right/>
        <top/>
        <bottom/>
        <vertical/>
      </border>
    </dxf>
    <dxf>
      <border>
        <left/>
        <top/>
      </border>
    </dxf>
    <dxf>
      <border>
        <left/>
        <top/>
      </border>
    </dxf>
    <dxf>
      <border>
        <top/>
      </border>
    </dxf>
    <dxf>
      <border>
        <top/>
      </border>
    </dxf>
    <dxf>
      <border>
        <left/>
        <top/>
      </border>
    </dxf>
    <dxf>
      <border>
        <left/>
        <top/>
      </border>
    </dxf>
    <dxf>
      <border>
        <top/>
      </border>
    </dxf>
    <dxf>
      <border>
        <top/>
      </border>
    </dxf>
    <dxf>
      <border>
        <top/>
      </border>
    </dxf>
    <dxf>
      <border>
        <top/>
      </border>
    </dxf>
    <dxf>
      <border>
        <top/>
      </border>
    </dxf>
    <dxf>
      <border>
        <top/>
      </border>
    </dxf>
    <dxf>
      <border>
        <top/>
      </border>
    </dxf>
    <dxf>
      <border>
        <top/>
      </border>
    </dxf>
    <dxf>
      <border>
        <top/>
      </border>
    </dxf>
    <dxf>
      <border>
        <top/>
      </border>
    </dxf>
    <dxf>
      <border>
        <top/>
      </border>
    </dxf>
    <dxf>
      <border>
        <top/>
      </border>
    </dxf>
    <dxf>
      <border>
        <top/>
      </border>
    </dxf>
    <dxf>
      <border>
        <top/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fill>
        <patternFill>
          <bgColor theme="5"/>
        </patternFill>
      </fill>
    </dxf>
    <dxf>
      <border>
        <horizontal style="thin">
          <color indexed="64"/>
        </horizontal>
      </border>
    </dxf>
    <dxf>
      <border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  <horizontal style="thin">
          <color indexed="64"/>
        </horizontal>
      </border>
    </dxf>
    <dxf>
      <border>
        <top style="thin">
          <color indexed="64"/>
        </top>
        <horizontal style="thin">
          <color indexed="64"/>
        </horizontal>
      </border>
    </dxf>
    <dxf>
      <border>
        <vertical style="thin">
          <color indexed="64"/>
        </vertical>
        <horizontal style="thin">
          <color indexed="64"/>
        </horizontal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vertical style="thin">
          <color indexed="64"/>
        </vertical>
        <horizontal style="thin">
          <color indexed="64"/>
        </horizontal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right style="thin">
          <color indexed="64"/>
        </right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4" formatCode="0.00%"/>
    </dxf>
    <dxf>
      <numFmt numFmtId="13" formatCode="0%"/>
    </dxf>
    <dxf>
      <alignment horizontal="center" readingOrder="0"/>
    </dxf>
    <dxf>
      <numFmt numFmtId="164" formatCode="0.0%"/>
    </dxf>
    <dxf>
      <numFmt numFmtId="14" formatCode="0.00%"/>
    </dxf>
    <dxf>
      <numFmt numFmtId="13" formatCode="0%"/>
    </dxf>
    <dxf>
      <alignment horizontal="center" readingOrder="0"/>
    </dxf>
    <dxf>
      <numFmt numFmtId="164" formatCode="0.0%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readingOrder="0"/>
    </dxf>
    <dxf>
      <numFmt numFmtId="13" formatCode="0%"/>
    </dxf>
    <dxf>
      <alignment horizontal="center" readingOrder="0"/>
    </dxf>
    <dxf>
      <border>
        <right style="thin">
          <color indexed="64"/>
        </right>
      </border>
    </dxf>
    <dxf>
      <fill>
        <patternFill>
          <bgColor rgb="FFE84C22"/>
        </patternFill>
      </fill>
    </dxf>
    <dxf>
      <fill>
        <patternFill>
          <bgColor rgb="FFE84C22"/>
        </patternFill>
      </fill>
    </dxf>
    <dxf>
      <numFmt numFmtId="14" formatCode="0.00%"/>
    </dxf>
    <dxf>
      <font>
        <color theme="0"/>
      </font>
      <numFmt numFmtId="0" formatCode="General"/>
      <fill>
        <patternFill patternType="solid">
          <fgColor indexed="64"/>
          <bgColor rgb="FFE84C22"/>
        </patternFill>
      </fill>
    </dxf>
    <dxf>
      <alignment horizontal="center"/>
    </dxf>
    <dxf>
      <numFmt numFmtId="166" formatCode="0.0000000"/>
    </dxf>
    <dxf>
      <numFmt numFmtId="167" formatCode="0.000000"/>
    </dxf>
    <dxf>
      <numFmt numFmtId="168" formatCode="0.00000"/>
    </dxf>
    <dxf>
      <numFmt numFmtId="169" formatCode="0.0000"/>
    </dxf>
    <dxf>
      <numFmt numFmtId="170" formatCode="0.000"/>
    </dxf>
    <dxf>
      <numFmt numFmtId="2" formatCode="0.00"/>
    </dxf>
    <dxf>
      <numFmt numFmtId="171" formatCode="0.0"/>
    </dxf>
    <dxf>
      <numFmt numFmtId="2" formatCode="0.00"/>
    </dxf>
    <dxf>
      <numFmt numFmtId="166" formatCode="0.0000000"/>
    </dxf>
    <dxf>
      <numFmt numFmtId="167" formatCode="0.000000"/>
    </dxf>
    <dxf>
      <numFmt numFmtId="168" formatCode="0.00000"/>
    </dxf>
    <dxf>
      <numFmt numFmtId="169" formatCode="0.0000"/>
    </dxf>
    <dxf>
      <numFmt numFmtId="170" formatCode="0.000"/>
    </dxf>
    <dxf>
      <numFmt numFmtId="2" formatCode="0.00"/>
    </dxf>
    <dxf>
      <fill>
        <patternFill patternType="solid">
          <bgColor theme="5"/>
        </patternFill>
      </fill>
    </dxf>
    <dxf>
      <fill>
        <patternFill patternType="solid">
          <bgColor theme="5"/>
        </patternFill>
      </fill>
    </dxf>
    <dxf>
      <font>
        <color theme="0"/>
      </font>
    </dxf>
    <dxf>
      <font>
        <color theme="0"/>
      </font>
    </dxf>
    <dxf>
      <border>
        <left/>
        <top/>
        <bottom/>
      </border>
    </dxf>
    <dxf>
      <font>
        <b/>
      </font>
    </dxf>
    <dxf>
      <border>
        <right/>
        <top/>
        <bottom/>
      </border>
    </dxf>
    <dxf>
      <border>
        <right/>
        <top/>
        <bottom/>
      </border>
    </dxf>
    <dxf>
      <border>
        <left/>
        <right/>
        <top/>
      </border>
    </dxf>
    <dxf>
      <border>
        <left/>
        <right/>
        <top/>
      </border>
    </dxf>
    <dxf>
      <border>
        <left/>
        <right/>
        <top/>
      </border>
    </dxf>
    <dxf>
      <border>
        <left/>
        <right/>
        <top/>
      </border>
    </dxf>
    <dxf>
      <border>
        <left/>
        <right/>
        <top/>
      </border>
    </dxf>
    <dxf>
      <border>
        <top/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lor theme="0"/>
      </font>
      <fill>
        <patternFill patternType="solid">
          <fgColor indexed="64"/>
          <bgColor theme="5"/>
        </patternFill>
      </fill>
    </dxf>
    <dxf>
      <border>
        <horizontal style="thin">
          <color indexed="64"/>
        </horizontal>
      </border>
    </dxf>
    <dxf>
      <border>
        <vertical style="thin">
          <color indexed="64"/>
        </vertical>
      </border>
    </dxf>
    <dxf>
      <font>
        <b val="0"/>
      </font>
    </dxf>
    <dxf>
      <font>
        <b val="0"/>
      </font>
    </dxf>
    <dxf>
      <font>
        <b/>
      </font>
    </dxf>
    <dxf>
      <font>
        <b/>
      </font>
    </dxf>
    <dxf>
      <border>
        <vertical style="thin">
          <color indexed="64"/>
        </vertical>
      </border>
    </dxf>
    <dxf>
      <border>
        <vertical style="thin">
          <color indexed="64"/>
        </vertical>
      </border>
    </dxf>
    <dxf>
      <font>
        <b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/>
        <color theme="0"/>
      </font>
      <fill>
        <patternFill patternType="solid">
          <fgColor indexed="64"/>
          <bgColor theme="5"/>
        </patternFill>
      </fill>
    </dxf>
    <dxf>
      <numFmt numFmtId="13" formatCode="0%"/>
    </dxf>
    <dxf>
      <numFmt numFmtId="164" formatCode="0.0%"/>
    </dxf>
    <dxf>
      <numFmt numFmtId="14" formatCode="0.00%"/>
    </dxf>
    <dxf>
      <border>
        <right style="thin">
          <color indexed="64"/>
        </right>
        <vertical style="thin">
          <color indexed="64"/>
        </vertical>
        <horizontal style="thin">
          <color indexed="64"/>
        </horizontal>
      </border>
    </dxf>
    <dxf>
      <font>
        <color theme="0"/>
      </font>
      <fill>
        <patternFill patternType="solid">
          <fgColor indexed="64"/>
          <bgColor theme="5"/>
        </patternFill>
      </fill>
    </dxf>
    <dxf>
      <border>
        <vertical style="thin">
          <color indexed="64"/>
        </vertical>
      </border>
    </dxf>
    <dxf>
      <numFmt numFmtId="14" formatCode="0.00%"/>
    </dxf>
    <dxf>
      <border>
        <right style="thin">
          <color indexed="64"/>
        </right>
        <vertical style="thin">
          <color indexed="64"/>
        </vertical>
        <horizontal style="thin">
          <color indexed="64"/>
        </horizontal>
      </border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border>
        <vertical style="thin">
          <color indexed="64"/>
        </vertical>
        <horizontal style="thin">
          <color indexed="64"/>
        </horizontal>
      </border>
    </dxf>
    <dxf>
      <border>
        <vertical style="thin">
          <color indexed="64"/>
        </vertical>
        <horizontal style="thin">
          <color indexed="64"/>
        </horizontal>
      </border>
    </dxf>
    <dxf>
      <border>
        <vertical style="thin">
          <color indexed="64"/>
        </vertical>
        <horizontal style="thin">
          <color indexed="64"/>
        </horizontal>
      </border>
    </dxf>
    <dxf>
      <border>
        <vertical style="thin">
          <color indexed="64"/>
        </vertical>
        <horizontal style="thin">
          <color indexed="64"/>
        </horizontal>
      </border>
    </dxf>
    <dxf>
      <border>
        <vertical style="thin">
          <color indexed="64"/>
        </vertical>
        <horizontal style="thin">
          <color indexed="64"/>
        </horizontal>
      </border>
    </dxf>
    <dxf>
      <numFmt numFmtId="13" formatCode="0%"/>
    </dxf>
    <dxf>
      <numFmt numFmtId="172" formatCode="0.000%"/>
    </dxf>
    <dxf>
      <numFmt numFmtId="14" formatCode="0.00%"/>
    </dxf>
    <dxf>
      <numFmt numFmtId="164" formatCode="0.0%"/>
    </dxf>
    <dxf>
      <alignment horizontal="center" readingOrder="0"/>
    </dxf>
    <dxf>
      <numFmt numFmtId="164" formatCode="0.0%"/>
    </dxf>
    <dxf>
      <fill>
        <patternFill>
          <bgColor rgb="FFE84C22"/>
        </patternFill>
      </fill>
    </dxf>
    <dxf>
      <fill>
        <patternFill>
          <bgColor rgb="FFE84C22"/>
        </patternFill>
      </fill>
    </dxf>
    <dxf>
      <numFmt numFmtId="13" formatCode="0%"/>
    </dxf>
    <dxf>
      <font>
        <b/>
        <color theme="0"/>
      </font>
      <numFmt numFmtId="14" formatCode="0.00%"/>
      <fill>
        <patternFill patternType="solid">
          <fgColor indexed="64"/>
          <bgColor rgb="FFE84C22"/>
        </patternFill>
      </fill>
    </dxf>
    <dxf>
      <numFmt numFmtId="14" formatCode="0.00%"/>
    </dxf>
    <dxf>
      <numFmt numFmtId="14" formatCode="0.00%"/>
    </dxf>
    <dxf>
      <fill>
        <patternFill patternType="solid">
          <fgColor indexed="64"/>
          <bgColor rgb="FFE84C22"/>
        </patternFill>
      </fill>
      <alignment horizontal="center"/>
    </dxf>
    <dxf>
      <numFmt numFmtId="14" formatCode="0.00%"/>
    </dxf>
    <dxf>
      <numFmt numFmtId="0" formatCode="General"/>
      <fill>
        <patternFill patternType="solid">
          <fgColor indexed="64"/>
          <bgColor rgb="FFE84C22"/>
        </patternFill>
      </fill>
      <alignment horizontal="center"/>
    </dxf>
    <dxf>
      <alignment horizontal="center"/>
    </dxf>
    <dxf>
      <alignment vertical="center"/>
    </dxf>
    <dxf>
      <alignment horizontal="center"/>
    </dxf>
    <dxf>
      <alignment vertical="center"/>
    </dxf>
    <dxf>
      <numFmt numFmtId="166" formatCode="0.0000000"/>
    </dxf>
    <dxf>
      <numFmt numFmtId="167" formatCode="0.000000"/>
    </dxf>
    <dxf>
      <numFmt numFmtId="168" formatCode="0.00000"/>
    </dxf>
    <dxf>
      <numFmt numFmtId="169" formatCode="0.0000"/>
    </dxf>
    <dxf>
      <numFmt numFmtId="170" formatCode="0.000"/>
    </dxf>
    <dxf>
      <numFmt numFmtId="2" formatCode="0.00"/>
    </dxf>
    <dxf>
      <numFmt numFmtId="171" formatCode="0.0"/>
    </dxf>
    <dxf>
      <numFmt numFmtId="2" formatCode="0.00"/>
    </dxf>
    <dxf>
      <numFmt numFmtId="166" formatCode="0.0000000"/>
    </dxf>
    <dxf>
      <numFmt numFmtId="167" formatCode="0.000000"/>
    </dxf>
    <dxf>
      <numFmt numFmtId="168" formatCode="0.00000"/>
    </dxf>
    <dxf>
      <numFmt numFmtId="169" formatCode="0.0000"/>
    </dxf>
    <dxf>
      <numFmt numFmtId="170" formatCode="0.000"/>
    </dxf>
    <dxf>
      <numFmt numFmtId="2" formatCode="0.00"/>
    </dxf>
    <dxf>
      <fill>
        <patternFill patternType="solid">
          <bgColor theme="5"/>
        </patternFill>
      </fill>
    </dxf>
    <dxf>
      <font>
        <color theme="0"/>
      </font>
    </dxf>
    <dxf>
      <border>
        <left/>
        <top/>
        <bottom/>
      </border>
    </dxf>
    <dxf>
      <font>
        <b/>
      </font>
    </dxf>
    <dxf>
      <border>
        <right/>
        <top/>
        <bottom/>
      </border>
    </dxf>
    <dxf>
      <border>
        <right/>
        <top/>
        <bottom/>
      </border>
    </dxf>
    <dxf>
      <border>
        <left/>
        <right/>
        <top/>
      </border>
    </dxf>
    <dxf>
      <border>
        <left/>
        <right/>
        <top/>
      </border>
    </dxf>
    <dxf>
      <border>
        <left/>
        <right/>
        <top/>
      </border>
    </dxf>
    <dxf>
      <border>
        <left/>
        <right/>
        <top/>
      </border>
    </dxf>
    <dxf>
      <border>
        <top/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lor theme="0"/>
      </font>
      <fill>
        <patternFill patternType="solid">
          <fgColor indexed="64"/>
          <bgColor theme="5"/>
        </patternFill>
      </fill>
    </dxf>
    <dxf>
      <border>
        <horizontal style="thin">
          <color indexed="64"/>
        </horizontal>
      </border>
    </dxf>
    <dxf>
      <border>
        <vertical style="thin">
          <color indexed="64"/>
        </vertical>
      </border>
    </dxf>
    <dxf>
      <font>
        <b val="0"/>
      </font>
    </dxf>
    <dxf>
      <font>
        <b val="0"/>
      </font>
    </dxf>
    <dxf>
      <font>
        <b/>
      </font>
    </dxf>
    <dxf>
      <font>
        <b/>
      </font>
    </dxf>
    <dxf>
      <border>
        <vertical style="thin">
          <color indexed="64"/>
        </vertical>
      </border>
    </dxf>
    <dxf>
      <border>
        <vertical style="thin">
          <color indexed="64"/>
        </vertical>
      </border>
    </dxf>
    <dxf>
      <font>
        <b/>
      </font>
    </dxf>
    <dxf>
      <font>
        <b/>
        <color theme="0"/>
      </font>
      <fill>
        <patternFill patternType="solid">
          <fgColor indexed="64"/>
          <bgColor theme="5"/>
        </patternFill>
      </fill>
    </dxf>
    <dxf>
      <font>
        <color theme="0"/>
      </font>
      <fill>
        <patternFill patternType="solid">
          <fgColor indexed="64"/>
          <bgColor theme="5"/>
        </patternFill>
      </fill>
    </dxf>
    <dxf>
      <numFmt numFmtId="14" formatCode="0.00%"/>
    </dxf>
    <dxf>
      <numFmt numFmtId="14" formatCode="0.00%"/>
    </dxf>
    <dxf>
      <border>
        <left style="thin">
          <color indexed="64"/>
        </left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vertical style="thin">
          <color indexed="64"/>
        </vertical>
        <horizontal style="thin">
          <color indexed="64"/>
        </horizontal>
      </border>
    </dxf>
    <dxf>
      <font>
        <b/>
      </font>
    </dxf>
    <dxf>
      <font>
        <b/>
        <color theme="0"/>
      </font>
      <numFmt numFmtId="14" formatCode="0.00%"/>
      <fill>
        <patternFill patternType="solid">
          <fgColor indexed="64"/>
          <bgColor theme="5"/>
        </patternFill>
      </fill>
    </dxf>
    <dxf>
      <numFmt numFmtId="13" formatCode="0%"/>
    </dxf>
    <dxf>
      <numFmt numFmtId="164" formatCode="0.0%"/>
    </dxf>
    <dxf>
      <fill>
        <patternFill>
          <bgColor rgb="FFE94C22"/>
        </patternFill>
      </fill>
    </dxf>
    <dxf>
      <numFmt numFmtId="14" formatCode="0.00%"/>
    </dxf>
    <dxf>
      <numFmt numFmtId="14" formatCode="0.00%"/>
    </dxf>
    <dxf>
      <font>
        <b/>
        <color theme="0"/>
      </font>
      <fill>
        <patternFill patternType="solid">
          <fgColor indexed="64"/>
          <bgColor rgb="FFE94C22"/>
        </patternFill>
      </fill>
    </dxf>
    <dxf>
      <font>
        <b/>
        <color theme="0"/>
      </font>
      <numFmt numFmtId="14" formatCode="0.00%"/>
      <fill>
        <patternFill patternType="solid">
          <fgColor indexed="64"/>
          <bgColor rgb="FFE94C22"/>
        </patternFill>
      </fill>
    </dxf>
    <dxf>
      <numFmt numFmtId="14" formatCode="0.00%"/>
    </dxf>
    <dxf>
      <font>
        <b/>
        <color theme="0"/>
      </font>
      <fill>
        <patternFill patternType="solid">
          <fgColor indexed="64"/>
          <bgColor rgb="FFE94C22"/>
        </patternFill>
      </fill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readingOrder="0"/>
    </dxf>
    <dxf>
      <fill>
        <patternFill patternType="solid">
          <bgColor rgb="FFE84C22"/>
        </patternFill>
      </fill>
    </dxf>
    <dxf>
      <fill>
        <patternFill patternType="solid">
          <bgColor rgb="FFE84C22"/>
        </patternFill>
      </fill>
    </dxf>
    <dxf>
      <numFmt numFmtId="166" formatCode="0.0000000"/>
    </dxf>
    <dxf>
      <numFmt numFmtId="167" formatCode="0.000000"/>
    </dxf>
    <dxf>
      <numFmt numFmtId="168" formatCode="0.00000"/>
    </dxf>
    <dxf>
      <numFmt numFmtId="169" formatCode="0.0000"/>
    </dxf>
    <dxf>
      <numFmt numFmtId="170" formatCode="0.000"/>
    </dxf>
    <dxf>
      <numFmt numFmtId="2" formatCode="0.00"/>
    </dxf>
    <dxf>
      <numFmt numFmtId="171" formatCode="0.0"/>
    </dxf>
    <dxf>
      <numFmt numFmtId="2" formatCode="0.00"/>
    </dxf>
    <dxf>
      <numFmt numFmtId="166" formatCode="0.0000000"/>
    </dxf>
    <dxf>
      <numFmt numFmtId="167" formatCode="0.000000"/>
    </dxf>
    <dxf>
      <numFmt numFmtId="168" formatCode="0.00000"/>
    </dxf>
    <dxf>
      <numFmt numFmtId="169" formatCode="0.0000"/>
    </dxf>
    <dxf>
      <numFmt numFmtId="170" formatCode="0.000"/>
    </dxf>
    <dxf>
      <numFmt numFmtId="2" formatCode="0.00"/>
    </dxf>
    <dxf>
      <fill>
        <patternFill patternType="solid">
          <bgColor theme="5"/>
        </patternFill>
      </fill>
    </dxf>
    <dxf>
      <fill>
        <patternFill patternType="solid">
          <bgColor theme="5"/>
        </patternFill>
      </fill>
    </dxf>
    <dxf>
      <font>
        <color theme="0"/>
      </font>
    </dxf>
    <dxf>
      <font>
        <color theme="0"/>
      </font>
    </dxf>
    <dxf>
      <border>
        <left/>
        <top/>
        <bottom/>
      </border>
    </dxf>
    <dxf>
      <font>
        <b/>
      </font>
    </dxf>
    <dxf>
      <border>
        <right/>
        <top/>
        <bottom/>
      </border>
    </dxf>
    <dxf>
      <border>
        <right/>
        <top/>
        <bottom/>
      </border>
    </dxf>
    <dxf>
      <border>
        <left/>
        <right/>
        <top/>
      </border>
    </dxf>
    <dxf>
      <border>
        <left/>
        <right/>
        <top/>
      </border>
    </dxf>
    <dxf>
      <border>
        <left/>
        <right/>
        <top/>
      </border>
    </dxf>
    <dxf>
      <border>
        <left/>
        <right/>
        <top/>
      </border>
    </dxf>
    <dxf>
      <border>
        <left/>
        <right/>
        <top/>
      </border>
    </dxf>
    <dxf>
      <border>
        <top/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lor theme="0"/>
      </font>
      <fill>
        <patternFill patternType="solid">
          <fgColor indexed="64"/>
          <bgColor theme="5"/>
        </patternFill>
      </fill>
    </dxf>
    <dxf>
      <border>
        <horizontal style="thin">
          <color indexed="64"/>
        </horizontal>
      </border>
    </dxf>
    <dxf>
      <border>
        <vertical style="thin">
          <color indexed="64"/>
        </vertical>
      </border>
    </dxf>
    <dxf>
      <font>
        <b val="0"/>
      </font>
    </dxf>
    <dxf>
      <font>
        <b val="0"/>
      </font>
    </dxf>
    <dxf>
      <font>
        <b/>
      </font>
    </dxf>
    <dxf>
      <font>
        <b/>
      </font>
    </dxf>
    <dxf>
      <border>
        <vertical style="thin">
          <color indexed="64"/>
        </vertical>
      </border>
    </dxf>
    <dxf>
      <border>
        <vertical style="thin">
          <color indexed="64"/>
        </vertical>
      </border>
    </dxf>
    <dxf>
      <font>
        <b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/>
        <color theme="0"/>
      </font>
      <fill>
        <patternFill patternType="solid">
          <fgColor indexed="64"/>
          <bgColor theme="5"/>
        </patternFill>
      </fill>
    </dxf>
    <dxf>
      <numFmt numFmtId="13" formatCode="0%"/>
    </dxf>
    <dxf>
      <numFmt numFmtId="164" formatCode="0.0%"/>
    </dxf>
    <dxf>
      <numFmt numFmtId="14" formatCode="0.00%"/>
    </dxf>
    <dxf>
      <border>
        <right style="thin">
          <color indexed="64"/>
        </right>
        <vertical style="thin">
          <color indexed="64"/>
        </vertical>
        <horizontal style="thin">
          <color indexed="64"/>
        </horizontal>
      </border>
    </dxf>
    <dxf>
      <font>
        <color theme="0"/>
      </font>
      <fill>
        <patternFill patternType="solid">
          <fgColor indexed="64"/>
          <bgColor theme="5"/>
        </patternFill>
      </fill>
    </dxf>
    <dxf>
      <border>
        <vertical style="thin">
          <color indexed="64"/>
        </vertical>
      </border>
    </dxf>
    <dxf>
      <numFmt numFmtId="14" formatCode="0.00%"/>
    </dxf>
    <dxf>
      <border>
        <right style="thin">
          <color indexed="64"/>
        </right>
        <vertical style="thin">
          <color indexed="64"/>
        </vertical>
        <horizontal style="thin">
          <color indexed="64"/>
        </horizontal>
      </border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border>
        <vertical style="thin">
          <color indexed="64"/>
        </vertical>
        <horizontal style="thin">
          <color indexed="64"/>
        </horizontal>
      </border>
    </dxf>
    <dxf>
      <border>
        <vertical style="thin">
          <color indexed="64"/>
        </vertical>
        <horizontal style="thin">
          <color indexed="64"/>
        </horizontal>
      </border>
    </dxf>
    <dxf>
      <border>
        <vertical style="thin">
          <color indexed="64"/>
        </vertical>
        <horizontal style="thin">
          <color indexed="64"/>
        </horizontal>
      </border>
    </dxf>
    <dxf>
      <border>
        <vertical style="thin">
          <color indexed="64"/>
        </vertical>
        <horizontal style="thin">
          <color indexed="64"/>
        </horizontal>
      </border>
    </dxf>
    <dxf>
      <border>
        <vertical style="thin">
          <color indexed="64"/>
        </vertical>
        <horizontal style="thin">
          <color indexed="64"/>
        </horizontal>
      </border>
    </dxf>
    <dxf>
      <numFmt numFmtId="13" formatCode="0%"/>
    </dxf>
    <dxf>
      <numFmt numFmtId="172" formatCode="0.000%"/>
    </dxf>
    <dxf>
      <numFmt numFmtId="14" formatCode="0.00%"/>
    </dxf>
    <dxf>
      <numFmt numFmtId="164" formatCode="0.0%"/>
    </dxf>
    <dxf>
      <alignment horizontal="center" readingOrder="0"/>
    </dxf>
    <dxf>
      <numFmt numFmtId="164" formatCode="0.0%"/>
    </dxf>
    <dxf>
      <fill>
        <patternFill>
          <bgColor rgb="FFE84C22"/>
        </patternFill>
      </fill>
    </dxf>
    <dxf>
      <fill>
        <patternFill>
          <bgColor rgb="FFE84C22"/>
        </patternFill>
      </fill>
    </dxf>
    <dxf>
      <numFmt numFmtId="13" formatCode="0%"/>
    </dxf>
    <dxf>
      <font>
        <b/>
        <color theme="0"/>
      </font>
      <numFmt numFmtId="14" formatCode="0.00%"/>
      <fill>
        <patternFill patternType="solid">
          <fgColor indexed="64"/>
          <bgColor rgb="FFE84C22"/>
        </patternFill>
      </fill>
    </dxf>
    <dxf>
      <numFmt numFmtId="14" formatCode="0.00%"/>
    </dxf>
    <dxf>
      <numFmt numFmtId="14" formatCode="0.00%"/>
    </dxf>
    <dxf>
      <fill>
        <patternFill patternType="solid">
          <fgColor indexed="64"/>
          <bgColor rgb="FFE84C22"/>
        </patternFill>
      </fill>
      <alignment horizontal="center"/>
    </dxf>
    <dxf>
      <numFmt numFmtId="14" formatCode="0.00%"/>
    </dxf>
    <dxf>
      <numFmt numFmtId="0" formatCode="General"/>
      <fill>
        <patternFill patternType="solid">
          <fgColor indexed="64"/>
          <bgColor rgb="FFE84C22"/>
        </patternFill>
      </fill>
      <alignment horizontal="center"/>
    </dxf>
    <dxf>
      <alignment horizontal="center"/>
    </dxf>
    <dxf>
      <alignment vertical="center"/>
    </dxf>
    <dxf>
      <alignment horizontal="center"/>
    </dxf>
    <dxf>
      <alignment vertical="center"/>
    </dxf>
    <dxf>
      <numFmt numFmtId="166" formatCode="0.0000000"/>
    </dxf>
    <dxf>
      <numFmt numFmtId="167" formatCode="0.000000"/>
    </dxf>
    <dxf>
      <numFmt numFmtId="168" formatCode="0.00000"/>
    </dxf>
    <dxf>
      <numFmt numFmtId="169" formatCode="0.0000"/>
    </dxf>
    <dxf>
      <numFmt numFmtId="170" formatCode="0.000"/>
    </dxf>
    <dxf>
      <numFmt numFmtId="2" formatCode="0.00"/>
    </dxf>
    <dxf>
      <numFmt numFmtId="171" formatCode="0.0"/>
    </dxf>
    <dxf>
      <numFmt numFmtId="2" formatCode="0.00"/>
    </dxf>
    <dxf>
      <numFmt numFmtId="166" formatCode="0.0000000"/>
    </dxf>
    <dxf>
      <numFmt numFmtId="167" formatCode="0.000000"/>
    </dxf>
    <dxf>
      <numFmt numFmtId="168" formatCode="0.00000"/>
    </dxf>
    <dxf>
      <numFmt numFmtId="169" formatCode="0.0000"/>
    </dxf>
    <dxf>
      <numFmt numFmtId="170" formatCode="0.000"/>
    </dxf>
    <dxf>
      <numFmt numFmtId="2" formatCode="0.00"/>
    </dxf>
    <dxf>
      <fill>
        <patternFill patternType="solid">
          <bgColor theme="5"/>
        </patternFill>
      </fill>
    </dxf>
    <dxf>
      <font>
        <color theme="0"/>
      </font>
    </dxf>
    <dxf>
      <border>
        <left/>
        <top/>
        <bottom/>
      </border>
    </dxf>
    <dxf>
      <font>
        <b/>
      </font>
    </dxf>
    <dxf>
      <border>
        <right/>
        <top/>
        <bottom/>
      </border>
    </dxf>
    <dxf>
      <border>
        <right/>
        <top/>
        <bottom/>
      </border>
    </dxf>
    <dxf>
      <border>
        <left/>
        <right/>
        <top/>
      </border>
    </dxf>
    <dxf>
      <border>
        <left/>
        <right/>
        <top/>
      </border>
    </dxf>
    <dxf>
      <border>
        <left/>
        <right/>
        <top/>
      </border>
    </dxf>
    <dxf>
      <border>
        <left/>
        <right/>
        <top/>
      </border>
    </dxf>
    <dxf>
      <border>
        <top/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lor theme="0"/>
      </font>
      <fill>
        <patternFill patternType="solid">
          <fgColor indexed="64"/>
          <bgColor theme="5"/>
        </patternFill>
      </fill>
    </dxf>
    <dxf>
      <border>
        <horizontal style="thin">
          <color indexed="64"/>
        </horizontal>
      </border>
    </dxf>
    <dxf>
      <border>
        <vertical style="thin">
          <color indexed="64"/>
        </vertical>
      </border>
    </dxf>
    <dxf>
      <font>
        <b val="0"/>
      </font>
    </dxf>
    <dxf>
      <font>
        <b val="0"/>
      </font>
    </dxf>
    <dxf>
      <font>
        <b/>
      </font>
    </dxf>
    <dxf>
      <font>
        <b/>
      </font>
    </dxf>
    <dxf>
      <border>
        <vertical style="thin">
          <color indexed="64"/>
        </vertical>
      </border>
    </dxf>
    <dxf>
      <border>
        <vertical style="thin">
          <color indexed="64"/>
        </vertical>
      </border>
    </dxf>
    <dxf>
      <font>
        <b/>
      </font>
    </dxf>
    <dxf>
      <font>
        <b/>
        <color theme="0"/>
      </font>
      <fill>
        <patternFill patternType="solid">
          <fgColor indexed="64"/>
          <bgColor theme="5"/>
        </patternFill>
      </fill>
    </dxf>
    <dxf>
      <font>
        <color theme="0"/>
      </font>
      <fill>
        <patternFill patternType="solid">
          <fgColor indexed="64"/>
          <bgColor theme="5"/>
        </patternFill>
      </fill>
    </dxf>
    <dxf>
      <numFmt numFmtId="14" formatCode="0.00%"/>
    </dxf>
    <dxf>
      <numFmt numFmtId="14" formatCode="0.00%"/>
    </dxf>
    <dxf>
      <border>
        <left style="thin">
          <color indexed="64"/>
        </left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vertical style="thin">
          <color indexed="64"/>
        </vertical>
        <horizontal style="thin">
          <color indexed="64"/>
        </horizontal>
      </border>
    </dxf>
    <dxf>
      <font>
        <b/>
      </font>
    </dxf>
    <dxf>
      <font>
        <b/>
        <color theme="0"/>
      </font>
      <numFmt numFmtId="14" formatCode="0.00%"/>
      <fill>
        <patternFill patternType="solid">
          <fgColor indexed="64"/>
          <bgColor theme="5"/>
        </patternFill>
      </fill>
    </dxf>
    <dxf>
      <numFmt numFmtId="13" formatCode="0%"/>
    </dxf>
    <dxf>
      <numFmt numFmtId="164" formatCode="0.0%"/>
    </dxf>
    <dxf>
      <fill>
        <patternFill>
          <bgColor rgb="FFE94C22"/>
        </patternFill>
      </fill>
    </dxf>
    <dxf>
      <numFmt numFmtId="14" formatCode="0.00%"/>
    </dxf>
    <dxf>
      <numFmt numFmtId="14" formatCode="0.00%"/>
    </dxf>
    <dxf>
      <font>
        <b/>
        <color theme="0"/>
      </font>
      <fill>
        <patternFill patternType="solid">
          <fgColor indexed="64"/>
          <bgColor rgb="FFE94C22"/>
        </patternFill>
      </fill>
    </dxf>
    <dxf>
      <font>
        <b/>
        <color theme="0"/>
      </font>
      <numFmt numFmtId="14" formatCode="0.00%"/>
      <fill>
        <patternFill patternType="solid">
          <fgColor indexed="64"/>
          <bgColor rgb="FFE94C22"/>
        </patternFill>
      </fill>
    </dxf>
    <dxf>
      <numFmt numFmtId="14" formatCode="0.00%"/>
    </dxf>
    <dxf>
      <font>
        <b/>
        <color theme="0"/>
      </font>
      <fill>
        <patternFill patternType="solid">
          <fgColor indexed="64"/>
          <bgColor rgb="FFE94C22"/>
        </patternFill>
      </fill>
    </dxf>
    <dxf>
      <numFmt numFmtId="166" formatCode="0.0000000"/>
    </dxf>
    <dxf>
      <numFmt numFmtId="167" formatCode="0.000000"/>
    </dxf>
    <dxf>
      <numFmt numFmtId="168" formatCode="0.00000"/>
    </dxf>
    <dxf>
      <numFmt numFmtId="169" formatCode="0.0000"/>
    </dxf>
    <dxf>
      <numFmt numFmtId="170" formatCode="0.000"/>
    </dxf>
    <dxf>
      <numFmt numFmtId="2" formatCode="0.00"/>
    </dxf>
    <dxf>
      <numFmt numFmtId="171" formatCode="0.0"/>
    </dxf>
    <dxf>
      <numFmt numFmtId="2" formatCode="0.00"/>
    </dxf>
    <dxf>
      <numFmt numFmtId="166" formatCode="0.0000000"/>
    </dxf>
    <dxf>
      <numFmt numFmtId="167" formatCode="0.000000"/>
    </dxf>
    <dxf>
      <numFmt numFmtId="168" formatCode="0.00000"/>
    </dxf>
    <dxf>
      <numFmt numFmtId="169" formatCode="0.0000"/>
    </dxf>
    <dxf>
      <numFmt numFmtId="170" formatCode="0.000"/>
    </dxf>
    <dxf>
      <numFmt numFmtId="2" formatCode="0.00"/>
    </dxf>
    <dxf>
      <fill>
        <patternFill patternType="solid">
          <bgColor theme="5"/>
        </patternFill>
      </fill>
    </dxf>
    <dxf>
      <font>
        <color theme="0"/>
      </font>
    </dxf>
    <dxf>
      <border>
        <left/>
        <top/>
        <bottom/>
      </border>
    </dxf>
    <dxf>
      <font>
        <b/>
      </font>
    </dxf>
    <dxf>
      <border>
        <left/>
        <right/>
        <top/>
        <bottom/>
      </border>
    </dxf>
    <dxf>
      <border>
        <left/>
        <right/>
        <top/>
        <bottom/>
      </border>
    </dxf>
    <dxf>
      <border>
        <top/>
      </border>
    </dxf>
    <dxf>
      <fill>
        <patternFill>
          <bgColor theme="5" tint="-0.249977111117893"/>
        </patternFill>
      </fill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/>
        <right/>
        <top/>
        <bottom/>
        <vertical/>
      </border>
    </dxf>
    <dxf>
      <border>
        <left/>
        <right/>
        <top/>
        <bottom/>
        <vertical/>
      </border>
    </dxf>
    <dxf>
      <border>
        <left/>
        <top/>
      </border>
    </dxf>
    <dxf>
      <border>
        <left/>
        <top/>
      </border>
    </dxf>
    <dxf>
      <border>
        <top/>
      </border>
    </dxf>
    <dxf>
      <border>
        <top/>
      </border>
    </dxf>
    <dxf>
      <border>
        <left/>
        <top/>
      </border>
    </dxf>
    <dxf>
      <border>
        <left/>
        <top/>
      </border>
    </dxf>
    <dxf>
      <border>
        <top/>
      </border>
    </dxf>
    <dxf>
      <border>
        <top/>
      </border>
    </dxf>
    <dxf>
      <border>
        <top/>
      </border>
    </dxf>
    <dxf>
      <border>
        <top/>
      </border>
    </dxf>
    <dxf>
      <border>
        <top/>
      </border>
    </dxf>
    <dxf>
      <border>
        <top/>
      </border>
    </dxf>
    <dxf>
      <border>
        <top/>
      </border>
    </dxf>
    <dxf>
      <border>
        <top/>
      </border>
    </dxf>
    <dxf>
      <border>
        <top/>
      </border>
    </dxf>
    <dxf>
      <border>
        <top/>
      </border>
    </dxf>
    <dxf>
      <border>
        <top/>
      </border>
    </dxf>
    <dxf>
      <border>
        <top/>
      </border>
    </dxf>
    <dxf>
      <border>
        <top/>
      </border>
    </dxf>
    <dxf>
      <border>
        <top/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fill>
        <patternFill>
          <bgColor theme="5"/>
        </patternFill>
      </fill>
    </dxf>
    <dxf>
      <border>
        <horizontal style="thin">
          <color indexed="64"/>
        </horizontal>
      </border>
    </dxf>
    <dxf>
      <border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  <horizontal style="thin">
          <color indexed="64"/>
        </horizontal>
      </border>
    </dxf>
    <dxf>
      <border>
        <top style="thin">
          <color indexed="64"/>
        </top>
        <horizontal style="thin">
          <color indexed="64"/>
        </horizontal>
      </border>
    </dxf>
    <dxf>
      <border>
        <vertical style="thin">
          <color indexed="64"/>
        </vertical>
        <horizontal style="thin">
          <color indexed="64"/>
        </horizontal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vertical style="thin">
          <color indexed="64"/>
        </vertical>
        <horizontal style="thin">
          <color indexed="64"/>
        </horizontal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right style="thin">
          <color indexed="64"/>
        </right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4" formatCode="0.00%"/>
    </dxf>
    <dxf>
      <numFmt numFmtId="13" formatCode="0%"/>
    </dxf>
    <dxf>
      <alignment horizontal="center" readingOrder="0"/>
    </dxf>
    <dxf>
      <numFmt numFmtId="164" formatCode="0.0%"/>
    </dxf>
    <dxf>
      <numFmt numFmtId="14" formatCode="0.00%"/>
    </dxf>
    <dxf>
      <numFmt numFmtId="13" formatCode="0%"/>
    </dxf>
    <dxf>
      <alignment horizontal="center" readingOrder="0"/>
    </dxf>
    <dxf>
      <numFmt numFmtId="164" formatCode="0.0%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readingOrder="0"/>
    </dxf>
    <dxf>
      <numFmt numFmtId="13" formatCode="0%"/>
    </dxf>
    <dxf>
      <alignment horizontal="center" readingOrder="0"/>
    </dxf>
    <dxf>
      <border>
        <right style="thin">
          <color indexed="64"/>
        </right>
      </border>
    </dxf>
    <dxf>
      <fill>
        <patternFill>
          <bgColor rgb="FFE84C22"/>
        </patternFill>
      </fill>
    </dxf>
    <dxf>
      <fill>
        <patternFill>
          <bgColor rgb="FFE84C22"/>
        </patternFill>
      </fill>
    </dxf>
    <dxf>
      <numFmt numFmtId="14" formatCode="0.00%"/>
    </dxf>
    <dxf>
      <font>
        <color theme="0"/>
      </font>
      <numFmt numFmtId="0" formatCode="General"/>
      <fill>
        <patternFill patternType="solid">
          <fgColor indexed="64"/>
          <bgColor rgb="FFE84C22"/>
        </patternFill>
      </fill>
    </dxf>
    <dxf>
      <alignment horizontal="center"/>
    </dxf>
    <dxf>
      <font>
        <b/>
      </font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4" formatCode="0.00%"/>
    </dxf>
    <dxf>
      <numFmt numFmtId="14" formatCode="0.00%"/>
    </dxf>
    <dxf>
      <numFmt numFmtId="1" formatCode="0"/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alignment horizontal="right" readingOrder="0"/>
    </dxf>
    <dxf>
      <alignment horizontal="left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left" readingOrder="0"/>
    </dxf>
    <dxf>
      <alignment horizontal="center" readingOrder="0"/>
    </dxf>
    <dxf>
      <alignment horizontal="left" readingOrder="0"/>
    </dxf>
    <dxf>
      <alignment horizontal="center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font>
        <sz val="13"/>
      </font>
    </dxf>
    <dxf>
      <font>
        <b/>
        <sz val="13"/>
      </font>
    </dxf>
    <dxf>
      <font>
        <color rgb="FFFF0000"/>
      </font>
    </dxf>
    <dxf>
      <font>
        <color auto="1"/>
      </font>
    </dxf>
    <dxf>
      <fill>
        <patternFill patternType="solid">
          <bgColor theme="5" tint="0.79998168889431442"/>
        </patternFill>
      </fill>
    </dxf>
    <dxf>
      <fill>
        <patternFill patternType="solid">
          <bgColor theme="5"/>
        </patternFill>
      </fill>
    </dxf>
    <dxf>
      <fill>
        <patternFill>
          <bgColor theme="5" tint="0.7999816888943144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 patternType="solid">
          <bgColor theme="5" tint="0.79998168889431442"/>
        </patternFill>
      </fill>
    </dxf>
    <dxf>
      <fill>
        <patternFill patternType="solid">
          <bgColor rgb="FFE84C22"/>
        </patternFill>
      </fill>
    </dxf>
    <dxf>
      <fill>
        <patternFill patternType="solid">
          <bgColor rgb="FFE84C22"/>
        </patternFill>
      </fill>
    </dxf>
    <dxf>
      <fill>
        <patternFill patternType="solid">
          <bgColor rgb="FFE84C22"/>
        </patternFill>
      </fill>
    </dxf>
    <dxf>
      <fill>
        <patternFill patternType="solid">
          <bgColor rgb="FFE84C22"/>
        </patternFill>
      </fill>
    </dxf>
    <dxf>
      <font>
        <sz val="11"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sz val="11"/>
      </font>
    </dxf>
    <dxf>
      <font>
        <sz val="11"/>
      </font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b/>
      </font>
    </dxf>
    <dxf>
      <font>
        <sz val="12"/>
      </font>
    </dxf>
    <dxf>
      <font>
        <sz val="12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sz val="12"/>
      </font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readingOrder="0"/>
    </dxf>
    <dxf>
      <fill>
        <patternFill patternType="solid">
          <bgColor rgb="FFE84C22"/>
        </patternFill>
      </fill>
    </dxf>
    <dxf>
      <fill>
        <patternFill patternType="solid">
          <bgColor rgb="FFE84C22"/>
        </patternFill>
      </fill>
    </dxf>
    <dxf>
      <numFmt numFmtId="166" formatCode="0.0000000"/>
    </dxf>
    <dxf>
      <numFmt numFmtId="167" formatCode="0.000000"/>
    </dxf>
    <dxf>
      <numFmt numFmtId="168" formatCode="0.00000"/>
    </dxf>
    <dxf>
      <numFmt numFmtId="169" formatCode="0.0000"/>
    </dxf>
    <dxf>
      <numFmt numFmtId="170" formatCode="0.000"/>
    </dxf>
    <dxf>
      <numFmt numFmtId="2" formatCode="0.00"/>
    </dxf>
    <dxf>
      <numFmt numFmtId="171" formatCode="0.0"/>
    </dxf>
    <dxf>
      <numFmt numFmtId="2" formatCode="0.00"/>
    </dxf>
    <dxf>
      <numFmt numFmtId="166" formatCode="0.0000000"/>
    </dxf>
    <dxf>
      <numFmt numFmtId="167" formatCode="0.000000"/>
    </dxf>
    <dxf>
      <numFmt numFmtId="168" formatCode="0.00000"/>
    </dxf>
    <dxf>
      <numFmt numFmtId="169" formatCode="0.0000"/>
    </dxf>
    <dxf>
      <numFmt numFmtId="170" formatCode="0.000"/>
    </dxf>
    <dxf>
      <numFmt numFmtId="2" formatCode="0.00"/>
    </dxf>
    <dxf>
      <fill>
        <patternFill patternType="solid">
          <bgColor theme="5"/>
        </patternFill>
      </fill>
    </dxf>
    <dxf>
      <fill>
        <patternFill patternType="solid">
          <bgColor theme="5"/>
        </patternFill>
      </fill>
    </dxf>
    <dxf>
      <font>
        <color theme="0"/>
      </font>
    </dxf>
    <dxf>
      <font>
        <color theme="0"/>
      </font>
    </dxf>
    <dxf>
      <border>
        <left/>
        <top/>
        <bottom/>
      </border>
    </dxf>
    <dxf>
      <font>
        <b/>
      </font>
    </dxf>
    <dxf>
      <border>
        <right/>
        <top/>
        <bottom/>
      </border>
    </dxf>
    <dxf>
      <border>
        <right/>
        <top/>
        <bottom/>
      </border>
    </dxf>
    <dxf>
      <border>
        <left/>
        <right/>
        <top/>
      </border>
    </dxf>
    <dxf>
      <border>
        <left/>
        <right/>
        <top/>
      </border>
    </dxf>
    <dxf>
      <border>
        <left/>
        <right/>
        <top/>
      </border>
    </dxf>
    <dxf>
      <border>
        <left/>
        <right/>
        <top/>
      </border>
    </dxf>
    <dxf>
      <border>
        <left/>
        <right/>
        <top/>
      </border>
    </dxf>
    <dxf>
      <border>
        <top/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lor theme="0"/>
      </font>
      <fill>
        <patternFill patternType="solid">
          <fgColor indexed="64"/>
          <bgColor theme="5"/>
        </patternFill>
      </fill>
    </dxf>
    <dxf>
      <border>
        <horizontal style="thin">
          <color indexed="64"/>
        </horizontal>
      </border>
    </dxf>
    <dxf>
      <border>
        <vertical style="thin">
          <color indexed="64"/>
        </vertical>
      </border>
    </dxf>
    <dxf>
      <font>
        <b val="0"/>
      </font>
    </dxf>
    <dxf>
      <font>
        <b val="0"/>
      </font>
    </dxf>
    <dxf>
      <font>
        <b/>
      </font>
    </dxf>
    <dxf>
      <font>
        <b/>
      </font>
    </dxf>
    <dxf>
      <border>
        <vertical style="thin">
          <color indexed="64"/>
        </vertical>
      </border>
    </dxf>
    <dxf>
      <border>
        <vertical style="thin">
          <color indexed="64"/>
        </vertical>
      </border>
    </dxf>
    <dxf>
      <font>
        <b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/>
        <color theme="0"/>
      </font>
      <fill>
        <patternFill patternType="solid">
          <fgColor indexed="64"/>
          <bgColor theme="5"/>
        </patternFill>
      </fill>
    </dxf>
    <dxf>
      <numFmt numFmtId="13" formatCode="0%"/>
    </dxf>
    <dxf>
      <numFmt numFmtId="164" formatCode="0.0%"/>
    </dxf>
    <dxf>
      <numFmt numFmtId="14" formatCode="0.00%"/>
    </dxf>
    <dxf>
      <border>
        <right style="thin">
          <color indexed="64"/>
        </right>
        <vertical style="thin">
          <color indexed="64"/>
        </vertical>
        <horizontal style="thin">
          <color indexed="64"/>
        </horizontal>
      </border>
    </dxf>
    <dxf>
      <font>
        <color theme="0"/>
      </font>
      <fill>
        <patternFill patternType="solid">
          <fgColor indexed="64"/>
          <bgColor theme="5"/>
        </patternFill>
      </fill>
    </dxf>
    <dxf>
      <border>
        <vertical style="thin">
          <color indexed="64"/>
        </vertical>
      </border>
    </dxf>
    <dxf>
      <numFmt numFmtId="14" formatCode="0.00%"/>
    </dxf>
    <dxf>
      <border>
        <right style="thin">
          <color indexed="64"/>
        </right>
        <vertical style="thin">
          <color indexed="64"/>
        </vertical>
        <horizontal style="thin">
          <color indexed="64"/>
        </horizontal>
      </border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border>
        <vertical style="thin">
          <color indexed="64"/>
        </vertical>
        <horizontal style="thin">
          <color indexed="64"/>
        </horizontal>
      </border>
    </dxf>
    <dxf>
      <border>
        <vertical style="thin">
          <color indexed="64"/>
        </vertical>
        <horizontal style="thin">
          <color indexed="64"/>
        </horizontal>
      </border>
    </dxf>
    <dxf>
      <border>
        <vertical style="thin">
          <color indexed="64"/>
        </vertical>
        <horizontal style="thin">
          <color indexed="64"/>
        </horizontal>
      </border>
    </dxf>
    <dxf>
      <border>
        <vertical style="thin">
          <color indexed="64"/>
        </vertical>
        <horizontal style="thin">
          <color indexed="64"/>
        </horizontal>
      </border>
    </dxf>
    <dxf>
      <border>
        <vertical style="thin">
          <color indexed="64"/>
        </vertical>
        <horizontal style="thin">
          <color indexed="64"/>
        </horizontal>
      </border>
    </dxf>
    <dxf>
      <numFmt numFmtId="13" formatCode="0%"/>
    </dxf>
    <dxf>
      <numFmt numFmtId="172" formatCode="0.000%"/>
    </dxf>
    <dxf>
      <numFmt numFmtId="14" formatCode="0.00%"/>
    </dxf>
    <dxf>
      <numFmt numFmtId="164" formatCode="0.0%"/>
    </dxf>
    <dxf>
      <alignment horizontal="center" readingOrder="0"/>
    </dxf>
    <dxf>
      <numFmt numFmtId="164" formatCode="0.0%"/>
    </dxf>
    <dxf>
      <fill>
        <patternFill>
          <bgColor rgb="FFE84C22"/>
        </patternFill>
      </fill>
    </dxf>
    <dxf>
      <fill>
        <patternFill>
          <bgColor rgb="FFE84C22"/>
        </patternFill>
      </fill>
    </dxf>
    <dxf>
      <numFmt numFmtId="13" formatCode="0%"/>
    </dxf>
    <dxf>
      <font>
        <b/>
        <color theme="0"/>
      </font>
      <numFmt numFmtId="14" formatCode="0.00%"/>
      <fill>
        <patternFill patternType="solid">
          <fgColor indexed="64"/>
          <bgColor rgb="FFE84C22"/>
        </patternFill>
      </fill>
    </dxf>
    <dxf>
      <numFmt numFmtId="14" formatCode="0.00%"/>
    </dxf>
    <dxf>
      <numFmt numFmtId="14" formatCode="0.00%"/>
    </dxf>
    <dxf>
      <fill>
        <patternFill patternType="solid">
          <fgColor indexed="64"/>
          <bgColor rgb="FFE84C22"/>
        </patternFill>
      </fill>
      <alignment horizontal="center"/>
    </dxf>
    <dxf>
      <numFmt numFmtId="14" formatCode="0.00%"/>
    </dxf>
    <dxf>
      <numFmt numFmtId="0" formatCode="General"/>
      <fill>
        <patternFill patternType="solid">
          <fgColor indexed="64"/>
          <bgColor rgb="FFE84C22"/>
        </patternFill>
      </fill>
      <alignment horizontal="center"/>
    </dxf>
    <dxf>
      <alignment horizontal="center"/>
    </dxf>
    <dxf>
      <alignment vertical="center"/>
    </dxf>
    <dxf>
      <alignment horizontal="center"/>
    </dxf>
    <dxf>
      <alignment vertical="center"/>
    </dxf>
    <dxf>
      <numFmt numFmtId="166" formatCode="0.0000000"/>
    </dxf>
    <dxf>
      <numFmt numFmtId="167" formatCode="0.000000"/>
    </dxf>
    <dxf>
      <numFmt numFmtId="168" formatCode="0.00000"/>
    </dxf>
    <dxf>
      <numFmt numFmtId="169" formatCode="0.0000"/>
    </dxf>
    <dxf>
      <numFmt numFmtId="170" formatCode="0.000"/>
    </dxf>
    <dxf>
      <numFmt numFmtId="2" formatCode="0.00"/>
    </dxf>
    <dxf>
      <numFmt numFmtId="171" formatCode="0.0"/>
    </dxf>
    <dxf>
      <numFmt numFmtId="2" formatCode="0.00"/>
    </dxf>
    <dxf>
      <numFmt numFmtId="166" formatCode="0.0000000"/>
    </dxf>
    <dxf>
      <numFmt numFmtId="167" formatCode="0.000000"/>
    </dxf>
    <dxf>
      <numFmt numFmtId="168" formatCode="0.00000"/>
    </dxf>
    <dxf>
      <numFmt numFmtId="169" formatCode="0.0000"/>
    </dxf>
    <dxf>
      <numFmt numFmtId="170" formatCode="0.000"/>
    </dxf>
    <dxf>
      <numFmt numFmtId="2" formatCode="0.00"/>
    </dxf>
    <dxf>
      <fill>
        <patternFill patternType="solid">
          <bgColor theme="5"/>
        </patternFill>
      </fill>
    </dxf>
    <dxf>
      <font>
        <color theme="0"/>
      </font>
    </dxf>
    <dxf>
      <border>
        <left/>
        <top/>
        <bottom/>
      </border>
    </dxf>
    <dxf>
      <font>
        <b/>
      </font>
    </dxf>
    <dxf>
      <border>
        <right/>
        <top/>
        <bottom/>
      </border>
    </dxf>
    <dxf>
      <border>
        <right/>
        <top/>
        <bottom/>
      </border>
    </dxf>
    <dxf>
      <border>
        <left/>
        <right/>
        <top/>
      </border>
    </dxf>
    <dxf>
      <border>
        <left/>
        <right/>
        <top/>
      </border>
    </dxf>
    <dxf>
      <border>
        <left/>
        <right/>
        <top/>
      </border>
    </dxf>
    <dxf>
      <border>
        <left/>
        <right/>
        <top/>
      </border>
    </dxf>
    <dxf>
      <border>
        <top/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lor theme="0"/>
      </font>
      <fill>
        <patternFill patternType="solid">
          <fgColor indexed="64"/>
          <bgColor theme="5"/>
        </patternFill>
      </fill>
    </dxf>
    <dxf>
      <border>
        <horizontal style="thin">
          <color indexed="64"/>
        </horizontal>
      </border>
    </dxf>
    <dxf>
      <border>
        <vertical style="thin">
          <color indexed="64"/>
        </vertical>
      </border>
    </dxf>
    <dxf>
      <font>
        <b val="0"/>
      </font>
    </dxf>
    <dxf>
      <font>
        <b val="0"/>
      </font>
    </dxf>
    <dxf>
      <font>
        <b/>
      </font>
    </dxf>
    <dxf>
      <font>
        <b/>
      </font>
    </dxf>
    <dxf>
      <border>
        <vertical style="thin">
          <color indexed="64"/>
        </vertical>
      </border>
    </dxf>
    <dxf>
      <border>
        <vertical style="thin">
          <color indexed="64"/>
        </vertical>
      </border>
    </dxf>
    <dxf>
      <font>
        <b/>
      </font>
    </dxf>
    <dxf>
      <font>
        <b/>
        <color theme="0"/>
      </font>
      <fill>
        <patternFill patternType="solid">
          <fgColor indexed="64"/>
          <bgColor theme="5"/>
        </patternFill>
      </fill>
    </dxf>
    <dxf>
      <font>
        <color theme="0"/>
      </font>
      <fill>
        <patternFill patternType="solid">
          <fgColor indexed="64"/>
          <bgColor theme="5"/>
        </patternFill>
      </fill>
    </dxf>
    <dxf>
      <numFmt numFmtId="14" formatCode="0.00%"/>
    </dxf>
    <dxf>
      <numFmt numFmtId="14" formatCode="0.00%"/>
    </dxf>
    <dxf>
      <border>
        <left style="thin">
          <color indexed="64"/>
        </left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vertical style="thin">
          <color indexed="64"/>
        </vertical>
        <horizontal style="thin">
          <color indexed="64"/>
        </horizontal>
      </border>
    </dxf>
    <dxf>
      <font>
        <b/>
      </font>
    </dxf>
    <dxf>
      <font>
        <b/>
        <color theme="0"/>
      </font>
      <numFmt numFmtId="14" formatCode="0.00%"/>
      <fill>
        <patternFill patternType="solid">
          <fgColor indexed="64"/>
          <bgColor theme="5"/>
        </patternFill>
      </fill>
    </dxf>
    <dxf>
      <numFmt numFmtId="13" formatCode="0%"/>
    </dxf>
    <dxf>
      <numFmt numFmtId="164" formatCode="0.0%"/>
    </dxf>
    <dxf>
      <fill>
        <patternFill>
          <bgColor rgb="FFE94C22"/>
        </patternFill>
      </fill>
    </dxf>
    <dxf>
      <numFmt numFmtId="14" formatCode="0.00%"/>
    </dxf>
    <dxf>
      <numFmt numFmtId="14" formatCode="0.00%"/>
    </dxf>
    <dxf>
      <font>
        <b/>
        <color theme="0"/>
      </font>
      <fill>
        <patternFill patternType="solid">
          <fgColor indexed="64"/>
          <bgColor rgb="FFE94C22"/>
        </patternFill>
      </fill>
    </dxf>
    <dxf>
      <font>
        <b/>
        <color theme="0"/>
      </font>
      <numFmt numFmtId="14" formatCode="0.00%"/>
      <fill>
        <patternFill patternType="solid">
          <fgColor indexed="64"/>
          <bgColor rgb="FFE94C22"/>
        </patternFill>
      </fill>
    </dxf>
    <dxf>
      <numFmt numFmtId="14" formatCode="0.00%"/>
    </dxf>
    <dxf>
      <font>
        <b/>
        <color theme="0"/>
      </font>
      <fill>
        <patternFill patternType="solid">
          <fgColor indexed="64"/>
          <bgColor rgb="FFE94C22"/>
        </patternFill>
      </fill>
    </dxf>
    <dxf>
      <numFmt numFmtId="166" formatCode="0.0000000"/>
    </dxf>
    <dxf>
      <numFmt numFmtId="167" formatCode="0.000000"/>
    </dxf>
    <dxf>
      <numFmt numFmtId="168" formatCode="0.00000"/>
    </dxf>
    <dxf>
      <numFmt numFmtId="169" formatCode="0.0000"/>
    </dxf>
    <dxf>
      <numFmt numFmtId="170" formatCode="0.000"/>
    </dxf>
    <dxf>
      <numFmt numFmtId="2" formatCode="0.00"/>
    </dxf>
    <dxf>
      <numFmt numFmtId="171" formatCode="0.0"/>
    </dxf>
    <dxf>
      <numFmt numFmtId="2" formatCode="0.00"/>
    </dxf>
    <dxf>
      <numFmt numFmtId="166" formatCode="0.0000000"/>
    </dxf>
    <dxf>
      <numFmt numFmtId="167" formatCode="0.000000"/>
    </dxf>
    <dxf>
      <numFmt numFmtId="168" formatCode="0.00000"/>
    </dxf>
    <dxf>
      <numFmt numFmtId="169" formatCode="0.0000"/>
    </dxf>
    <dxf>
      <numFmt numFmtId="170" formatCode="0.000"/>
    </dxf>
    <dxf>
      <numFmt numFmtId="2" formatCode="0.00"/>
    </dxf>
    <dxf>
      <fill>
        <patternFill patternType="solid">
          <bgColor theme="5"/>
        </patternFill>
      </fill>
    </dxf>
    <dxf>
      <font>
        <color theme="0"/>
      </font>
    </dxf>
    <dxf>
      <border>
        <left/>
        <top/>
        <bottom/>
      </border>
    </dxf>
    <dxf>
      <font>
        <b/>
      </font>
    </dxf>
    <dxf>
      <border>
        <left/>
        <right/>
        <top/>
        <bottom/>
      </border>
    </dxf>
    <dxf>
      <border>
        <left/>
        <right/>
        <top/>
        <bottom/>
      </border>
    </dxf>
    <dxf>
      <border>
        <top/>
      </border>
    </dxf>
    <dxf>
      <fill>
        <patternFill>
          <bgColor theme="5" tint="-0.249977111117893"/>
        </patternFill>
      </fill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/>
        <right/>
        <top/>
        <bottom/>
        <vertical/>
      </border>
    </dxf>
    <dxf>
      <border>
        <left/>
        <right/>
        <top/>
        <bottom/>
        <vertical/>
      </border>
    </dxf>
    <dxf>
      <border>
        <left/>
        <top/>
      </border>
    </dxf>
    <dxf>
      <border>
        <left/>
        <top/>
      </border>
    </dxf>
    <dxf>
      <border>
        <top/>
      </border>
    </dxf>
    <dxf>
      <border>
        <top/>
      </border>
    </dxf>
    <dxf>
      <border>
        <left/>
        <top/>
      </border>
    </dxf>
    <dxf>
      <border>
        <left/>
        <top/>
      </border>
    </dxf>
    <dxf>
      <border>
        <top/>
      </border>
    </dxf>
    <dxf>
      <border>
        <top/>
      </border>
    </dxf>
    <dxf>
      <border>
        <top/>
      </border>
    </dxf>
    <dxf>
      <border>
        <top/>
      </border>
    </dxf>
    <dxf>
      <border>
        <top/>
      </border>
    </dxf>
    <dxf>
      <border>
        <top/>
      </border>
    </dxf>
    <dxf>
      <border>
        <top/>
      </border>
    </dxf>
    <dxf>
      <border>
        <top/>
      </border>
    </dxf>
    <dxf>
      <border>
        <top/>
      </border>
    </dxf>
    <dxf>
      <border>
        <top/>
      </border>
    </dxf>
    <dxf>
      <border>
        <top/>
      </border>
    </dxf>
    <dxf>
      <border>
        <top/>
      </border>
    </dxf>
    <dxf>
      <border>
        <top/>
      </border>
    </dxf>
    <dxf>
      <border>
        <top/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fill>
        <patternFill>
          <bgColor theme="5"/>
        </patternFill>
      </fill>
    </dxf>
    <dxf>
      <border>
        <horizontal style="thin">
          <color indexed="64"/>
        </horizontal>
      </border>
    </dxf>
    <dxf>
      <border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  <horizontal style="thin">
          <color indexed="64"/>
        </horizontal>
      </border>
    </dxf>
    <dxf>
      <border>
        <top style="thin">
          <color indexed="64"/>
        </top>
        <horizontal style="thin">
          <color indexed="64"/>
        </horizontal>
      </border>
    </dxf>
    <dxf>
      <border>
        <vertical style="thin">
          <color indexed="64"/>
        </vertical>
        <horizontal style="thin">
          <color indexed="64"/>
        </horizontal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vertical style="thin">
          <color indexed="64"/>
        </vertical>
        <horizontal style="thin">
          <color indexed="64"/>
        </horizontal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right style="thin">
          <color indexed="64"/>
        </right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4" formatCode="0.00%"/>
    </dxf>
    <dxf>
      <numFmt numFmtId="13" formatCode="0%"/>
    </dxf>
    <dxf>
      <alignment horizontal="center" readingOrder="0"/>
    </dxf>
    <dxf>
      <numFmt numFmtId="164" formatCode="0.0%"/>
    </dxf>
    <dxf>
      <numFmt numFmtId="14" formatCode="0.00%"/>
    </dxf>
    <dxf>
      <numFmt numFmtId="13" formatCode="0%"/>
    </dxf>
    <dxf>
      <alignment horizontal="center" readingOrder="0"/>
    </dxf>
    <dxf>
      <numFmt numFmtId="164" formatCode="0.0%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readingOrder="0"/>
    </dxf>
    <dxf>
      <numFmt numFmtId="13" formatCode="0%"/>
    </dxf>
    <dxf>
      <alignment horizontal="center" readingOrder="0"/>
    </dxf>
    <dxf>
      <border>
        <right style="thin">
          <color indexed="64"/>
        </right>
      </border>
    </dxf>
    <dxf>
      <fill>
        <patternFill>
          <bgColor rgb="FFE84C22"/>
        </patternFill>
      </fill>
    </dxf>
    <dxf>
      <fill>
        <patternFill>
          <bgColor rgb="FFE84C22"/>
        </patternFill>
      </fill>
    </dxf>
    <dxf>
      <numFmt numFmtId="14" formatCode="0.00%"/>
    </dxf>
    <dxf>
      <font>
        <color theme="0"/>
      </font>
      <numFmt numFmtId="0" formatCode="General"/>
      <fill>
        <patternFill patternType="solid">
          <fgColor indexed="64"/>
          <bgColor rgb="FFE84C22"/>
        </patternFill>
      </fill>
    </dxf>
    <dxf>
      <alignment horizontal="center"/>
    </dxf>
    <dxf>
      <font>
        <b/>
      </font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4" formatCode="0.00%"/>
    </dxf>
    <dxf>
      <numFmt numFmtId="14" formatCode="0.00%"/>
    </dxf>
    <dxf>
      <numFmt numFmtId="1" formatCode="0"/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alignment horizontal="right" readingOrder="0"/>
    </dxf>
    <dxf>
      <alignment horizontal="left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left" readingOrder="0"/>
    </dxf>
    <dxf>
      <alignment horizontal="center" readingOrder="0"/>
    </dxf>
    <dxf>
      <alignment horizontal="left" readingOrder="0"/>
    </dxf>
    <dxf>
      <alignment horizontal="center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font>
        <sz val="13"/>
      </font>
    </dxf>
    <dxf>
      <font>
        <b/>
        <sz val="13"/>
      </font>
    </dxf>
    <dxf>
      <font>
        <color rgb="FFFF0000"/>
      </font>
    </dxf>
    <dxf>
      <font>
        <color auto="1"/>
      </font>
    </dxf>
    <dxf>
      <fill>
        <patternFill patternType="solid">
          <bgColor theme="5" tint="0.79998168889431442"/>
        </patternFill>
      </fill>
    </dxf>
    <dxf>
      <fill>
        <patternFill patternType="solid">
          <bgColor theme="5"/>
        </patternFill>
      </fill>
    </dxf>
    <dxf>
      <fill>
        <patternFill>
          <bgColor theme="5" tint="0.7999816888943144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 patternType="solid">
          <bgColor theme="5" tint="0.79998168889431442"/>
        </patternFill>
      </fill>
    </dxf>
    <dxf>
      <fill>
        <patternFill patternType="solid">
          <bgColor rgb="FFE84C22"/>
        </patternFill>
      </fill>
    </dxf>
    <dxf>
      <fill>
        <patternFill patternType="solid">
          <bgColor rgb="FFE84C22"/>
        </patternFill>
      </fill>
    </dxf>
    <dxf>
      <fill>
        <patternFill patternType="solid">
          <bgColor rgb="FFE84C22"/>
        </patternFill>
      </fill>
    </dxf>
    <dxf>
      <fill>
        <patternFill patternType="solid">
          <bgColor rgb="FFE84C22"/>
        </patternFill>
      </fill>
    </dxf>
    <dxf>
      <font>
        <sz val="11"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sz val="11"/>
      </font>
    </dxf>
    <dxf>
      <font>
        <sz val="11"/>
      </font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b/>
      </font>
    </dxf>
    <dxf>
      <font>
        <sz val="12"/>
      </font>
    </dxf>
    <dxf>
      <font>
        <sz val="12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sz val="12"/>
      </font>
    </dxf>
    <dxf>
      <numFmt numFmtId="166" formatCode="0.0000000"/>
    </dxf>
    <dxf>
      <numFmt numFmtId="167" formatCode="0.000000"/>
    </dxf>
    <dxf>
      <numFmt numFmtId="168" formatCode="0.00000"/>
    </dxf>
    <dxf>
      <numFmt numFmtId="169" formatCode="0.0000"/>
    </dxf>
    <dxf>
      <numFmt numFmtId="170" formatCode="0.000"/>
    </dxf>
    <dxf>
      <numFmt numFmtId="2" formatCode="0.00"/>
    </dxf>
    <dxf>
      <numFmt numFmtId="171" formatCode="0.0"/>
    </dxf>
    <dxf>
      <numFmt numFmtId="2" formatCode="0.00"/>
    </dxf>
    <dxf>
      <numFmt numFmtId="166" formatCode="0.0000000"/>
    </dxf>
    <dxf>
      <numFmt numFmtId="167" formatCode="0.000000"/>
    </dxf>
    <dxf>
      <numFmt numFmtId="168" formatCode="0.00000"/>
    </dxf>
    <dxf>
      <numFmt numFmtId="169" formatCode="0.0000"/>
    </dxf>
    <dxf>
      <numFmt numFmtId="170" formatCode="0.000"/>
    </dxf>
    <dxf>
      <numFmt numFmtId="2" formatCode="0.00"/>
    </dxf>
    <dxf>
      <fill>
        <patternFill patternType="solid">
          <bgColor theme="5"/>
        </patternFill>
      </fill>
    </dxf>
    <dxf>
      <fill>
        <patternFill patternType="solid">
          <bgColor theme="5"/>
        </patternFill>
      </fill>
    </dxf>
    <dxf>
      <font>
        <color theme="0"/>
      </font>
    </dxf>
    <dxf>
      <font>
        <color theme="0"/>
      </font>
    </dxf>
    <dxf>
      <border>
        <left/>
        <top/>
        <bottom/>
      </border>
    </dxf>
    <dxf>
      <font>
        <b/>
      </font>
    </dxf>
    <dxf>
      <border>
        <right/>
        <top/>
        <bottom/>
      </border>
    </dxf>
    <dxf>
      <border>
        <right/>
        <top/>
        <bottom/>
      </border>
    </dxf>
    <dxf>
      <border>
        <left/>
        <right/>
        <top/>
      </border>
    </dxf>
    <dxf>
      <border>
        <left/>
        <right/>
        <top/>
      </border>
    </dxf>
    <dxf>
      <border>
        <left/>
        <right/>
        <top/>
      </border>
    </dxf>
    <dxf>
      <border>
        <left/>
        <right/>
        <top/>
      </border>
    </dxf>
    <dxf>
      <border>
        <left/>
        <right/>
        <top/>
      </border>
    </dxf>
    <dxf>
      <border>
        <top/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horizontal style="thin">
          <color indexed="64"/>
        </horizontal>
      </border>
    </dxf>
    <dxf>
      <font>
        <b val="0"/>
      </font>
    </dxf>
    <dxf>
      <font>
        <b val="0"/>
      </font>
    </dxf>
    <dxf>
      <font>
        <b/>
      </font>
    </dxf>
    <dxf>
      <font>
        <b/>
      </font>
    </dxf>
    <dxf>
      <border>
        <vertical style="thin">
          <color indexed="64"/>
        </vertical>
      </border>
    </dxf>
    <dxf>
      <border>
        <vertical style="thin">
          <color indexed="64"/>
        </vertical>
      </border>
    </dxf>
    <dxf>
      <font>
        <b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/>
        <color theme="0"/>
      </font>
      <fill>
        <patternFill patternType="solid">
          <fgColor indexed="64"/>
          <bgColor theme="5"/>
        </patternFill>
      </fill>
    </dxf>
    <dxf>
      <numFmt numFmtId="13" formatCode="0%"/>
    </dxf>
    <dxf>
      <numFmt numFmtId="164" formatCode="0.0%"/>
    </dxf>
    <dxf>
      <numFmt numFmtId="14" formatCode="0.00%"/>
    </dxf>
    <dxf>
      <border>
        <right style="thin">
          <color indexed="64"/>
        </right>
        <vertical style="thin">
          <color indexed="64"/>
        </vertical>
        <horizontal style="thin">
          <color indexed="64"/>
        </horizontal>
      </border>
    </dxf>
    <dxf>
      <font>
        <color theme="0"/>
      </font>
      <fill>
        <patternFill patternType="solid">
          <fgColor indexed="64"/>
          <bgColor theme="5"/>
        </patternFill>
      </fill>
    </dxf>
    <dxf>
      <border>
        <vertical style="thin">
          <color indexed="64"/>
        </vertical>
      </border>
    </dxf>
    <dxf>
      <numFmt numFmtId="14" formatCode="0.00%"/>
    </dxf>
    <dxf>
      <border>
        <right style="thin">
          <color indexed="64"/>
        </right>
        <vertical style="thin">
          <color indexed="64"/>
        </vertical>
        <horizontal style="thin">
          <color indexed="64"/>
        </horizontal>
      </border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border>
        <vertical style="thin">
          <color indexed="64"/>
        </vertical>
        <horizontal style="thin">
          <color indexed="64"/>
        </horizontal>
      </border>
    </dxf>
    <dxf>
      <border>
        <vertical style="thin">
          <color indexed="64"/>
        </vertical>
        <horizontal style="thin">
          <color indexed="64"/>
        </horizontal>
      </border>
    </dxf>
    <dxf>
      <border>
        <vertical style="thin">
          <color indexed="64"/>
        </vertical>
        <horizontal style="thin">
          <color indexed="64"/>
        </horizontal>
      </border>
    </dxf>
    <dxf>
      <border>
        <vertical style="thin">
          <color indexed="64"/>
        </vertical>
        <horizontal style="thin">
          <color indexed="64"/>
        </horizontal>
      </border>
    </dxf>
    <dxf>
      <border>
        <vertical style="thin">
          <color indexed="64"/>
        </vertical>
        <horizontal style="thin">
          <color indexed="64"/>
        </horizontal>
      </border>
    </dxf>
    <dxf>
      <numFmt numFmtId="13" formatCode="0%"/>
    </dxf>
    <dxf>
      <numFmt numFmtId="172" formatCode="0.000%"/>
    </dxf>
    <dxf>
      <numFmt numFmtId="14" formatCode="0.00%"/>
    </dxf>
    <dxf>
      <numFmt numFmtId="164" formatCode="0.0%"/>
    </dxf>
    <dxf>
      <alignment horizontal="center" readingOrder="0"/>
    </dxf>
    <dxf>
      <numFmt numFmtId="164" formatCode="0.0%"/>
    </dxf>
    <dxf>
      <numFmt numFmtId="13" formatCode="0%"/>
    </dxf>
    <dxf>
      <numFmt numFmtId="13" formatCode="0%"/>
    </dxf>
    <dxf>
      <numFmt numFmtId="166" formatCode="0.0000000"/>
    </dxf>
    <dxf>
      <numFmt numFmtId="167" formatCode="0.000000"/>
    </dxf>
    <dxf>
      <numFmt numFmtId="168" formatCode="0.00000"/>
    </dxf>
    <dxf>
      <numFmt numFmtId="169" formatCode="0.0000"/>
    </dxf>
    <dxf>
      <numFmt numFmtId="170" formatCode="0.000"/>
    </dxf>
    <dxf>
      <numFmt numFmtId="2" formatCode="0.00"/>
    </dxf>
    <dxf>
      <numFmt numFmtId="171" formatCode="0.0"/>
    </dxf>
    <dxf>
      <numFmt numFmtId="2" formatCode="0.00"/>
    </dxf>
    <dxf>
      <numFmt numFmtId="166" formatCode="0.0000000"/>
    </dxf>
    <dxf>
      <numFmt numFmtId="167" formatCode="0.000000"/>
    </dxf>
    <dxf>
      <numFmt numFmtId="168" formatCode="0.00000"/>
    </dxf>
    <dxf>
      <numFmt numFmtId="169" formatCode="0.0000"/>
    </dxf>
    <dxf>
      <numFmt numFmtId="170" formatCode="0.000"/>
    </dxf>
    <dxf>
      <numFmt numFmtId="2" formatCode="0.00"/>
    </dxf>
    <dxf>
      <fill>
        <patternFill patternType="solid">
          <bgColor theme="5"/>
        </patternFill>
      </fill>
    </dxf>
    <dxf>
      <fill>
        <patternFill patternType="solid">
          <bgColor theme="5"/>
        </patternFill>
      </fill>
    </dxf>
    <dxf>
      <font>
        <color theme="0"/>
      </font>
    </dxf>
    <dxf>
      <font>
        <color theme="0"/>
      </font>
    </dxf>
    <dxf>
      <border>
        <left/>
        <top/>
        <bottom/>
      </border>
    </dxf>
    <dxf>
      <font>
        <b/>
      </font>
    </dxf>
    <dxf>
      <border>
        <right/>
        <top/>
        <bottom/>
      </border>
    </dxf>
    <dxf>
      <border>
        <right/>
        <top/>
        <bottom/>
      </border>
    </dxf>
    <dxf>
      <border>
        <left/>
        <right/>
        <top/>
      </border>
    </dxf>
    <dxf>
      <border>
        <left/>
        <right/>
        <top/>
      </border>
    </dxf>
    <dxf>
      <border>
        <left/>
        <right/>
        <top/>
      </border>
    </dxf>
    <dxf>
      <border>
        <left/>
        <right/>
        <top/>
      </border>
    </dxf>
    <dxf>
      <border>
        <left/>
        <right/>
        <top/>
      </border>
    </dxf>
    <dxf>
      <border>
        <top/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lor theme="0"/>
      </font>
      <fill>
        <patternFill patternType="solid">
          <fgColor indexed="64"/>
          <bgColor theme="5"/>
        </patternFill>
      </fill>
    </dxf>
    <dxf>
      <border>
        <horizontal style="thin">
          <color indexed="64"/>
        </horizontal>
      </border>
    </dxf>
    <dxf>
      <border>
        <vertical style="thin">
          <color indexed="64"/>
        </vertical>
      </border>
    </dxf>
    <dxf>
      <font>
        <b val="0"/>
      </font>
    </dxf>
    <dxf>
      <font>
        <b val="0"/>
      </font>
    </dxf>
    <dxf>
      <font>
        <b/>
      </font>
    </dxf>
    <dxf>
      <font>
        <b/>
      </font>
    </dxf>
    <dxf>
      <border>
        <vertical style="thin">
          <color indexed="64"/>
        </vertical>
      </border>
    </dxf>
    <dxf>
      <border>
        <vertical style="thin">
          <color indexed="64"/>
        </vertical>
      </border>
    </dxf>
    <dxf>
      <font>
        <b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/>
        <color theme="0"/>
      </font>
      <fill>
        <patternFill patternType="solid">
          <fgColor indexed="64"/>
          <bgColor theme="5"/>
        </patternFill>
      </fill>
    </dxf>
    <dxf>
      <numFmt numFmtId="13" formatCode="0%"/>
    </dxf>
    <dxf>
      <numFmt numFmtId="164" formatCode="0.0%"/>
    </dxf>
    <dxf>
      <numFmt numFmtId="14" formatCode="0.00%"/>
    </dxf>
    <dxf>
      <border>
        <right style="thin">
          <color indexed="64"/>
        </right>
        <vertical style="thin">
          <color indexed="64"/>
        </vertical>
        <horizontal style="thin">
          <color indexed="64"/>
        </horizontal>
      </border>
    </dxf>
    <dxf>
      <font>
        <color theme="0"/>
      </font>
      <fill>
        <patternFill patternType="solid">
          <fgColor indexed="64"/>
          <bgColor theme="5"/>
        </patternFill>
      </fill>
    </dxf>
    <dxf>
      <border>
        <vertical style="thin">
          <color indexed="64"/>
        </vertical>
      </border>
    </dxf>
    <dxf>
      <numFmt numFmtId="14" formatCode="0.00%"/>
    </dxf>
    <dxf>
      <border>
        <right style="thin">
          <color indexed="64"/>
        </right>
        <vertical style="thin">
          <color indexed="64"/>
        </vertical>
        <horizontal style="thin">
          <color indexed="64"/>
        </horizontal>
      </border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border>
        <vertical style="thin">
          <color indexed="64"/>
        </vertical>
        <horizontal style="thin">
          <color indexed="64"/>
        </horizontal>
      </border>
    </dxf>
    <dxf>
      <border>
        <vertical style="thin">
          <color indexed="64"/>
        </vertical>
        <horizontal style="thin">
          <color indexed="64"/>
        </horizontal>
      </border>
    </dxf>
    <dxf>
      <border>
        <vertical style="thin">
          <color indexed="64"/>
        </vertical>
        <horizontal style="thin">
          <color indexed="64"/>
        </horizontal>
      </border>
    </dxf>
    <dxf>
      <border>
        <vertical style="thin">
          <color indexed="64"/>
        </vertical>
        <horizontal style="thin">
          <color indexed="64"/>
        </horizontal>
      </border>
    </dxf>
    <dxf>
      <border>
        <vertical style="thin">
          <color indexed="64"/>
        </vertical>
        <horizontal style="thin">
          <color indexed="64"/>
        </horizontal>
      </border>
    </dxf>
    <dxf>
      <numFmt numFmtId="13" formatCode="0%"/>
    </dxf>
    <dxf>
      <numFmt numFmtId="172" formatCode="0.000%"/>
    </dxf>
    <dxf>
      <numFmt numFmtId="14" formatCode="0.00%"/>
    </dxf>
    <dxf>
      <numFmt numFmtId="164" formatCode="0.0%"/>
    </dxf>
    <dxf>
      <alignment horizontal="center" readingOrder="0"/>
    </dxf>
    <dxf>
      <numFmt numFmtId="164" formatCode="0.0%"/>
    </dxf>
    <dxf>
      <numFmt numFmtId="13" formatCode="0%"/>
    </dxf>
    <dxf>
      <numFmt numFmtId="13" formatCode="0%"/>
    </dxf>
    <dxf>
      <font>
        <b/>
      </font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4" formatCode="0.00%"/>
    </dxf>
    <dxf>
      <numFmt numFmtId="14" formatCode="0.00%"/>
    </dxf>
    <dxf>
      <numFmt numFmtId="1" formatCode="0"/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alignment horizontal="right" readingOrder="0"/>
    </dxf>
    <dxf>
      <alignment horizontal="left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left" readingOrder="0"/>
    </dxf>
    <dxf>
      <alignment horizontal="center" readingOrder="0"/>
    </dxf>
    <dxf>
      <alignment horizontal="left" readingOrder="0"/>
    </dxf>
    <dxf>
      <alignment horizontal="center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font>
        <sz val="13"/>
      </font>
    </dxf>
    <dxf>
      <font>
        <b/>
        <sz val="13"/>
      </font>
    </dxf>
    <dxf>
      <font>
        <color rgb="FFFF0000"/>
      </font>
    </dxf>
    <dxf>
      <font>
        <color auto="1"/>
      </font>
    </dxf>
    <dxf>
      <fill>
        <patternFill patternType="solid">
          <bgColor theme="5" tint="0.79998168889431442"/>
        </patternFill>
      </fill>
    </dxf>
    <dxf>
      <fill>
        <patternFill patternType="solid">
          <bgColor theme="5"/>
        </patternFill>
      </fill>
    </dxf>
    <dxf>
      <fill>
        <patternFill>
          <bgColor theme="5" tint="0.7999816888943144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 patternType="solid">
          <bgColor theme="5" tint="0.79998168889431442"/>
        </patternFill>
      </fill>
    </dxf>
    <dxf>
      <fill>
        <patternFill patternType="solid">
          <bgColor rgb="FFE84C22"/>
        </patternFill>
      </fill>
    </dxf>
    <dxf>
      <fill>
        <patternFill patternType="solid">
          <bgColor rgb="FFE84C22"/>
        </patternFill>
      </fill>
    </dxf>
    <dxf>
      <fill>
        <patternFill patternType="solid">
          <bgColor rgb="FFE84C22"/>
        </patternFill>
      </fill>
    </dxf>
    <dxf>
      <fill>
        <patternFill patternType="solid">
          <bgColor rgb="FFE84C22"/>
        </patternFill>
      </fill>
    </dxf>
    <dxf>
      <font>
        <sz val="11"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sz val="11"/>
      </font>
    </dxf>
    <dxf>
      <font>
        <sz val="11"/>
      </font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b/>
      </font>
    </dxf>
    <dxf>
      <font>
        <sz val="12"/>
      </font>
    </dxf>
    <dxf>
      <font>
        <sz val="12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sz val="12"/>
      </font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readingOrder="0"/>
    </dxf>
    <dxf>
      <fill>
        <patternFill patternType="solid">
          <bgColor rgb="FFE84C22"/>
        </patternFill>
      </fill>
    </dxf>
    <dxf>
      <fill>
        <patternFill patternType="solid">
          <bgColor rgb="FFE84C22"/>
        </patternFill>
      </fill>
    </dxf>
    <dxf>
      <numFmt numFmtId="166" formatCode="0.0000000"/>
    </dxf>
    <dxf>
      <numFmt numFmtId="167" formatCode="0.000000"/>
    </dxf>
    <dxf>
      <numFmt numFmtId="168" formatCode="0.00000"/>
    </dxf>
    <dxf>
      <numFmt numFmtId="169" formatCode="0.0000"/>
    </dxf>
    <dxf>
      <numFmt numFmtId="170" formatCode="0.000"/>
    </dxf>
    <dxf>
      <numFmt numFmtId="2" formatCode="0.00"/>
    </dxf>
    <dxf>
      <numFmt numFmtId="171" formatCode="0.0"/>
    </dxf>
    <dxf>
      <numFmt numFmtId="2" formatCode="0.00"/>
    </dxf>
    <dxf>
      <numFmt numFmtId="166" formatCode="0.0000000"/>
    </dxf>
    <dxf>
      <numFmt numFmtId="167" formatCode="0.000000"/>
    </dxf>
    <dxf>
      <numFmt numFmtId="168" formatCode="0.00000"/>
    </dxf>
    <dxf>
      <numFmt numFmtId="169" formatCode="0.0000"/>
    </dxf>
    <dxf>
      <numFmt numFmtId="170" formatCode="0.000"/>
    </dxf>
    <dxf>
      <numFmt numFmtId="2" formatCode="0.00"/>
    </dxf>
    <dxf>
      <fill>
        <patternFill patternType="solid">
          <bgColor theme="5"/>
        </patternFill>
      </fill>
    </dxf>
    <dxf>
      <font>
        <color theme="0"/>
      </font>
    </dxf>
    <dxf>
      <border>
        <left/>
        <top/>
        <bottom/>
      </border>
    </dxf>
    <dxf>
      <font>
        <b/>
      </font>
    </dxf>
    <dxf>
      <border>
        <left/>
        <right/>
        <top/>
        <bottom/>
      </border>
    </dxf>
    <dxf>
      <border>
        <left/>
        <right/>
        <top/>
        <bottom/>
      </border>
    </dxf>
    <dxf>
      <border>
        <top/>
      </border>
    </dxf>
    <dxf>
      <fill>
        <patternFill>
          <bgColor theme="5" tint="-0.249977111117893"/>
        </patternFill>
      </fill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/>
        <right/>
        <top/>
        <bottom/>
        <vertical/>
      </border>
    </dxf>
    <dxf>
      <border>
        <left/>
        <right/>
        <top/>
        <bottom/>
        <vertical/>
      </border>
    </dxf>
    <dxf>
      <border>
        <left/>
        <top/>
      </border>
    </dxf>
    <dxf>
      <border>
        <left/>
        <top/>
      </border>
    </dxf>
    <dxf>
      <border>
        <top/>
      </border>
    </dxf>
    <dxf>
      <border>
        <top/>
      </border>
    </dxf>
    <dxf>
      <border>
        <left/>
        <top/>
      </border>
    </dxf>
    <dxf>
      <border>
        <left/>
        <top/>
      </border>
    </dxf>
    <dxf>
      <border>
        <top/>
      </border>
    </dxf>
    <dxf>
      <border>
        <top/>
      </border>
    </dxf>
    <dxf>
      <border>
        <top/>
      </border>
    </dxf>
    <dxf>
      <border>
        <top/>
      </border>
    </dxf>
    <dxf>
      <border>
        <top/>
      </border>
    </dxf>
    <dxf>
      <border>
        <top/>
      </border>
    </dxf>
    <dxf>
      <border>
        <top/>
      </border>
    </dxf>
    <dxf>
      <border>
        <top/>
      </border>
    </dxf>
    <dxf>
      <border>
        <top/>
      </border>
    </dxf>
    <dxf>
      <border>
        <top/>
      </border>
    </dxf>
    <dxf>
      <border>
        <top/>
      </border>
    </dxf>
    <dxf>
      <border>
        <top/>
      </border>
    </dxf>
    <dxf>
      <border>
        <top/>
      </border>
    </dxf>
    <dxf>
      <border>
        <top/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fill>
        <patternFill>
          <bgColor theme="5"/>
        </patternFill>
      </fill>
    </dxf>
    <dxf>
      <border>
        <horizontal style="thin">
          <color indexed="64"/>
        </horizontal>
      </border>
    </dxf>
    <dxf>
      <border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  <horizontal style="thin">
          <color indexed="64"/>
        </horizontal>
      </border>
    </dxf>
    <dxf>
      <border>
        <top style="thin">
          <color indexed="64"/>
        </top>
        <horizontal style="thin">
          <color indexed="64"/>
        </horizontal>
      </border>
    </dxf>
    <dxf>
      <border>
        <vertical style="thin">
          <color indexed="64"/>
        </vertical>
        <horizontal style="thin">
          <color indexed="64"/>
        </horizontal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vertical style="thin">
          <color indexed="64"/>
        </vertical>
        <horizontal style="thin">
          <color indexed="64"/>
        </horizontal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right style="thin">
          <color indexed="64"/>
        </right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4" formatCode="0.00%"/>
    </dxf>
    <dxf>
      <numFmt numFmtId="13" formatCode="0%"/>
    </dxf>
    <dxf>
      <alignment horizontal="center" readingOrder="0"/>
    </dxf>
    <dxf>
      <numFmt numFmtId="164" formatCode="0.0%"/>
    </dxf>
    <dxf>
      <numFmt numFmtId="14" formatCode="0.00%"/>
    </dxf>
    <dxf>
      <numFmt numFmtId="13" formatCode="0%"/>
    </dxf>
    <dxf>
      <alignment horizontal="center" readingOrder="0"/>
    </dxf>
    <dxf>
      <numFmt numFmtId="164" formatCode="0.0%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readingOrder="0"/>
    </dxf>
    <dxf>
      <numFmt numFmtId="13" formatCode="0%"/>
    </dxf>
    <dxf>
      <alignment horizontal="center" readingOrder="0"/>
    </dxf>
    <dxf>
      <border>
        <right style="thin">
          <color indexed="64"/>
        </right>
      </border>
    </dxf>
    <dxf>
      <fill>
        <patternFill>
          <bgColor rgb="FFE84C22"/>
        </patternFill>
      </fill>
    </dxf>
    <dxf>
      <fill>
        <patternFill>
          <bgColor rgb="FFE84C22"/>
        </patternFill>
      </fill>
    </dxf>
    <dxf>
      <numFmt numFmtId="14" formatCode="0.00%"/>
    </dxf>
    <dxf>
      <font>
        <color theme="0"/>
      </font>
      <numFmt numFmtId="0" formatCode="General"/>
      <fill>
        <patternFill patternType="solid">
          <fgColor indexed="64"/>
          <bgColor rgb="FFE84C22"/>
        </patternFill>
      </fill>
    </dxf>
    <dxf>
      <alignment horizontal="center"/>
    </dxf>
    <dxf>
      <numFmt numFmtId="166" formatCode="0.0000000"/>
    </dxf>
    <dxf>
      <numFmt numFmtId="167" formatCode="0.000000"/>
    </dxf>
    <dxf>
      <numFmt numFmtId="168" formatCode="0.00000"/>
    </dxf>
    <dxf>
      <numFmt numFmtId="169" formatCode="0.0000"/>
    </dxf>
    <dxf>
      <numFmt numFmtId="170" formatCode="0.000"/>
    </dxf>
    <dxf>
      <numFmt numFmtId="2" formatCode="0.00"/>
    </dxf>
    <dxf>
      <numFmt numFmtId="171" formatCode="0.0"/>
    </dxf>
    <dxf>
      <numFmt numFmtId="2" formatCode="0.00"/>
    </dxf>
    <dxf>
      <numFmt numFmtId="166" formatCode="0.0000000"/>
    </dxf>
    <dxf>
      <numFmt numFmtId="167" formatCode="0.000000"/>
    </dxf>
    <dxf>
      <numFmt numFmtId="168" formatCode="0.00000"/>
    </dxf>
    <dxf>
      <numFmt numFmtId="169" formatCode="0.0000"/>
    </dxf>
    <dxf>
      <numFmt numFmtId="170" formatCode="0.000"/>
    </dxf>
    <dxf>
      <numFmt numFmtId="2" formatCode="0.00"/>
    </dxf>
    <dxf>
      <fill>
        <patternFill patternType="solid">
          <bgColor theme="5"/>
        </patternFill>
      </fill>
    </dxf>
    <dxf>
      <fill>
        <patternFill patternType="solid">
          <bgColor theme="5"/>
        </patternFill>
      </fill>
    </dxf>
    <dxf>
      <font>
        <color theme="0"/>
      </font>
    </dxf>
    <dxf>
      <font>
        <color theme="0"/>
      </font>
    </dxf>
    <dxf>
      <border>
        <left/>
        <top/>
        <bottom/>
      </border>
    </dxf>
    <dxf>
      <font>
        <b/>
      </font>
    </dxf>
    <dxf>
      <border>
        <right/>
        <top/>
        <bottom/>
      </border>
    </dxf>
    <dxf>
      <border>
        <right/>
        <top/>
        <bottom/>
      </border>
    </dxf>
    <dxf>
      <border>
        <left/>
        <right/>
        <top/>
      </border>
    </dxf>
    <dxf>
      <border>
        <left/>
        <right/>
        <top/>
      </border>
    </dxf>
    <dxf>
      <border>
        <left/>
        <right/>
        <top/>
      </border>
    </dxf>
    <dxf>
      <border>
        <left/>
        <right/>
        <top/>
      </border>
    </dxf>
    <dxf>
      <border>
        <left/>
        <right/>
        <top/>
      </border>
    </dxf>
    <dxf>
      <border>
        <top/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lor theme="0"/>
      </font>
      <fill>
        <patternFill patternType="solid">
          <fgColor indexed="64"/>
          <bgColor theme="5"/>
        </patternFill>
      </fill>
    </dxf>
    <dxf>
      <border>
        <horizontal style="thin">
          <color indexed="64"/>
        </horizontal>
      </border>
    </dxf>
    <dxf>
      <border>
        <vertical style="thin">
          <color indexed="64"/>
        </vertical>
      </border>
    </dxf>
    <dxf>
      <font>
        <b val="0"/>
      </font>
    </dxf>
    <dxf>
      <font>
        <b val="0"/>
      </font>
    </dxf>
    <dxf>
      <font>
        <b/>
      </font>
    </dxf>
    <dxf>
      <font>
        <b/>
      </font>
    </dxf>
    <dxf>
      <border>
        <vertical style="thin">
          <color indexed="64"/>
        </vertical>
      </border>
    </dxf>
    <dxf>
      <border>
        <vertical style="thin">
          <color indexed="64"/>
        </vertical>
      </border>
    </dxf>
    <dxf>
      <font>
        <b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/>
        <color theme="0"/>
      </font>
      <fill>
        <patternFill patternType="solid">
          <fgColor indexed="64"/>
          <bgColor theme="5"/>
        </patternFill>
      </fill>
    </dxf>
    <dxf>
      <numFmt numFmtId="13" formatCode="0%"/>
    </dxf>
    <dxf>
      <numFmt numFmtId="164" formatCode="0.0%"/>
    </dxf>
    <dxf>
      <numFmt numFmtId="14" formatCode="0.00%"/>
    </dxf>
    <dxf>
      <border>
        <right style="thin">
          <color indexed="64"/>
        </right>
        <vertical style="thin">
          <color indexed="64"/>
        </vertical>
        <horizontal style="thin">
          <color indexed="64"/>
        </horizontal>
      </border>
    </dxf>
    <dxf>
      <font>
        <color theme="0"/>
      </font>
      <fill>
        <patternFill patternType="solid">
          <fgColor indexed="64"/>
          <bgColor theme="5"/>
        </patternFill>
      </fill>
    </dxf>
    <dxf>
      <border>
        <vertical style="thin">
          <color indexed="64"/>
        </vertical>
      </border>
    </dxf>
    <dxf>
      <numFmt numFmtId="14" formatCode="0.00%"/>
    </dxf>
    <dxf>
      <border>
        <right style="thin">
          <color indexed="64"/>
        </right>
        <vertical style="thin">
          <color indexed="64"/>
        </vertical>
        <horizontal style="thin">
          <color indexed="64"/>
        </horizontal>
      </border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border>
        <vertical style="thin">
          <color indexed="64"/>
        </vertical>
        <horizontal style="thin">
          <color indexed="64"/>
        </horizontal>
      </border>
    </dxf>
    <dxf>
      <border>
        <vertical style="thin">
          <color indexed="64"/>
        </vertical>
        <horizontal style="thin">
          <color indexed="64"/>
        </horizontal>
      </border>
    </dxf>
    <dxf>
      <border>
        <vertical style="thin">
          <color indexed="64"/>
        </vertical>
        <horizontal style="thin">
          <color indexed="64"/>
        </horizontal>
      </border>
    </dxf>
    <dxf>
      <border>
        <vertical style="thin">
          <color indexed="64"/>
        </vertical>
        <horizontal style="thin">
          <color indexed="64"/>
        </horizontal>
      </border>
    </dxf>
    <dxf>
      <border>
        <vertical style="thin">
          <color indexed="64"/>
        </vertical>
        <horizontal style="thin">
          <color indexed="64"/>
        </horizontal>
      </border>
    </dxf>
    <dxf>
      <numFmt numFmtId="13" formatCode="0%"/>
    </dxf>
    <dxf>
      <numFmt numFmtId="172" formatCode="0.000%"/>
    </dxf>
    <dxf>
      <numFmt numFmtId="14" formatCode="0.00%"/>
    </dxf>
    <dxf>
      <numFmt numFmtId="164" formatCode="0.0%"/>
    </dxf>
    <dxf>
      <alignment horizontal="center" readingOrder="0"/>
    </dxf>
    <dxf>
      <numFmt numFmtId="164" formatCode="0.0%"/>
    </dxf>
    <dxf>
      <fill>
        <patternFill>
          <bgColor rgb="FFE84C22"/>
        </patternFill>
      </fill>
    </dxf>
    <dxf>
      <fill>
        <patternFill>
          <bgColor rgb="FFE84C22"/>
        </patternFill>
      </fill>
    </dxf>
    <dxf>
      <numFmt numFmtId="13" formatCode="0%"/>
    </dxf>
    <dxf>
      <font>
        <b/>
        <color theme="0"/>
      </font>
      <numFmt numFmtId="14" formatCode="0.00%"/>
      <fill>
        <patternFill patternType="solid">
          <fgColor indexed="64"/>
          <bgColor rgb="FFE84C22"/>
        </patternFill>
      </fill>
    </dxf>
    <dxf>
      <numFmt numFmtId="14" formatCode="0.00%"/>
    </dxf>
    <dxf>
      <numFmt numFmtId="14" formatCode="0.00%"/>
    </dxf>
    <dxf>
      <fill>
        <patternFill patternType="solid">
          <fgColor indexed="64"/>
          <bgColor rgb="FFE84C22"/>
        </patternFill>
      </fill>
      <alignment horizontal="center"/>
    </dxf>
    <dxf>
      <numFmt numFmtId="14" formatCode="0.00%"/>
    </dxf>
    <dxf>
      <numFmt numFmtId="0" formatCode="General"/>
      <fill>
        <patternFill patternType="solid">
          <fgColor indexed="64"/>
          <bgColor rgb="FFE84C22"/>
        </patternFill>
      </fill>
      <alignment horizontal="center"/>
    </dxf>
    <dxf>
      <alignment horizontal="center"/>
    </dxf>
    <dxf>
      <alignment vertical="center"/>
    </dxf>
    <dxf>
      <alignment horizontal="center"/>
    </dxf>
    <dxf>
      <alignment vertical="center"/>
    </dxf>
    <dxf>
      <numFmt numFmtId="166" formatCode="0.0000000"/>
    </dxf>
    <dxf>
      <numFmt numFmtId="167" formatCode="0.000000"/>
    </dxf>
    <dxf>
      <numFmt numFmtId="168" formatCode="0.00000"/>
    </dxf>
    <dxf>
      <numFmt numFmtId="169" formatCode="0.0000"/>
    </dxf>
    <dxf>
      <numFmt numFmtId="170" formatCode="0.000"/>
    </dxf>
    <dxf>
      <numFmt numFmtId="2" formatCode="0.00"/>
    </dxf>
    <dxf>
      <numFmt numFmtId="171" formatCode="0.0"/>
    </dxf>
    <dxf>
      <numFmt numFmtId="2" formatCode="0.00"/>
    </dxf>
    <dxf>
      <numFmt numFmtId="166" formatCode="0.0000000"/>
    </dxf>
    <dxf>
      <numFmt numFmtId="167" formatCode="0.000000"/>
    </dxf>
    <dxf>
      <numFmt numFmtId="168" formatCode="0.00000"/>
    </dxf>
    <dxf>
      <numFmt numFmtId="169" formatCode="0.0000"/>
    </dxf>
    <dxf>
      <numFmt numFmtId="170" formatCode="0.000"/>
    </dxf>
    <dxf>
      <numFmt numFmtId="2" formatCode="0.00"/>
    </dxf>
    <dxf>
      <fill>
        <patternFill patternType="solid">
          <bgColor theme="5"/>
        </patternFill>
      </fill>
    </dxf>
    <dxf>
      <font>
        <color theme="0"/>
      </font>
    </dxf>
    <dxf>
      <border>
        <left/>
        <top/>
        <bottom/>
      </border>
    </dxf>
    <dxf>
      <font>
        <b/>
      </font>
    </dxf>
    <dxf>
      <border>
        <right/>
        <top/>
        <bottom/>
      </border>
    </dxf>
    <dxf>
      <border>
        <right/>
        <top/>
        <bottom/>
      </border>
    </dxf>
    <dxf>
      <border>
        <left/>
        <right/>
        <top/>
      </border>
    </dxf>
    <dxf>
      <border>
        <left/>
        <right/>
        <top/>
      </border>
    </dxf>
    <dxf>
      <border>
        <left/>
        <right/>
        <top/>
      </border>
    </dxf>
    <dxf>
      <border>
        <left/>
        <right/>
        <top/>
      </border>
    </dxf>
    <dxf>
      <border>
        <top/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lor theme="0"/>
      </font>
      <fill>
        <patternFill patternType="solid">
          <fgColor indexed="64"/>
          <bgColor theme="5"/>
        </patternFill>
      </fill>
    </dxf>
    <dxf>
      <border>
        <horizontal style="thin">
          <color indexed="64"/>
        </horizontal>
      </border>
    </dxf>
    <dxf>
      <border>
        <vertical style="thin">
          <color indexed="64"/>
        </vertical>
      </border>
    </dxf>
    <dxf>
      <font>
        <b val="0"/>
      </font>
    </dxf>
    <dxf>
      <font>
        <b val="0"/>
      </font>
    </dxf>
    <dxf>
      <font>
        <b/>
      </font>
    </dxf>
    <dxf>
      <font>
        <b/>
      </font>
    </dxf>
    <dxf>
      <border>
        <vertical style="thin">
          <color indexed="64"/>
        </vertical>
      </border>
    </dxf>
    <dxf>
      <border>
        <vertical style="thin">
          <color indexed="64"/>
        </vertical>
      </border>
    </dxf>
    <dxf>
      <font>
        <b/>
      </font>
    </dxf>
    <dxf>
      <font>
        <b/>
        <color theme="0"/>
      </font>
      <fill>
        <patternFill patternType="solid">
          <fgColor indexed="64"/>
          <bgColor theme="5"/>
        </patternFill>
      </fill>
    </dxf>
    <dxf>
      <font>
        <color theme="0"/>
      </font>
      <fill>
        <patternFill patternType="solid">
          <fgColor indexed="64"/>
          <bgColor theme="5"/>
        </patternFill>
      </fill>
    </dxf>
    <dxf>
      <numFmt numFmtId="14" formatCode="0.00%"/>
    </dxf>
    <dxf>
      <numFmt numFmtId="14" formatCode="0.00%"/>
    </dxf>
    <dxf>
      <border>
        <left style="thin">
          <color indexed="64"/>
        </left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vertical style="thin">
          <color indexed="64"/>
        </vertical>
        <horizontal style="thin">
          <color indexed="64"/>
        </horizontal>
      </border>
    </dxf>
    <dxf>
      <font>
        <b/>
      </font>
    </dxf>
    <dxf>
      <font>
        <b/>
        <color theme="0"/>
      </font>
      <numFmt numFmtId="14" formatCode="0.00%"/>
      <fill>
        <patternFill patternType="solid">
          <fgColor indexed="64"/>
          <bgColor theme="5"/>
        </patternFill>
      </fill>
    </dxf>
    <dxf>
      <numFmt numFmtId="13" formatCode="0%"/>
    </dxf>
    <dxf>
      <numFmt numFmtId="164" formatCode="0.0%"/>
    </dxf>
    <dxf>
      <fill>
        <patternFill>
          <bgColor rgb="FFE94C22"/>
        </patternFill>
      </fill>
    </dxf>
    <dxf>
      <numFmt numFmtId="14" formatCode="0.00%"/>
    </dxf>
    <dxf>
      <numFmt numFmtId="14" formatCode="0.00%"/>
    </dxf>
    <dxf>
      <font>
        <b/>
        <color theme="0"/>
      </font>
      <fill>
        <patternFill patternType="solid">
          <fgColor indexed="64"/>
          <bgColor rgb="FFE94C22"/>
        </patternFill>
      </fill>
    </dxf>
    <dxf>
      <font>
        <b/>
        <color theme="0"/>
      </font>
      <numFmt numFmtId="14" formatCode="0.00%"/>
      <fill>
        <patternFill patternType="solid">
          <fgColor indexed="64"/>
          <bgColor rgb="FFE94C22"/>
        </patternFill>
      </fill>
    </dxf>
    <dxf>
      <numFmt numFmtId="14" formatCode="0.00%"/>
    </dxf>
    <dxf>
      <font>
        <b/>
        <color theme="0"/>
      </font>
      <fill>
        <patternFill patternType="solid">
          <fgColor indexed="64"/>
          <bgColor rgb="FFE94C22"/>
        </patternFill>
      </fill>
    </dxf>
    <dxf>
      <numFmt numFmtId="166" formatCode="0.0000000"/>
    </dxf>
    <dxf>
      <numFmt numFmtId="167" formatCode="0.000000"/>
    </dxf>
    <dxf>
      <numFmt numFmtId="168" formatCode="0.00000"/>
    </dxf>
    <dxf>
      <numFmt numFmtId="169" formatCode="0.0000"/>
    </dxf>
    <dxf>
      <numFmt numFmtId="170" formatCode="0.000"/>
    </dxf>
    <dxf>
      <numFmt numFmtId="2" formatCode="0.00"/>
    </dxf>
    <dxf>
      <numFmt numFmtId="171" formatCode="0.0"/>
    </dxf>
    <dxf>
      <numFmt numFmtId="2" formatCode="0.00"/>
    </dxf>
    <dxf>
      <numFmt numFmtId="166" formatCode="0.0000000"/>
    </dxf>
    <dxf>
      <numFmt numFmtId="167" formatCode="0.000000"/>
    </dxf>
    <dxf>
      <numFmt numFmtId="168" formatCode="0.00000"/>
    </dxf>
    <dxf>
      <numFmt numFmtId="169" formatCode="0.0000"/>
    </dxf>
    <dxf>
      <numFmt numFmtId="170" formatCode="0.000"/>
    </dxf>
    <dxf>
      <numFmt numFmtId="2" formatCode="0.00"/>
    </dxf>
    <dxf>
      <fill>
        <patternFill patternType="solid">
          <bgColor theme="5"/>
        </patternFill>
      </fill>
    </dxf>
    <dxf>
      <font>
        <color theme="0"/>
      </font>
    </dxf>
    <dxf>
      <border>
        <left/>
        <top/>
        <bottom/>
      </border>
    </dxf>
    <dxf>
      <font>
        <b/>
      </font>
    </dxf>
    <dxf>
      <border>
        <right/>
        <top/>
        <bottom/>
      </border>
    </dxf>
    <dxf>
      <border>
        <right/>
        <top/>
        <bottom/>
      </border>
    </dxf>
    <dxf>
      <border>
        <left/>
        <right/>
        <top/>
      </border>
    </dxf>
    <dxf>
      <border>
        <left/>
        <right/>
        <top/>
      </border>
    </dxf>
    <dxf>
      <border>
        <left/>
        <right/>
        <top/>
      </border>
    </dxf>
    <dxf>
      <border>
        <left/>
        <right/>
        <top/>
      </border>
    </dxf>
    <dxf>
      <border>
        <top/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lor theme="0"/>
      </font>
      <fill>
        <patternFill patternType="solid">
          <fgColor indexed="64"/>
          <bgColor theme="5"/>
        </patternFill>
      </fill>
    </dxf>
    <dxf>
      <border>
        <horizontal style="thin">
          <color indexed="64"/>
        </horizontal>
      </border>
    </dxf>
    <dxf>
      <border>
        <vertical style="thin">
          <color indexed="64"/>
        </vertical>
      </border>
    </dxf>
    <dxf>
      <font>
        <b val="0"/>
      </font>
    </dxf>
    <dxf>
      <font>
        <b val="0"/>
      </font>
    </dxf>
    <dxf>
      <font>
        <b/>
      </font>
    </dxf>
    <dxf>
      <font>
        <b/>
      </font>
    </dxf>
    <dxf>
      <border>
        <vertical style="thin">
          <color indexed="64"/>
        </vertical>
      </border>
    </dxf>
    <dxf>
      <border>
        <vertical style="thin">
          <color indexed="64"/>
        </vertical>
      </border>
    </dxf>
    <dxf>
      <font>
        <b/>
      </font>
    </dxf>
    <dxf>
      <font>
        <b/>
        <color theme="0"/>
      </font>
      <fill>
        <patternFill patternType="solid">
          <fgColor indexed="64"/>
          <bgColor theme="5"/>
        </patternFill>
      </fill>
    </dxf>
    <dxf>
      <font>
        <color theme="0"/>
      </font>
      <fill>
        <patternFill patternType="solid">
          <fgColor indexed="64"/>
          <bgColor theme="5"/>
        </patternFill>
      </fill>
    </dxf>
    <dxf>
      <numFmt numFmtId="14" formatCode="0.00%"/>
    </dxf>
    <dxf>
      <numFmt numFmtId="14" formatCode="0.00%"/>
    </dxf>
    <dxf>
      <border>
        <left style="thin">
          <color indexed="64"/>
        </left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vertical style="thin">
          <color indexed="64"/>
        </vertical>
        <horizontal style="thin">
          <color indexed="64"/>
        </horizontal>
      </border>
    </dxf>
    <dxf>
      <font>
        <b/>
      </font>
    </dxf>
    <dxf>
      <font>
        <b/>
        <color theme="0"/>
      </font>
      <numFmt numFmtId="14" formatCode="0.00%"/>
      <fill>
        <patternFill patternType="solid">
          <fgColor indexed="64"/>
          <bgColor theme="5"/>
        </patternFill>
      </fill>
    </dxf>
    <dxf>
      <numFmt numFmtId="13" formatCode="0%"/>
    </dxf>
    <dxf>
      <numFmt numFmtId="164" formatCode="0.0%"/>
    </dxf>
    <dxf>
      <fill>
        <patternFill>
          <bgColor rgb="FFE94C22"/>
        </patternFill>
      </fill>
    </dxf>
    <dxf>
      <numFmt numFmtId="14" formatCode="0.00%"/>
    </dxf>
    <dxf>
      <numFmt numFmtId="14" formatCode="0.00%"/>
    </dxf>
    <dxf>
      <font>
        <b/>
        <color theme="0"/>
      </font>
      <fill>
        <patternFill patternType="solid">
          <fgColor indexed="64"/>
          <bgColor rgb="FFE94C22"/>
        </patternFill>
      </fill>
    </dxf>
    <dxf>
      <font>
        <b/>
        <color theme="0"/>
      </font>
      <numFmt numFmtId="14" formatCode="0.00%"/>
      <fill>
        <patternFill patternType="solid">
          <fgColor indexed="64"/>
          <bgColor rgb="FFE94C22"/>
        </patternFill>
      </fill>
    </dxf>
    <dxf>
      <numFmt numFmtId="14" formatCode="0.00%"/>
    </dxf>
    <dxf>
      <font>
        <b/>
        <color theme="0"/>
      </font>
      <fill>
        <patternFill patternType="solid">
          <fgColor indexed="64"/>
          <bgColor rgb="FFE94C22"/>
        </patternFill>
      </fill>
    </dxf>
    <dxf>
      <alignment vertical="center"/>
    </dxf>
    <dxf>
      <alignment horizontal="center"/>
    </dxf>
    <dxf>
      <numFmt numFmtId="166" formatCode="0.0000000"/>
    </dxf>
    <dxf>
      <numFmt numFmtId="167" formatCode="0.000000"/>
    </dxf>
    <dxf>
      <numFmt numFmtId="168" formatCode="0.00000"/>
    </dxf>
    <dxf>
      <numFmt numFmtId="169" formatCode="0.0000"/>
    </dxf>
    <dxf>
      <numFmt numFmtId="170" formatCode="0.000"/>
    </dxf>
    <dxf>
      <numFmt numFmtId="2" formatCode="0.00"/>
    </dxf>
    <dxf>
      <numFmt numFmtId="171" formatCode="0.0"/>
    </dxf>
    <dxf>
      <numFmt numFmtId="2" formatCode="0.00"/>
    </dxf>
    <dxf>
      <numFmt numFmtId="166" formatCode="0.0000000"/>
    </dxf>
    <dxf>
      <numFmt numFmtId="167" formatCode="0.000000"/>
    </dxf>
    <dxf>
      <numFmt numFmtId="168" formatCode="0.00000"/>
    </dxf>
    <dxf>
      <numFmt numFmtId="169" formatCode="0.0000"/>
    </dxf>
    <dxf>
      <numFmt numFmtId="170" formatCode="0.000"/>
    </dxf>
    <dxf>
      <numFmt numFmtId="2" formatCode="0.00"/>
    </dxf>
    <dxf>
      <fill>
        <patternFill patternType="solid">
          <bgColor theme="5"/>
        </patternFill>
      </fill>
    </dxf>
    <dxf>
      <fill>
        <patternFill patternType="solid">
          <bgColor theme="5"/>
        </patternFill>
      </fill>
    </dxf>
    <dxf>
      <font>
        <color theme="0"/>
      </font>
    </dxf>
    <dxf>
      <font>
        <color theme="0"/>
      </font>
    </dxf>
    <dxf>
      <border>
        <left/>
        <top/>
        <bottom/>
      </border>
    </dxf>
    <dxf>
      <font>
        <b/>
      </font>
    </dxf>
    <dxf>
      <border>
        <right/>
        <top/>
        <bottom/>
      </border>
    </dxf>
    <dxf>
      <border>
        <right/>
        <top/>
        <bottom/>
      </border>
    </dxf>
    <dxf>
      <border>
        <left/>
        <right/>
        <top/>
      </border>
    </dxf>
    <dxf>
      <border>
        <left/>
        <right/>
        <top/>
      </border>
    </dxf>
    <dxf>
      <border>
        <left/>
        <right/>
        <top/>
      </border>
    </dxf>
    <dxf>
      <border>
        <left/>
        <right/>
        <top/>
      </border>
    </dxf>
    <dxf>
      <border>
        <left/>
        <right/>
        <top/>
      </border>
    </dxf>
    <dxf>
      <border>
        <top/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lor theme="0"/>
      </font>
      <fill>
        <patternFill patternType="solid">
          <fgColor indexed="64"/>
          <bgColor theme="5"/>
        </patternFill>
      </fill>
    </dxf>
    <dxf>
      <border>
        <horizontal style="thin">
          <color indexed="64"/>
        </horizontal>
      </border>
    </dxf>
    <dxf>
      <border>
        <vertical style="thin">
          <color indexed="64"/>
        </vertical>
      </border>
    </dxf>
    <dxf>
      <font>
        <b val="0"/>
      </font>
    </dxf>
    <dxf>
      <font>
        <b val="0"/>
      </font>
    </dxf>
    <dxf>
      <font>
        <b/>
      </font>
    </dxf>
    <dxf>
      <font>
        <b/>
      </font>
    </dxf>
    <dxf>
      <border>
        <vertical style="thin">
          <color indexed="64"/>
        </vertical>
      </border>
    </dxf>
    <dxf>
      <border>
        <vertical style="thin">
          <color indexed="64"/>
        </vertical>
      </border>
    </dxf>
    <dxf>
      <font>
        <b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/>
        <color theme="0"/>
      </font>
      <fill>
        <patternFill patternType="solid">
          <fgColor indexed="64"/>
          <bgColor theme="5"/>
        </patternFill>
      </fill>
    </dxf>
    <dxf>
      <numFmt numFmtId="13" formatCode="0%"/>
    </dxf>
    <dxf>
      <numFmt numFmtId="164" formatCode="0.0%"/>
    </dxf>
    <dxf>
      <numFmt numFmtId="14" formatCode="0.00%"/>
    </dxf>
    <dxf>
      <border>
        <right style="thin">
          <color indexed="64"/>
        </right>
        <vertical style="thin">
          <color indexed="64"/>
        </vertical>
        <horizontal style="thin">
          <color indexed="64"/>
        </horizontal>
      </border>
    </dxf>
    <dxf>
      <font>
        <color theme="0"/>
      </font>
      <fill>
        <patternFill patternType="solid">
          <fgColor indexed="64"/>
          <bgColor theme="5"/>
        </patternFill>
      </fill>
    </dxf>
    <dxf>
      <border>
        <vertical style="thin">
          <color indexed="64"/>
        </vertical>
      </border>
    </dxf>
    <dxf>
      <numFmt numFmtId="14" formatCode="0.00%"/>
    </dxf>
    <dxf>
      <border>
        <right style="thin">
          <color indexed="64"/>
        </right>
        <vertical style="thin">
          <color indexed="64"/>
        </vertical>
        <horizontal style="thin">
          <color indexed="64"/>
        </horizontal>
      </border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border>
        <vertical style="thin">
          <color indexed="64"/>
        </vertical>
        <horizontal style="thin">
          <color indexed="64"/>
        </horizontal>
      </border>
    </dxf>
    <dxf>
      <border>
        <vertical style="thin">
          <color indexed="64"/>
        </vertical>
        <horizontal style="thin">
          <color indexed="64"/>
        </horizontal>
      </border>
    </dxf>
    <dxf>
      <border>
        <vertical style="thin">
          <color indexed="64"/>
        </vertical>
        <horizontal style="thin">
          <color indexed="64"/>
        </horizontal>
      </border>
    </dxf>
    <dxf>
      <border>
        <vertical style="thin">
          <color indexed="64"/>
        </vertical>
        <horizontal style="thin">
          <color indexed="64"/>
        </horizontal>
      </border>
    </dxf>
    <dxf>
      <border>
        <vertical style="thin">
          <color indexed="64"/>
        </vertical>
        <horizontal style="thin">
          <color indexed="64"/>
        </horizontal>
      </border>
    </dxf>
    <dxf>
      <numFmt numFmtId="13" formatCode="0%"/>
    </dxf>
    <dxf>
      <numFmt numFmtId="172" formatCode="0.000%"/>
    </dxf>
    <dxf>
      <numFmt numFmtId="14" formatCode="0.00%"/>
    </dxf>
    <dxf>
      <numFmt numFmtId="164" formatCode="0.0%"/>
    </dxf>
    <dxf>
      <alignment horizontal="center" readingOrder="0"/>
    </dxf>
    <dxf>
      <numFmt numFmtId="164" formatCode="0.0%"/>
    </dxf>
    <dxf>
      <fill>
        <patternFill>
          <bgColor rgb="FFE84C22"/>
        </patternFill>
      </fill>
    </dxf>
    <dxf>
      <fill>
        <patternFill>
          <bgColor rgb="FFE84C22"/>
        </patternFill>
      </fill>
    </dxf>
    <dxf>
      <numFmt numFmtId="13" formatCode="0%"/>
    </dxf>
    <dxf>
      <font>
        <b/>
        <color theme="0"/>
      </font>
      <numFmt numFmtId="14" formatCode="0.00%"/>
      <fill>
        <patternFill patternType="solid">
          <fgColor indexed="64"/>
          <bgColor rgb="FFE84C22"/>
        </patternFill>
      </fill>
    </dxf>
    <dxf>
      <numFmt numFmtId="14" formatCode="0.00%"/>
    </dxf>
    <dxf>
      <numFmt numFmtId="14" formatCode="0.00%"/>
    </dxf>
    <dxf>
      <fill>
        <patternFill patternType="solid">
          <fgColor indexed="64"/>
          <bgColor rgb="FFE84C22"/>
        </patternFill>
      </fill>
      <alignment horizontal="center"/>
    </dxf>
    <dxf>
      <numFmt numFmtId="14" formatCode="0.00%"/>
    </dxf>
    <dxf>
      <numFmt numFmtId="0" formatCode="General"/>
      <fill>
        <patternFill patternType="solid">
          <fgColor indexed="64"/>
          <bgColor rgb="FFE84C22"/>
        </patternFill>
      </fill>
      <alignment horizontal="center"/>
    </dxf>
    <dxf>
      <alignment horizontal="center"/>
    </dxf>
    <dxf>
      <alignment vertical="center"/>
    </dxf>
    <dxf>
      <alignment vertical="center"/>
    </dxf>
    <dxf>
      <alignment horizontal="center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readingOrder="0"/>
    </dxf>
    <dxf>
      <fill>
        <patternFill patternType="solid">
          <bgColor rgb="FFE84C22"/>
        </patternFill>
      </fill>
    </dxf>
    <dxf>
      <fill>
        <patternFill patternType="solid">
          <bgColor rgb="FFE84C22"/>
        </patternFill>
      </fill>
    </dxf>
    <dxf>
      <numFmt numFmtId="166" formatCode="0.0000000"/>
    </dxf>
    <dxf>
      <numFmt numFmtId="167" formatCode="0.000000"/>
    </dxf>
    <dxf>
      <numFmt numFmtId="168" formatCode="0.00000"/>
    </dxf>
    <dxf>
      <numFmt numFmtId="169" formatCode="0.0000"/>
    </dxf>
    <dxf>
      <numFmt numFmtId="170" formatCode="0.000"/>
    </dxf>
    <dxf>
      <numFmt numFmtId="2" formatCode="0.00"/>
    </dxf>
    <dxf>
      <numFmt numFmtId="171" formatCode="0.0"/>
    </dxf>
    <dxf>
      <numFmt numFmtId="2" formatCode="0.00"/>
    </dxf>
    <dxf>
      <numFmt numFmtId="166" formatCode="0.0000000"/>
    </dxf>
    <dxf>
      <numFmt numFmtId="167" formatCode="0.000000"/>
    </dxf>
    <dxf>
      <numFmt numFmtId="168" formatCode="0.00000"/>
    </dxf>
    <dxf>
      <numFmt numFmtId="169" formatCode="0.0000"/>
    </dxf>
    <dxf>
      <numFmt numFmtId="170" formatCode="0.000"/>
    </dxf>
    <dxf>
      <numFmt numFmtId="2" formatCode="0.00"/>
    </dxf>
    <dxf>
      <fill>
        <patternFill patternType="solid">
          <bgColor theme="5"/>
        </patternFill>
      </fill>
    </dxf>
    <dxf>
      <fill>
        <patternFill patternType="solid">
          <bgColor theme="5"/>
        </patternFill>
      </fill>
    </dxf>
    <dxf>
      <font>
        <color theme="0"/>
      </font>
    </dxf>
    <dxf>
      <font>
        <color theme="0"/>
      </font>
    </dxf>
    <dxf>
      <border>
        <left/>
        <top/>
        <bottom/>
      </border>
    </dxf>
    <dxf>
      <font>
        <b/>
      </font>
    </dxf>
    <dxf>
      <border>
        <right/>
        <top/>
        <bottom/>
      </border>
    </dxf>
    <dxf>
      <border>
        <right/>
        <top/>
        <bottom/>
      </border>
    </dxf>
    <dxf>
      <border>
        <left/>
        <right/>
        <top/>
      </border>
    </dxf>
    <dxf>
      <border>
        <left/>
        <right/>
        <top/>
      </border>
    </dxf>
    <dxf>
      <border>
        <left/>
        <right/>
        <top/>
      </border>
    </dxf>
    <dxf>
      <border>
        <left/>
        <right/>
        <top/>
      </border>
    </dxf>
    <dxf>
      <border>
        <left/>
        <right/>
        <top/>
      </border>
    </dxf>
    <dxf>
      <border>
        <top/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lor theme="0"/>
      </font>
      <fill>
        <patternFill patternType="solid">
          <fgColor indexed="64"/>
          <bgColor theme="5"/>
        </patternFill>
      </fill>
    </dxf>
    <dxf>
      <border>
        <horizontal style="thin">
          <color indexed="64"/>
        </horizontal>
      </border>
    </dxf>
    <dxf>
      <border>
        <vertical style="thin">
          <color indexed="64"/>
        </vertical>
      </border>
    </dxf>
    <dxf>
      <font>
        <b val="0"/>
      </font>
    </dxf>
    <dxf>
      <font>
        <b val="0"/>
      </font>
    </dxf>
    <dxf>
      <font>
        <b/>
      </font>
    </dxf>
    <dxf>
      <font>
        <b/>
      </font>
    </dxf>
    <dxf>
      <border>
        <vertical style="thin">
          <color indexed="64"/>
        </vertical>
      </border>
    </dxf>
    <dxf>
      <border>
        <vertical style="thin">
          <color indexed="64"/>
        </vertical>
      </border>
    </dxf>
    <dxf>
      <font>
        <b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/>
        <color theme="0"/>
      </font>
      <fill>
        <patternFill patternType="solid">
          <fgColor indexed="64"/>
          <bgColor theme="5"/>
        </patternFill>
      </fill>
    </dxf>
    <dxf>
      <numFmt numFmtId="13" formatCode="0%"/>
    </dxf>
    <dxf>
      <numFmt numFmtId="164" formatCode="0.0%"/>
    </dxf>
    <dxf>
      <numFmt numFmtId="14" formatCode="0.00%"/>
    </dxf>
    <dxf>
      <border>
        <right style="thin">
          <color indexed="64"/>
        </right>
        <vertical style="thin">
          <color indexed="64"/>
        </vertical>
        <horizontal style="thin">
          <color indexed="64"/>
        </horizontal>
      </border>
    </dxf>
    <dxf>
      <font>
        <color theme="0"/>
      </font>
      <fill>
        <patternFill patternType="solid">
          <fgColor indexed="64"/>
          <bgColor theme="5"/>
        </patternFill>
      </fill>
    </dxf>
    <dxf>
      <border>
        <vertical style="thin">
          <color indexed="64"/>
        </vertical>
      </border>
    </dxf>
    <dxf>
      <numFmt numFmtId="14" formatCode="0.00%"/>
    </dxf>
    <dxf>
      <border>
        <right style="thin">
          <color indexed="64"/>
        </right>
        <vertical style="thin">
          <color indexed="64"/>
        </vertical>
        <horizontal style="thin">
          <color indexed="64"/>
        </horizontal>
      </border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border>
        <vertical style="thin">
          <color indexed="64"/>
        </vertical>
        <horizontal style="thin">
          <color indexed="64"/>
        </horizontal>
      </border>
    </dxf>
    <dxf>
      <border>
        <vertical style="thin">
          <color indexed="64"/>
        </vertical>
        <horizontal style="thin">
          <color indexed="64"/>
        </horizontal>
      </border>
    </dxf>
    <dxf>
      <border>
        <vertical style="thin">
          <color indexed="64"/>
        </vertical>
        <horizontal style="thin">
          <color indexed="64"/>
        </horizontal>
      </border>
    </dxf>
    <dxf>
      <border>
        <vertical style="thin">
          <color indexed="64"/>
        </vertical>
        <horizontal style="thin">
          <color indexed="64"/>
        </horizontal>
      </border>
    </dxf>
    <dxf>
      <border>
        <vertical style="thin">
          <color indexed="64"/>
        </vertical>
        <horizontal style="thin">
          <color indexed="64"/>
        </horizontal>
      </border>
    </dxf>
    <dxf>
      <numFmt numFmtId="13" formatCode="0%"/>
    </dxf>
    <dxf>
      <numFmt numFmtId="172" formatCode="0.000%"/>
    </dxf>
    <dxf>
      <numFmt numFmtId="14" formatCode="0.00%"/>
    </dxf>
    <dxf>
      <numFmt numFmtId="164" formatCode="0.0%"/>
    </dxf>
    <dxf>
      <alignment horizontal="center" readingOrder="0"/>
    </dxf>
    <dxf>
      <numFmt numFmtId="164" formatCode="0.0%"/>
    </dxf>
    <dxf>
      <fill>
        <patternFill>
          <bgColor rgb="FFE84C22"/>
        </patternFill>
      </fill>
    </dxf>
    <dxf>
      <fill>
        <patternFill>
          <bgColor rgb="FFE84C22"/>
        </patternFill>
      </fill>
    </dxf>
    <dxf>
      <numFmt numFmtId="13" formatCode="0%"/>
    </dxf>
    <dxf>
      <font>
        <b/>
        <color theme="0"/>
      </font>
      <numFmt numFmtId="14" formatCode="0.00%"/>
      <fill>
        <patternFill patternType="solid">
          <fgColor indexed="64"/>
          <bgColor rgb="FFE84C22"/>
        </patternFill>
      </fill>
    </dxf>
    <dxf>
      <numFmt numFmtId="14" formatCode="0.00%"/>
    </dxf>
    <dxf>
      <numFmt numFmtId="14" formatCode="0.00%"/>
    </dxf>
    <dxf>
      <fill>
        <patternFill patternType="solid">
          <fgColor indexed="64"/>
          <bgColor rgb="FFE84C22"/>
        </patternFill>
      </fill>
      <alignment horizontal="center"/>
    </dxf>
    <dxf>
      <numFmt numFmtId="14" formatCode="0.00%"/>
    </dxf>
    <dxf>
      <numFmt numFmtId="0" formatCode="General"/>
      <fill>
        <patternFill patternType="solid">
          <fgColor indexed="64"/>
          <bgColor rgb="FFE84C22"/>
        </patternFill>
      </fill>
      <alignment horizontal="center"/>
    </dxf>
    <dxf>
      <numFmt numFmtId="166" formatCode="0.0000000"/>
    </dxf>
    <dxf>
      <numFmt numFmtId="167" formatCode="0.000000"/>
    </dxf>
    <dxf>
      <numFmt numFmtId="168" formatCode="0.00000"/>
    </dxf>
    <dxf>
      <numFmt numFmtId="169" formatCode="0.0000"/>
    </dxf>
    <dxf>
      <numFmt numFmtId="170" formatCode="0.000"/>
    </dxf>
    <dxf>
      <numFmt numFmtId="2" formatCode="0.00"/>
    </dxf>
    <dxf>
      <numFmt numFmtId="171" formatCode="0.0"/>
    </dxf>
    <dxf>
      <numFmt numFmtId="2" formatCode="0.00"/>
    </dxf>
    <dxf>
      <numFmt numFmtId="166" formatCode="0.0000000"/>
    </dxf>
    <dxf>
      <numFmt numFmtId="167" formatCode="0.000000"/>
    </dxf>
    <dxf>
      <numFmt numFmtId="168" formatCode="0.00000"/>
    </dxf>
    <dxf>
      <numFmt numFmtId="169" formatCode="0.0000"/>
    </dxf>
    <dxf>
      <numFmt numFmtId="170" formatCode="0.000"/>
    </dxf>
    <dxf>
      <numFmt numFmtId="2" formatCode="0.00"/>
    </dxf>
    <dxf>
      <fill>
        <patternFill patternType="solid">
          <bgColor theme="5"/>
        </patternFill>
      </fill>
    </dxf>
    <dxf>
      <font>
        <color theme="0"/>
      </font>
    </dxf>
    <dxf>
      <border>
        <left/>
        <top/>
        <bottom/>
      </border>
    </dxf>
    <dxf>
      <font>
        <b/>
      </font>
    </dxf>
    <dxf>
      <border>
        <right/>
        <top/>
        <bottom/>
      </border>
    </dxf>
    <dxf>
      <border>
        <right/>
        <top/>
        <bottom/>
      </border>
    </dxf>
    <dxf>
      <border>
        <left/>
        <right/>
        <top/>
      </border>
    </dxf>
    <dxf>
      <border>
        <left/>
        <right/>
        <top/>
      </border>
    </dxf>
    <dxf>
      <border>
        <left/>
        <right/>
        <top/>
      </border>
    </dxf>
    <dxf>
      <border>
        <left/>
        <right/>
        <top/>
      </border>
    </dxf>
    <dxf>
      <border>
        <top/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lor theme="0"/>
      </font>
      <fill>
        <patternFill patternType="solid">
          <fgColor indexed="64"/>
          <bgColor theme="5"/>
        </patternFill>
      </fill>
    </dxf>
    <dxf>
      <border>
        <horizontal style="thin">
          <color indexed="64"/>
        </horizontal>
      </border>
    </dxf>
    <dxf>
      <border>
        <vertical style="thin">
          <color indexed="64"/>
        </vertical>
      </border>
    </dxf>
    <dxf>
      <font>
        <b val="0"/>
      </font>
    </dxf>
    <dxf>
      <font>
        <b val="0"/>
      </font>
    </dxf>
    <dxf>
      <font>
        <b/>
      </font>
    </dxf>
    <dxf>
      <font>
        <b/>
      </font>
    </dxf>
    <dxf>
      <border>
        <vertical style="thin">
          <color indexed="64"/>
        </vertical>
      </border>
    </dxf>
    <dxf>
      <border>
        <vertical style="thin">
          <color indexed="64"/>
        </vertical>
      </border>
    </dxf>
    <dxf>
      <font>
        <b/>
      </font>
    </dxf>
    <dxf>
      <font>
        <b/>
        <color theme="0"/>
      </font>
      <fill>
        <patternFill patternType="solid">
          <fgColor indexed="64"/>
          <bgColor theme="5"/>
        </patternFill>
      </fill>
    </dxf>
    <dxf>
      <font>
        <color theme="0"/>
      </font>
      <fill>
        <patternFill patternType="solid">
          <fgColor indexed="64"/>
          <bgColor theme="5"/>
        </patternFill>
      </fill>
    </dxf>
    <dxf>
      <numFmt numFmtId="14" formatCode="0.00%"/>
    </dxf>
    <dxf>
      <numFmt numFmtId="14" formatCode="0.00%"/>
    </dxf>
    <dxf>
      <border>
        <left style="thin">
          <color indexed="64"/>
        </left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vertical style="thin">
          <color indexed="64"/>
        </vertical>
        <horizontal style="thin">
          <color indexed="64"/>
        </horizontal>
      </border>
    </dxf>
    <dxf>
      <font>
        <b/>
      </font>
    </dxf>
    <dxf>
      <font>
        <b/>
        <color theme="0"/>
      </font>
      <numFmt numFmtId="14" formatCode="0.00%"/>
      <fill>
        <patternFill patternType="solid">
          <fgColor indexed="64"/>
          <bgColor theme="5"/>
        </patternFill>
      </fill>
    </dxf>
    <dxf>
      <numFmt numFmtId="13" formatCode="0%"/>
    </dxf>
    <dxf>
      <numFmt numFmtId="164" formatCode="0.0%"/>
    </dxf>
    <dxf>
      <fill>
        <patternFill>
          <bgColor rgb="FFE94C22"/>
        </patternFill>
      </fill>
    </dxf>
    <dxf>
      <numFmt numFmtId="14" formatCode="0.00%"/>
    </dxf>
    <dxf>
      <numFmt numFmtId="14" formatCode="0.00%"/>
    </dxf>
    <dxf>
      <font>
        <b/>
        <color theme="0"/>
      </font>
      <fill>
        <patternFill patternType="solid">
          <fgColor indexed="64"/>
          <bgColor rgb="FFE94C22"/>
        </patternFill>
      </fill>
    </dxf>
    <dxf>
      <font>
        <b/>
        <color theme="0"/>
      </font>
      <numFmt numFmtId="14" formatCode="0.00%"/>
      <fill>
        <patternFill patternType="solid">
          <fgColor indexed="64"/>
          <bgColor rgb="FFE94C22"/>
        </patternFill>
      </fill>
    </dxf>
    <dxf>
      <numFmt numFmtId="14" formatCode="0.00%"/>
    </dxf>
    <dxf>
      <font>
        <b/>
        <color theme="0"/>
      </font>
      <fill>
        <patternFill patternType="solid">
          <fgColor indexed="64"/>
          <bgColor rgb="FFE94C22"/>
        </patternFill>
      </fill>
    </dxf>
    <dxf>
      <numFmt numFmtId="166" formatCode="0.0000000"/>
    </dxf>
    <dxf>
      <numFmt numFmtId="167" formatCode="0.000000"/>
    </dxf>
    <dxf>
      <numFmt numFmtId="168" formatCode="0.00000"/>
    </dxf>
    <dxf>
      <numFmt numFmtId="169" formatCode="0.0000"/>
    </dxf>
    <dxf>
      <numFmt numFmtId="170" formatCode="0.000"/>
    </dxf>
    <dxf>
      <numFmt numFmtId="2" formatCode="0.00"/>
    </dxf>
    <dxf>
      <numFmt numFmtId="171" formatCode="0.0"/>
    </dxf>
    <dxf>
      <numFmt numFmtId="2" formatCode="0.00"/>
    </dxf>
    <dxf>
      <numFmt numFmtId="166" formatCode="0.0000000"/>
    </dxf>
    <dxf>
      <numFmt numFmtId="167" formatCode="0.000000"/>
    </dxf>
    <dxf>
      <numFmt numFmtId="168" formatCode="0.00000"/>
    </dxf>
    <dxf>
      <numFmt numFmtId="169" formatCode="0.0000"/>
    </dxf>
    <dxf>
      <numFmt numFmtId="170" formatCode="0.000"/>
    </dxf>
    <dxf>
      <numFmt numFmtId="2" formatCode="0.00"/>
    </dxf>
    <dxf>
      <fill>
        <patternFill patternType="solid">
          <bgColor theme="5"/>
        </patternFill>
      </fill>
    </dxf>
    <dxf>
      <font>
        <color theme="0"/>
      </font>
    </dxf>
    <dxf>
      <border>
        <left/>
        <top/>
        <bottom/>
      </border>
    </dxf>
    <dxf>
      <font>
        <b/>
      </font>
    </dxf>
    <dxf>
      <border>
        <left/>
        <right/>
        <top/>
        <bottom/>
      </border>
    </dxf>
    <dxf>
      <border>
        <left/>
        <right/>
        <top/>
        <bottom/>
      </border>
    </dxf>
    <dxf>
      <border>
        <top/>
      </border>
    </dxf>
    <dxf>
      <fill>
        <patternFill>
          <bgColor theme="5" tint="-0.249977111117893"/>
        </patternFill>
      </fill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/>
        <right/>
        <top/>
        <bottom/>
        <vertical/>
      </border>
    </dxf>
    <dxf>
      <border>
        <left/>
        <right/>
        <top/>
        <bottom/>
        <vertical/>
      </border>
    </dxf>
    <dxf>
      <border>
        <left/>
        <top/>
      </border>
    </dxf>
    <dxf>
      <border>
        <left/>
        <top/>
      </border>
    </dxf>
    <dxf>
      <border>
        <top/>
      </border>
    </dxf>
    <dxf>
      <border>
        <top/>
      </border>
    </dxf>
    <dxf>
      <border>
        <left/>
        <top/>
      </border>
    </dxf>
    <dxf>
      <border>
        <left/>
        <top/>
      </border>
    </dxf>
    <dxf>
      <border>
        <top/>
      </border>
    </dxf>
    <dxf>
      <border>
        <top/>
      </border>
    </dxf>
    <dxf>
      <border>
        <top/>
      </border>
    </dxf>
    <dxf>
      <border>
        <top/>
      </border>
    </dxf>
    <dxf>
      <border>
        <top/>
      </border>
    </dxf>
    <dxf>
      <border>
        <top/>
      </border>
    </dxf>
    <dxf>
      <border>
        <top/>
      </border>
    </dxf>
    <dxf>
      <border>
        <top/>
      </border>
    </dxf>
    <dxf>
      <border>
        <top/>
      </border>
    </dxf>
    <dxf>
      <border>
        <top/>
      </border>
    </dxf>
    <dxf>
      <border>
        <top/>
      </border>
    </dxf>
    <dxf>
      <border>
        <top/>
      </border>
    </dxf>
    <dxf>
      <border>
        <top/>
      </border>
    </dxf>
    <dxf>
      <border>
        <top/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fill>
        <patternFill>
          <bgColor theme="5"/>
        </patternFill>
      </fill>
    </dxf>
    <dxf>
      <border>
        <horizontal style="thin">
          <color indexed="64"/>
        </horizontal>
      </border>
    </dxf>
    <dxf>
      <border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  <horizontal style="thin">
          <color indexed="64"/>
        </horizontal>
      </border>
    </dxf>
    <dxf>
      <border>
        <top style="thin">
          <color indexed="64"/>
        </top>
        <horizontal style="thin">
          <color indexed="64"/>
        </horizontal>
      </border>
    </dxf>
    <dxf>
      <border>
        <vertical style="thin">
          <color indexed="64"/>
        </vertical>
        <horizontal style="thin">
          <color indexed="64"/>
        </horizontal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vertical style="thin">
          <color indexed="64"/>
        </vertical>
        <horizontal style="thin">
          <color indexed="64"/>
        </horizontal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right style="thin">
          <color indexed="64"/>
        </right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4" formatCode="0.00%"/>
    </dxf>
    <dxf>
      <numFmt numFmtId="13" formatCode="0%"/>
    </dxf>
    <dxf>
      <alignment horizontal="center" readingOrder="0"/>
    </dxf>
    <dxf>
      <numFmt numFmtId="164" formatCode="0.0%"/>
    </dxf>
    <dxf>
      <numFmt numFmtId="14" formatCode="0.00%"/>
    </dxf>
    <dxf>
      <numFmt numFmtId="13" formatCode="0%"/>
    </dxf>
    <dxf>
      <alignment horizontal="center" readingOrder="0"/>
    </dxf>
    <dxf>
      <numFmt numFmtId="164" formatCode="0.0%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readingOrder="0"/>
    </dxf>
    <dxf>
      <numFmt numFmtId="13" formatCode="0%"/>
    </dxf>
    <dxf>
      <alignment horizontal="center" readingOrder="0"/>
    </dxf>
    <dxf>
      <border>
        <right style="thin">
          <color indexed="64"/>
        </right>
      </border>
    </dxf>
    <dxf>
      <fill>
        <patternFill>
          <bgColor rgb="FFE84C22"/>
        </patternFill>
      </fill>
    </dxf>
    <dxf>
      <fill>
        <patternFill>
          <bgColor rgb="FFE84C22"/>
        </patternFill>
      </fill>
    </dxf>
    <dxf>
      <numFmt numFmtId="14" formatCode="0.00%"/>
    </dxf>
    <dxf>
      <font>
        <color theme="0"/>
      </font>
      <numFmt numFmtId="0" formatCode="General"/>
      <fill>
        <patternFill patternType="solid">
          <fgColor indexed="64"/>
          <bgColor rgb="FFE84C22"/>
        </patternFill>
      </fill>
    </dxf>
    <dxf>
      <alignment horizontal="center"/>
    </dxf>
    <dxf>
      <font>
        <b/>
      </font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4" formatCode="0.00%"/>
    </dxf>
    <dxf>
      <numFmt numFmtId="14" formatCode="0.00%"/>
    </dxf>
    <dxf>
      <numFmt numFmtId="1" formatCode="0"/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alignment horizontal="right" readingOrder="0"/>
    </dxf>
    <dxf>
      <alignment horizontal="left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left" readingOrder="0"/>
    </dxf>
    <dxf>
      <alignment horizontal="center" readingOrder="0"/>
    </dxf>
    <dxf>
      <alignment horizontal="left" readingOrder="0"/>
    </dxf>
    <dxf>
      <alignment horizontal="center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font>
        <sz val="13"/>
      </font>
    </dxf>
    <dxf>
      <font>
        <b/>
        <sz val="13"/>
      </font>
    </dxf>
    <dxf>
      <font>
        <color rgb="FFFF0000"/>
      </font>
    </dxf>
    <dxf>
      <font>
        <color auto="1"/>
      </font>
    </dxf>
    <dxf>
      <fill>
        <patternFill patternType="solid">
          <bgColor theme="5" tint="0.79998168889431442"/>
        </patternFill>
      </fill>
    </dxf>
    <dxf>
      <fill>
        <patternFill patternType="solid">
          <bgColor theme="5"/>
        </patternFill>
      </fill>
    </dxf>
    <dxf>
      <fill>
        <patternFill>
          <bgColor theme="5" tint="0.7999816888943144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 patternType="solid">
          <bgColor theme="5" tint="0.79998168889431442"/>
        </patternFill>
      </fill>
    </dxf>
    <dxf>
      <fill>
        <patternFill patternType="solid">
          <bgColor rgb="FFE84C22"/>
        </patternFill>
      </fill>
    </dxf>
    <dxf>
      <fill>
        <patternFill patternType="solid">
          <bgColor rgb="FFE84C22"/>
        </patternFill>
      </fill>
    </dxf>
    <dxf>
      <fill>
        <patternFill patternType="solid">
          <bgColor rgb="FFE84C22"/>
        </patternFill>
      </fill>
    </dxf>
    <dxf>
      <fill>
        <patternFill patternType="solid">
          <bgColor rgb="FFE84C22"/>
        </patternFill>
      </fill>
    </dxf>
    <dxf>
      <font>
        <sz val="11"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sz val="11"/>
      </font>
    </dxf>
    <dxf>
      <font>
        <sz val="11"/>
      </font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b/>
      </font>
    </dxf>
    <dxf>
      <font>
        <sz val="12"/>
      </font>
    </dxf>
    <dxf>
      <font>
        <sz val="12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sz val="12"/>
      </font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readingOrder="0"/>
    </dxf>
    <dxf>
      <fill>
        <patternFill patternType="solid">
          <bgColor rgb="FFE84C22"/>
        </patternFill>
      </fill>
    </dxf>
    <dxf>
      <fill>
        <patternFill patternType="solid">
          <bgColor rgb="FFE84C22"/>
        </patternFill>
      </fill>
    </dxf>
    <dxf>
      <numFmt numFmtId="166" formatCode="0.0000000"/>
    </dxf>
    <dxf>
      <numFmt numFmtId="167" formatCode="0.000000"/>
    </dxf>
    <dxf>
      <numFmt numFmtId="168" formatCode="0.00000"/>
    </dxf>
    <dxf>
      <numFmt numFmtId="169" formatCode="0.0000"/>
    </dxf>
    <dxf>
      <numFmt numFmtId="170" formatCode="0.000"/>
    </dxf>
    <dxf>
      <numFmt numFmtId="2" formatCode="0.00"/>
    </dxf>
    <dxf>
      <numFmt numFmtId="171" formatCode="0.0"/>
    </dxf>
    <dxf>
      <numFmt numFmtId="2" formatCode="0.00"/>
    </dxf>
    <dxf>
      <numFmt numFmtId="166" formatCode="0.0000000"/>
    </dxf>
    <dxf>
      <numFmt numFmtId="167" formatCode="0.000000"/>
    </dxf>
    <dxf>
      <numFmt numFmtId="168" formatCode="0.00000"/>
    </dxf>
    <dxf>
      <numFmt numFmtId="169" formatCode="0.0000"/>
    </dxf>
    <dxf>
      <numFmt numFmtId="170" formatCode="0.000"/>
    </dxf>
    <dxf>
      <numFmt numFmtId="2" formatCode="0.00"/>
    </dxf>
    <dxf>
      <fill>
        <patternFill patternType="solid">
          <bgColor theme="5"/>
        </patternFill>
      </fill>
    </dxf>
    <dxf>
      <fill>
        <patternFill patternType="solid">
          <bgColor theme="5"/>
        </patternFill>
      </fill>
    </dxf>
    <dxf>
      <font>
        <color theme="0"/>
      </font>
    </dxf>
    <dxf>
      <font>
        <color theme="0"/>
      </font>
    </dxf>
    <dxf>
      <border>
        <left/>
        <top/>
        <bottom/>
      </border>
    </dxf>
    <dxf>
      <font>
        <b/>
      </font>
    </dxf>
    <dxf>
      <border>
        <right/>
        <top/>
        <bottom/>
      </border>
    </dxf>
    <dxf>
      <border>
        <right/>
        <top/>
        <bottom/>
      </border>
    </dxf>
    <dxf>
      <border>
        <left/>
        <right/>
        <top/>
      </border>
    </dxf>
    <dxf>
      <border>
        <left/>
        <right/>
        <top/>
      </border>
    </dxf>
    <dxf>
      <border>
        <left/>
        <right/>
        <top/>
      </border>
    </dxf>
    <dxf>
      <border>
        <left/>
        <right/>
        <top/>
      </border>
    </dxf>
    <dxf>
      <border>
        <left/>
        <right/>
        <top/>
      </border>
    </dxf>
    <dxf>
      <border>
        <top/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lor theme="0"/>
      </font>
      <fill>
        <patternFill patternType="solid">
          <fgColor indexed="64"/>
          <bgColor theme="5"/>
        </patternFill>
      </fill>
    </dxf>
    <dxf>
      <border>
        <horizontal style="thin">
          <color indexed="64"/>
        </horizontal>
      </border>
    </dxf>
    <dxf>
      <border>
        <vertical style="thin">
          <color indexed="64"/>
        </vertical>
      </border>
    </dxf>
    <dxf>
      <font>
        <b val="0"/>
      </font>
    </dxf>
    <dxf>
      <font>
        <b val="0"/>
      </font>
    </dxf>
    <dxf>
      <font>
        <b/>
      </font>
    </dxf>
    <dxf>
      <font>
        <b/>
      </font>
    </dxf>
    <dxf>
      <border>
        <vertical style="thin">
          <color indexed="64"/>
        </vertical>
      </border>
    </dxf>
    <dxf>
      <border>
        <vertical style="thin">
          <color indexed="64"/>
        </vertical>
      </border>
    </dxf>
    <dxf>
      <font>
        <b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/>
        <color theme="0"/>
      </font>
      <fill>
        <patternFill patternType="solid">
          <fgColor indexed="64"/>
          <bgColor theme="5"/>
        </patternFill>
      </fill>
    </dxf>
    <dxf>
      <numFmt numFmtId="13" formatCode="0%"/>
    </dxf>
    <dxf>
      <numFmt numFmtId="164" formatCode="0.0%"/>
    </dxf>
    <dxf>
      <numFmt numFmtId="14" formatCode="0.00%"/>
    </dxf>
    <dxf>
      <border>
        <right style="thin">
          <color indexed="64"/>
        </right>
        <vertical style="thin">
          <color indexed="64"/>
        </vertical>
        <horizontal style="thin">
          <color indexed="64"/>
        </horizontal>
      </border>
    </dxf>
    <dxf>
      <font>
        <color theme="0"/>
      </font>
      <fill>
        <patternFill patternType="solid">
          <fgColor indexed="64"/>
          <bgColor theme="5"/>
        </patternFill>
      </fill>
    </dxf>
    <dxf>
      <border>
        <vertical style="thin">
          <color indexed="64"/>
        </vertical>
      </border>
    </dxf>
    <dxf>
      <numFmt numFmtId="14" formatCode="0.00%"/>
    </dxf>
    <dxf>
      <border>
        <right style="thin">
          <color indexed="64"/>
        </right>
        <vertical style="thin">
          <color indexed="64"/>
        </vertical>
        <horizontal style="thin">
          <color indexed="64"/>
        </horizontal>
      </border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border>
        <vertical style="thin">
          <color indexed="64"/>
        </vertical>
        <horizontal style="thin">
          <color indexed="64"/>
        </horizontal>
      </border>
    </dxf>
    <dxf>
      <border>
        <vertical style="thin">
          <color indexed="64"/>
        </vertical>
        <horizontal style="thin">
          <color indexed="64"/>
        </horizontal>
      </border>
    </dxf>
    <dxf>
      <border>
        <vertical style="thin">
          <color indexed="64"/>
        </vertical>
        <horizontal style="thin">
          <color indexed="64"/>
        </horizontal>
      </border>
    </dxf>
    <dxf>
      <border>
        <vertical style="thin">
          <color indexed="64"/>
        </vertical>
        <horizontal style="thin">
          <color indexed="64"/>
        </horizontal>
      </border>
    </dxf>
    <dxf>
      <border>
        <vertical style="thin">
          <color indexed="64"/>
        </vertical>
        <horizontal style="thin">
          <color indexed="64"/>
        </horizontal>
      </border>
    </dxf>
    <dxf>
      <numFmt numFmtId="13" formatCode="0%"/>
    </dxf>
    <dxf>
      <numFmt numFmtId="172" formatCode="0.000%"/>
    </dxf>
    <dxf>
      <numFmt numFmtId="14" formatCode="0.00%"/>
    </dxf>
    <dxf>
      <numFmt numFmtId="164" formatCode="0.0%"/>
    </dxf>
    <dxf>
      <alignment horizontal="center" readingOrder="0"/>
    </dxf>
    <dxf>
      <numFmt numFmtId="164" formatCode="0.0%"/>
    </dxf>
    <dxf>
      <fill>
        <patternFill>
          <bgColor rgb="FFE84C22"/>
        </patternFill>
      </fill>
    </dxf>
    <dxf>
      <fill>
        <patternFill>
          <bgColor rgb="FFE84C22"/>
        </patternFill>
      </fill>
    </dxf>
    <dxf>
      <numFmt numFmtId="13" formatCode="0%"/>
    </dxf>
    <dxf>
      <font>
        <b/>
        <color theme="0"/>
      </font>
      <numFmt numFmtId="14" formatCode="0.00%"/>
      <fill>
        <patternFill patternType="solid">
          <fgColor indexed="64"/>
          <bgColor rgb="FFE84C22"/>
        </patternFill>
      </fill>
    </dxf>
    <dxf>
      <numFmt numFmtId="14" formatCode="0.00%"/>
    </dxf>
    <dxf>
      <numFmt numFmtId="14" formatCode="0.00%"/>
    </dxf>
    <dxf>
      <fill>
        <patternFill patternType="solid">
          <fgColor indexed="64"/>
          <bgColor rgb="FFE84C22"/>
        </patternFill>
      </fill>
      <alignment horizontal="center"/>
    </dxf>
    <dxf>
      <numFmt numFmtId="14" formatCode="0.00%"/>
    </dxf>
    <dxf>
      <numFmt numFmtId="0" formatCode="General"/>
      <fill>
        <patternFill patternType="solid">
          <fgColor indexed="64"/>
          <bgColor rgb="FFE84C22"/>
        </patternFill>
      </fill>
      <alignment horizontal="center"/>
    </dxf>
    <dxf>
      <numFmt numFmtId="166" formatCode="0.0000000"/>
    </dxf>
    <dxf>
      <numFmt numFmtId="167" formatCode="0.000000"/>
    </dxf>
    <dxf>
      <numFmt numFmtId="168" formatCode="0.00000"/>
    </dxf>
    <dxf>
      <numFmt numFmtId="169" formatCode="0.0000"/>
    </dxf>
    <dxf>
      <numFmt numFmtId="170" formatCode="0.000"/>
    </dxf>
    <dxf>
      <numFmt numFmtId="2" formatCode="0.00"/>
    </dxf>
    <dxf>
      <numFmt numFmtId="171" formatCode="0.0"/>
    </dxf>
    <dxf>
      <numFmt numFmtId="2" formatCode="0.00"/>
    </dxf>
    <dxf>
      <numFmt numFmtId="166" formatCode="0.0000000"/>
    </dxf>
    <dxf>
      <numFmt numFmtId="167" formatCode="0.000000"/>
    </dxf>
    <dxf>
      <numFmt numFmtId="168" formatCode="0.00000"/>
    </dxf>
    <dxf>
      <numFmt numFmtId="169" formatCode="0.0000"/>
    </dxf>
    <dxf>
      <numFmt numFmtId="170" formatCode="0.000"/>
    </dxf>
    <dxf>
      <numFmt numFmtId="2" formatCode="0.00"/>
    </dxf>
    <dxf>
      <fill>
        <patternFill patternType="solid">
          <bgColor theme="5"/>
        </patternFill>
      </fill>
    </dxf>
    <dxf>
      <font>
        <color theme="0"/>
      </font>
    </dxf>
    <dxf>
      <border>
        <left/>
        <top/>
        <bottom/>
      </border>
    </dxf>
    <dxf>
      <font>
        <b/>
      </font>
    </dxf>
    <dxf>
      <border>
        <right/>
        <top/>
        <bottom/>
      </border>
    </dxf>
    <dxf>
      <border>
        <right/>
        <top/>
        <bottom/>
      </border>
    </dxf>
    <dxf>
      <border>
        <left/>
        <right/>
        <top/>
      </border>
    </dxf>
    <dxf>
      <border>
        <left/>
        <right/>
        <top/>
      </border>
    </dxf>
    <dxf>
      <border>
        <left/>
        <right/>
        <top/>
      </border>
    </dxf>
    <dxf>
      <border>
        <left/>
        <right/>
        <top/>
      </border>
    </dxf>
    <dxf>
      <border>
        <top/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lor theme="0"/>
      </font>
      <fill>
        <patternFill patternType="solid">
          <fgColor indexed="64"/>
          <bgColor theme="5"/>
        </patternFill>
      </fill>
    </dxf>
    <dxf>
      <border>
        <horizontal style="thin">
          <color indexed="64"/>
        </horizontal>
      </border>
    </dxf>
    <dxf>
      <border>
        <vertical style="thin">
          <color indexed="64"/>
        </vertical>
      </border>
    </dxf>
    <dxf>
      <font>
        <b val="0"/>
      </font>
    </dxf>
    <dxf>
      <font>
        <b val="0"/>
      </font>
    </dxf>
    <dxf>
      <font>
        <b/>
      </font>
    </dxf>
    <dxf>
      <font>
        <b/>
      </font>
    </dxf>
    <dxf>
      <border>
        <vertical style="thin">
          <color indexed="64"/>
        </vertical>
      </border>
    </dxf>
    <dxf>
      <border>
        <vertical style="thin">
          <color indexed="64"/>
        </vertical>
      </border>
    </dxf>
    <dxf>
      <font>
        <b/>
      </font>
    </dxf>
    <dxf>
      <font>
        <b/>
        <color theme="0"/>
      </font>
      <fill>
        <patternFill patternType="solid">
          <fgColor indexed="64"/>
          <bgColor theme="5"/>
        </patternFill>
      </fill>
    </dxf>
    <dxf>
      <font>
        <color theme="0"/>
      </font>
      <fill>
        <patternFill patternType="solid">
          <fgColor indexed="64"/>
          <bgColor theme="5"/>
        </patternFill>
      </fill>
    </dxf>
    <dxf>
      <numFmt numFmtId="14" formatCode="0.00%"/>
    </dxf>
    <dxf>
      <numFmt numFmtId="14" formatCode="0.00%"/>
    </dxf>
    <dxf>
      <border>
        <left style="thin">
          <color indexed="64"/>
        </left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vertical style="thin">
          <color indexed="64"/>
        </vertical>
        <horizontal style="thin">
          <color indexed="64"/>
        </horizontal>
      </border>
    </dxf>
    <dxf>
      <font>
        <b/>
      </font>
    </dxf>
    <dxf>
      <font>
        <b/>
        <color theme="0"/>
      </font>
      <numFmt numFmtId="14" formatCode="0.00%"/>
      <fill>
        <patternFill patternType="solid">
          <fgColor indexed="64"/>
          <bgColor theme="5"/>
        </patternFill>
      </fill>
    </dxf>
    <dxf>
      <numFmt numFmtId="13" formatCode="0%"/>
    </dxf>
    <dxf>
      <numFmt numFmtId="164" formatCode="0.0%"/>
    </dxf>
    <dxf>
      <fill>
        <patternFill>
          <bgColor rgb="FFE94C22"/>
        </patternFill>
      </fill>
    </dxf>
    <dxf>
      <numFmt numFmtId="14" formatCode="0.00%"/>
    </dxf>
    <dxf>
      <numFmt numFmtId="14" formatCode="0.00%"/>
    </dxf>
    <dxf>
      <font>
        <b/>
        <color theme="0"/>
      </font>
      <fill>
        <patternFill patternType="solid">
          <fgColor indexed="64"/>
          <bgColor rgb="FFE94C22"/>
        </patternFill>
      </fill>
    </dxf>
    <dxf>
      <font>
        <b/>
        <color theme="0"/>
      </font>
      <numFmt numFmtId="14" formatCode="0.00%"/>
      <fill>
        <patternFill patternType="solid">
          <fgColor indexed="64"/>
          <bgColor rgb="FFE94C22"/>
        </patternFill>
      </fill>
    </dxf>
    <dxf>
      <numFmt numFmtId="14" formatCode="0.00%"/>
    </dxf>
    <dxf>
      <font>
        <b/>
        <color theme="0"/>
      </font>
      <fill>
        <patternFill patternType="solid">
          <fgColor indexed="64"/>
          <bgColor rgb="FFE94C22"/>
        </patternFill>
      </fill>
    </dxf>
    <dxf>
      <numFmt numFmtId="166" formatCode="0.0000000"/>
    </dxf>
    <dxf>
      <numFmt numFmtId="167" formatCode="0.000000"/>
    </dxf>
    <dxf>
      <numFmt numFmtId="168" formatCode="0.00000"/>
    </dxf>
    <dxf>
      <numFmt numFmtId="169" formatCode="0.0000"/>
    </dxf>
    <dxf>
      <numFmt numFmtId="170" formatCode="0.000"/>
    </dxf>
    <dxf>
      <numFmt numFmtId="2" formatCode="0.00"/>
    </dxf>
    <dxf>
      <numFmt numFmtId="171" formatCode="0.0"/>
    </dxf>
    <dxf>
      <numFmt numFmtId="2" formatCode="0.00"/>
    </dxf>
    <dxf>
      <numFmt numFmtId="166" formatCode="0.0000000"/>
    </dxf>
    <dxf>
      <numFmt numFmtId="167" formatCode="0.000000"/>
    </dxf>
    <dxf>
      <numFmt numFmtId="168" formatCode="0.00000"/>
    </dxf>
    <dxf>
      <numFmt numFmtId="169" formatCode="0.0000"/>
    </dxf>
    <dxf>
      <numFmt numFmtId="170" formatCode="0.000"/>
    </dxf>
    <dxf>
      <numFmt numFmtId="2" formatCode="0.00"/>
    </dxf>
    <dxf>
      <fill>
        <patternFill patternType="solid">
          <bgColor theme="5"/>
        </patternFill>
      </fill>
    </dxf>
    <dxf>
      <font>
        <color theme="0"/>
      </font>
    </dxf>
    <dxf>
      <border>
        <left/>
        <top/>
        <bottom/>
      </border>
    </dxf>
    <dxf>
      <font>
        <b/>
      </font>
    </dxf>
    <dxf>
      <border>
        <left/>
        <right/>
        <top/>
        <bottom/>
      </border>
    </dxf>
    <dxf>
      <border>
        <left/>
        <right/>
        <top/>
        <bottom/>
      </border>
    </dxf>
    <dxf>
      <border>
        <top/>
      </border>
    </dxf>
    <dxf>
      <fill>
        <patternFill>
          <bgColor theme="5" tint="-0.249977111117893"/>
        </patternFill>
      </fill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/>
        <right/>
        <top/>
        <bottom/>
        <vertical/>
      </border>
    </dxf>
    <dxf>
      <border>
        <left/>
        <right/>
        <top/>
        <bottom/>
        <vertical/>
      </border>
    </dxf>
    <dxf>
      <border>
        <left/>
        <top/>
      </border>
    </dxf>
    <dxf>
      <border>
        <left/>
        <top/>
      </border>
    </dxf>
    <dxf>
      <border>
        <top/>
      </border>
    </dxf>
    <dxf>
      <border>
        <top/>
      </border>
    </dxf>
    <dxf>
      <border>
        <left/>
        <top/>
      </border>
    </dxf>
    <dxf>
      <border>
        <left/>
        <top/>
      </border>
    </dxf>
    <dxf>
      <border>
        <top/>
      </border>
    </dxf>
    <dxf>
      <border>
        <top/>
      </border>
    </dxf>
    <dxf>
      <border>
        <top/>
      </border>
    </dxf>
    <dxf>
      <border>
        <top/>
      </border>
    </dxf>
    <dxf>
      <border>
        <top/>
      </border>
    </dxf>
    <dxf>
      <border>
        <top/>
      </border>
    </dxf>
    <dxf>
      <border>
        <top/>
      </border>
    </dxf>
    <dxf>
      <border>
        <top/>
      </border>
    </dxf>
    <dxf>
      <border>
        <top/>
      </border>
    </dxf>
    <dxf>
      <border>
        <top/>
      </border>
    </dxf>
    <dxf>
      <border>
        <top/>
      </border>
    </dxf>
    <dxf>
      <border>
        <top/>
      </border>
    </dxf>
    <dxf>
      <border>
        <top/>
      </border>
    </dxf>
    <dxf>
      <border>
        <top/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fill>
        <patternFill>
          <bgColor theme="5"/>
        </patternFill>
      </fill>
    </dxf>
    <dxf>
      <border>
        <horizontal style="thin">
          <color indexed="64"/>
        </horizontal>
      </border>
    </dxf>
    <dxf>
      <border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  <horizontal style="thin">
          <color indexed="64"/>
        </horizontal>
      </border>
    </dxf>
    <dxf>
      <border>
        <top style="thin">
          <color indexed="64"/>
        </top>
        <horizontal style="thin">
          <color indexed="64"/>
        </horizontal>
      </border>
    </dxf>
    <dxf>
      <border>
        <vertical style="thin">
          <color indexed="64"/>
        </vertical>
        <horizontal style="thin">
          <color indexed="64"/>
        </horizontal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vertical style="thin">
          <color indexed="64"/>
        </vertical>
        <horizontal style="thin">
          <color indexed="64"/>
        </horizontal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right style="thin">
          <color indexed="64"/>
        </right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4" formatCode="0.00%"/>
    </dxf>
    <dxf>
      <numFmt numFmtId="13" formatCode="0%"/>
    </dxf>
    <dxf>
      <alignment horizontal="center" readingOrder="0"/>
    </dxf>
    <dxf>
      <numFmt numFmtId="164" formatCode="0.0%"/>
    </dxf>
    <dxf>
      <numFmt numFmtId="14" formatCode="0.00%"/>
    </dxf>
    <dxf>
      <numFmt numFmtId="13" formatCode="0%"/>
    </dxf>
    <dxf>
      <alignment horizontal="center" readingOrder="0"/>
    </dxf>
    <dxf>
      <numFmt numFmtId="164" formatCode="0.0%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readingOrder="0"/>
    </dxf>
    <dxf>
      <numFmt numFmtId="13" formatCode="0%"/>
    </dxf>
    <dxf>
      <alignment horizontal="center" readingOrder="0"/>
    </dxf>
    <dxf>
      <border>
        <right style="thin">
          <color indexed="64"/>
        </right>
      </border>
    </dxf>
    <dxf>
      <fill>
        <patternFill>
          <bgColor rgb="FFE84C22"/>
        </patternFill>
      </fill>
    </dxf>
    <dxf>
      <fill>
        <patternFill>
          <bgColor rgb="FFE84C22"/>
        </patternFill>
      </fill>
    </dxf>
    <dxf>
      <numFmt numFmtId="14" formatCode="0.00%"/>
    </dxf>
    <dxf>
      <font>
        <color theme="0"/>
      </font>
      <numFmt numFmtId="0" formatCode="General"/>
      <fill>
        <patternFill patternType="solid">
          <fgColor indexed="64"/>
          <bgColor rgb="FFE84C22"/>
        </patternFill>
      </fill>
    </dxf>
    <dxf>
      <alignment horizontal="center"/>
    </dxf>
    <dxf>
      <font>
        <b/>
      </font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4" formatCode="0.00%"/>
    </dxf>
    <dxf>
      <numFmt numFmtId="14" formatCode="0.00%"/>
    </dxf>
    <dxf>
      <numFmt numFmtId="1" formatCode="0"/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alignment horizontal="right" readingOrder="0"/>
    </dxf>
    <dxf>
      <alignment horizontal="left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left" readingOrder="0"/>
    </dxf>
    <dxf>
      <alignment horizontal="center" readingOrder="0"/>
    </dxf>
    <dxf>
      <alignment horizontal="left" readingOrder="0"/>
    </dxf>
    <dxf>
      <alignment horizontal="center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font>
        <sz val="13"/>
      </font>
    </dxf>
    <dxf>
      <font>
        <b/>
        <sz val="13"/>
      </font>
    </dxf>
    <dxf>
      <font>
        <color rgb="FFFF0000"/>
      </font>
    </dxf>
    <dxf>
      <font>
        <color auto="1"/>
      </font>
    </dxf>
    <dxf>
      <fill>
        <patternFill patternType="solid">
          <bgColor theme="5" tint="0.79998168889431442"/>
        </patternFill>
      </fill>
    </dxf>
    <dxf>
      <fill>
        <patternFill patternType="solid">
          <bgColor theme="5"/>
        </patternFill>
      </fill>
    </dxf>
    <dxf>
      <fill>
        <patternFill>
          <bgColor theme="5" tint="0.7999816888943144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 patternType="solid">
          <bgColor theme="5" tint="0.79998168889431442"/>
        </patternFill>
      </fill>
    </dxf>
    <dxf>
      <fill>
        <patternFill patternType="solid">
          <bgColor rgb="FFE84C22"/>
        </patternFill>
      </fill>
    </dxf>
    <dxf>
      <fill>
        <patternFill patternType="solid">
          <bgColor rgb="FFE84C22"/>
        </patternFill>
      </fill>
    </dxf>
    <dxf>
      <fill>
        <patternFill patternType="solid">
          <bgColor rgb="FFE84C22"/>
        </patternFill>
      </fill>
    </dxf>
    <dxf>
      <fill>
        <patternFill patternType="solid">
          <bgColor rgb="FFE84C22"/>
        </patternFill>
      </fill>
    </dxf>
    <dxf>
      <font>
        <sz val="11"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sz val="11"/>
      </font>
    </dxf>
    <dxf>
      <font>
        <sz val="11"/>
      </font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b/>
      </font>
    </dxf>
    <dxf>
      <font>
        <sz val="12"/>
      </font>
    </dxf>
    <dxf>
      <font>
        <sz val="12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sz val="12"/>
      </font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readingOrder="0"/>
    </dxf>
    <dxf>
      <fill>
        <patternFill patternType="solid">
          <bgColor rgb="FFE84C22"/>
        </patternFill>
      </fill>
    </dxf>
    <dxf>
      <fill>
        <patternFill patternType="solid">
          <bgColor rgb="FFE84C22"/>
        </patternFill>
      </fill>
    </dxf>
    <dxf>
      <numFmt numFmtId="166" formatCode="0.0000000"/>
    </dxf>
    <dxf>
      <numFmt numFmtId="167" formatCode="0.000000"/>
    </dxf>
    <dxf>
      <numFmt numFmtId="168" formatCode="0.00000"/>
    </dxf>
    <dxf>
      <numFmt numFmtId="169" formatCode="0.0000"/>
    </dxf>
    <dxf>
      <numFmt numFmtId="170" formatCode="0.000"/>
    </dxf>
    <dxf>
      <numFmt numFmtId="2" formatCode="0.00"/>
    </dxf>
    <dxf>
      <numFmt numFmtId="171" formatCode="0.0"/>
    </dxf>
    <dxf>
      <numFmt numFmtId="2" formatCode="0.00"/>
    </dxf>
    <dxf>
      <numFmt numFmtId="166" formatCode="0.0000000"/>
    </dxf>
    <dxf>
      <numFmt numFmtId="167" formatCode="0.000000"/>
    </dxf>
    <dxf>
      <numFmt numFmtId="168" formatCode="0.00000"/>
    </dxf>
    <dxf>
      <numFmt numFmtId="169" formatCode="0.0000"/>
    </dxf>
    <dxf>
      <numFmt numFmtId="170" formatCode="0.000"/>
    </dxf>
    <dxf>
      <numFmt numFmtId="2" formatCode="0.00"/>
    </dxf>
    <dxf>
      <fill>
        <patternFill patternType="solid">
          <bgColor theme="5"/>
        </patternFill>
      </fill>
    </dxf>
    <dxf>
      <font>
        <color theme="0"/>
      </font>
    </dxf>
    <dxf>
      <border>
        <left/>
        <top/>
        <bottom/>
      </border>
    </dxf>
    <dxf>
      <font>
        <b/>
      </font>
    </dxf>
    <dxf>
      <border>
        <right/>
        <top/>
        <bottom/>
      </border>
    </dxf>
    <dxf>
      <border>
        <right/>
        <top/>
        <bottom/>
      </border>
    </dxf>
    <dxf>
      <border>
        <left/>
        <right/>
        <top/>
      </border>
    </dxf>
    <dxf>
      <border>
        <left/>
        <right/>
        <top/>
      </border>
    </dxf>
    <dxf>
      <border>
        <left/>
        <right/>
        <top/>
      </border>
    </dxf>
    <dxf>
      <border>
        <left/>
        <right/>
        <top/>
      </border>
    </dxf>
    <dxf>
      <border>
        <top/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lor theme="0"/>
      </font>
      <fill>
        <patternFill patternType="solid">
          <fgColor indexed="64"/>
          <bgColor theme="5"/>
        </patternFill>
      </fill>
    </dxf>
    <dxf>
      <border>
        <horizontal style="thin">
          <color indexed="64"/>
        </horizontal>
      </border>
    </dxf>
    <dxf>
      <border>
        <vertical style="thin">
          <color indexed="64"/>
        </vertical>
      </border>
    </dxf>
    <dxf>
      <font>
        <b val="0"/>
      </font>
    </dxf>
    <dxf>
      <font>
        <b val="0"/>
      </font>
    </dxf>
    <dxf>
      <font>
        <b/>
      </font>
    </dxf>
    <dxf>
      <font>
        <b/>
      </font>
    </dxf>
    <dxf>
      <border>
        <vertical style="thin">
          <color indexed="64"/>
        </vertical>
      </border>
    </dxf>
    <dxf>
      <border>
        <vertical style="thin">
          <color indexed="64"/>
        </vertical>
      </border>
    </dxf>
    <dxf>
      <font>
        <b/>
      </font>
    </dxf>
    <dxf>
      <font>
        <b/>
        <color theme="0"/>
      </font>
      <fill>
        <patternFill patternType="solid">
          <fgColor indexed="64"/>
          <bgColor theme="5"/>
        </patternFill>
      </fill>
    </dxf>
    <dxf>
      <font>
        <color theme="0"/>
      </font>
      <fill>
        <patternFill patternType="solid">
          <fgColor indexed="64"/>
          <bgColor theme="5"/>
        </patternFill>
      </fill>
    </dxf>
    <dxf>
      <numFmt numFmtId="14" formatCode="0.00%"/>
    </dxf>
    <dxf>
      <numFmt numFmtId="14" formatCode="0.00%"/>
    </dxf>
    <dxf>
      <border>
        <left style="thin">
          <color indexed="64"/>
        </left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vertical style="thin">
          <color indexed="64"/>
        </vertical>
        <horizontal style="thin">
          <color indexed="64"/>
        </horizontal>
      </border>
    </dxf>
    <dxf>
      <font>
        <b/>
      </font>
    </dxf>
    <dxf>
      <font>
        <b/>
        <color theme="0"/>
      </font>
      <numFmt numFmtId="14" formatCode="0.00%"/>
      <fill>
        <patternFill patternType="solid">
          <fgColor indexed="64"/>
          <bgColor theme="5"/>
        </patternFill>
      </fill>
    </dxf>
    <dxf>
      <numFmt numFmtId="13" formatCode="0%"/>
    </dxf>
    <dxf>
      <numFmt numFmtId="164" formatCode="0.0%"/>
    </dxf>
    <dxf>
      <fill>
        <patternFill>
          <bgColor rgb="FFE94C22"/>
        </patternFill>
      </fill>
    </dxf>
    <dxf>
      <numFmt numFmtId="14" formatCode="0.00%"/>
    </dxf>
    <dxf>
      <numFmt numFmtId="14" formatCode="0.00%"/>
    </dxf>
    <dxf>
      <font>
        <b/>
        <color theme="0"/>
      </font>
      <fill>
        <patternFill patternType="solid">
          <fgColor indexed="64"/>
          <bgColor rgb="FFE94C22"/>
        </patternFill>
      </fill>
    </dxf>
    <dxf>
      <font>
        <b/>
        <color theme="0"/>
      </font>
      <numFmt numFmtId="14" formatCode="0.00%"/>
      <fill>
        <patternFill patternType="solid">
          <fgColor indexed="64"/>
          <bgColor rgb="FFE94C22"/>
        </patternFill>
      </fill>
    </dxf>
    <dxf>
      <numFmt numFmtId="14" formatCode="0.00%"/>
    </dxf>
    <dxf>
      <font>
        <b/>
        <color theme="0"/>
      </font>
      <fill>
        <patternFill patternType="solid">
          <fgColor indexed="64"/>
          <bgColor rgb="FFE94C22"/>
        </patternFill>
      </fill>
    </dxf>
    <dxf>
      <numFmt numFmtId="166" formatCode="0.0000000"/>
    </dxf>
    <dxf>
      <numFmt numFmtId="167" formatCode="0.000000"/>
    </dxf>
    <dxf>
      <numFmt numFmtId="168" formatCode="0.00000"/>
    </dxf>
    <dxf>
      <numFmt numFmtId="169" formatCode="0.0000"/>
    </dxf>
    <dxf>
      <numFmt numFmtId="170" formatCode="0.000"/>
    </dxf>
    <dxf>
      <numFmt numFmtId="2" formatCode="0.00"/>
    </dxf>
    <dxf>
      <numFmt numFmtId="171" formatCode="0.0"/>
    </dxf>
    <dxf>
      <numFmt numFmtId="2" formatCode="0.00"/>
    </dxf>
    <dxf>
      <numFmt numFmtId="166" formatCode="0.0000000"/>
    </dxf>
    <dxf>
      <numFmt numFmtId="167" formatCode="0.000000"/>
    </dxf>
    <dxf>
      <numFmt numFmtId="168" formatCode="0.00000"/>
    </dxf>
    <dxf>
      <numFmt numFmtId="169" formatCode="0.0000"/>
    </dxf>
    <dxf>
      <numFmt numFmtId="170" formatCode="0.000"/>
    </dxf>
    <dxf>
      <numFmt numFmtId="2" formatCode="0.00"/>
    </dxf>
    <dxf>
      <fill>
        <patternFill patternType="solid">
          <bgColor theme="5"/>
        </patternFill>
      </fill>
    </dxf>
    <dxf>
      <fill>
        <patternFill patternType="solid">
          <bgColor theme="5"/>
        </patternFill>
      </fill>
    </dxf>
    <dxf>
      <font>
        <color theme="0"/>
      </font>
    </dxf>
    <dxf>
      <font>
        <color theme="0"/>
      </font>
    </dxf>
    <dxf>
      <border>
        <left/>
        <top/>
        <bottom/>
      </border>
    </dxf>
    <dxf>
      <font>
        <b/>
      </font>
    </dxf>
    <dxf>
      <border>
        <right/>
        <top/>
        <bottom/>
      </border>
    </dxf>
    <dxf>
      <border>
        <right/>
        <top/>
        <bottom/>
      </border>
    </dxf>
    <dxf>
      <border>
        <left/>
        <right/>
        <top/>
      </border>
    </dxf>
    <dxf>
      <border>
        <left/>
        <right/>
        <top/>
      </border>
    </dxf>
    <dxf>
      <border>
        <left/>
        <right/>
        <top/>
      </border>
    </dxf>
    <dxf>
      <border>
        <left/>
        <right/>
        <top/>
      </border>
    </dxf>
    <dxf>
      <border>
        <left/>
        <right/>
        <top/>
      </border>
    </dxf>
    <dxf>
      <border>
        <top/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lor theme="0"/>
      </font>
      <fill>
        <patternFill patternType="solid">
          <fgColor indexed="64"/>
          <bgColor theme="5"/>
        </patternFill>
      </fill>
    </dxf>
    <dxf>
      <border>
        <horizontal style="thin">
          <color indexed="64"/>
        </horizontal>
      </border>
    </dxf>
    <dxf>
      <border>
        <vertical style="thin">
          <color indexed="64"/>
        </vertical>
      </border>
    </dxf>
    <dxf>
      <font>
        <b val="0"/>
      </font>
    </dxf>
    <dxf>
      <font>
        <b val="0"/>
      </font>
    </dxf>
    <dxf>
      <font>
        <b/>
      </font>
    </dxf>
    <dxf>
      <font>
        <b/>
      </font>
    </dxf>
    <dxf>
      <border>
        <vertical style="thin">
          <color indexed="64"/>
        </vertical>
      </border>
    </dxf>
    <dxf>
      <border>
        <vertical style="thin">
          <color indexed="64"/>
        </vertical>
      </border>
    </dxf>
    <dxf>
      <font>
        <b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/>
        <color theme="0"/>
      </font>
      <fill>
        <patternFill patternType="solid">
          <fgColor indexed="64"/>
          <bgColor theme="5"/>
        </patternFill>
      </fill>
    </dxf>
    <dxf>
      <numFmt numFmtId="13" formatCode="0%"/>
    </dxf>
    <dxf>
      <numFmt numFmtId="164" formatCode="0.0%"/>
    </dxf>
    <dxf>
      <numFmt numFmtId="14" formatCode="0.00%"/>
    </dxf>
    <dxf>
      <border>
        <right style="thin">
          <color indexed="64"/>
        </right>
        <vertical style="thin">
          <color indexed="64"/>
        </vertical>
        <horizontal style="thin">
          <color indexed="64"/>
        </horizontal>
      </border>
    </dxf>
    <dxf>
      <font>
        <color theme="0"/>
      </font>
      <fill>
        <patternFill patternType="solid">
          <fgColor indexed="64"/>
          <bgColor theme="5"/>
        </patternFill>
      </fill>
    </dxf>
    <dxf>
      <border>
        <vertical style="thin">
          <color indexed="64"/>
        </vertical>
      </border>
    </dxf>
    <dxf>
      <numFmt numFmtId="14" formatCode="0.00%"/>
    </dxf>
    <dxf>
      <border>
        <right style="thin">
          <color indexed="64"/>
        </right>
        <vertical style="thin">
          <color indexed="64"/>
        </vertical>
        <horizontal style="thin">
          <color indexed="64"/>
        </horizontal>
      </border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border>
        <vertical style="thin">
          <color indexed="64"/>
        </vertical>
        <horizontal style="thin">
          <color indexed="64"/>
        </horizontal>
      </border>
    </dxf>
    <dxf>
      <border>
        <vertical style="thin">
          <color indexed="64"/>
        </vertical>
        <horizontal style="thin">
          <color indexed="64"/>
        </horizontal>
      </border>
    </dxf>
    <dxf>
      <border>
        <vertical style="thin">
          <color indexed="64"/>
        </vertical>
        <horizontal style="thin">
          <color indexed="64"/>
        </horizontal>
      </border>
    </dxf>
    <dxf>
      <border>
        <vertical style="thin">
          <color indexed="64"/>
        </vertical>
        <horizontal style="thin">
          <color indexed="64"/>
        </horizontal>
      </border>
    </dxf>
    <dxf>
      <border>
        <vertical style="thin">
          <color indexed="64"/>
        </vertical>
        <horizontal style="thin">
          <color indexed="64"/>
        </horizontal>
      </border>
    </dxf>
    <dxf>
      <numFmt numFmtId="13" formatCode="0%"/>
    </dxf>
    <dxf>
      <numFmt numFmtId="172" formatCode="0.000%"/>
    </dxf>
    <dxf>
      <numFmt numFmtId="14" formatCode="0.00%"/>
    </dxf>
    <dxf>
      <numFmt numFmtId="164" formatCode="0.0%"/>
    </dxf>
    <dxf>
      <alignment horizontal="center" readingOrder="0"/>
    </dxf>
    <dxf>
      <numFmt numFmtId="164" formatCode="0.0%"/>
    </dxf>
    <dxf>
      <fill>
        <patternFill>
          <bgColor rgb="FFE84C22"/>
        </patternFill>
      </fill>
    </dxf>
    <dxf>
      <fill>
        <patternFill>
          <bgColor rgb="FFE84C22"/>
        </patternFill>
      </fill>
    </dxf>
    <dxf>
      <numFmt numFmtId="13" formatCode="0%"/>
    </dxf>
    <dxf>
      <font>
        <b/>
        <color theme="0"/>
      </font>
      <numFmt numFmtId="14" formatCode="0.00%"/>
      <fill>
        <patternFill patternType="solid">
          <fgColor indexed="64"/>
          <bgColor rgb="FFE84C22"/>
        </patternFill>
      </fill>
    </dxf>
    <dxf>
      <numFmt numFmtId="14" formatCode="0.00%"/>
    </dxf>
    <dxf>
      <numFmt numFmtId="14" formatCode="0.00%"/>
    </dxf>
    <dxf>
      <fill>
        <patternFill patternType="solid">
          <fgColor indexed="64"/>
          <bgColor rgb="FFE84C22"/>
        </patternFill>
      </fill>
      <alignment horizontal="center"/>
    </dxf>
    <dxf>
      <numFmt numFmtId="14" formatCode="0.00%"/>
    </dxf>
    <dxf>
      <numFmt numFmtId="0" formatCode="General"/>
      <fill>
        <patternFill patternType="solid">
          <fgColor indexed="64"/>
          <bgColor rgb="FFE84C22"/>
        </patternFill>
      </fill>
      <alignment horizontal="center"/>
    </dxf>
    <dxf>
      <numFmt numFmtId="166" formatCode="0.0000000"/>
    </dxf>
    <dxf>
      <numFmt numFmtId="167" formatCode="0.000000"/>
    </dxf>
    <dxf>
      <numFmt numFmtId="168" formatCode="0.00000"/>
    </dxf>
    <dxf>
      <numFmt numFmtId="169" formatCode="0.0000"/>
    </dxf>
    <dxf>
      <numFmt numFmtId="170" formatCode="0.000"/>
    </dxf>
    <dxf>
      <numFmt numFmtId="2" formatCode="0.00"/>
    </dxf>
    <dxf>
      <numFmt numFmtId="171" formatCode="0.0"/>
    </dxf>
    <dxf>
      <numFmt numFmtId="2" formatCode="0.00"/>
    </dxf>
    <dxf>
      <numFmt numFmtId="166" formatCode="0.0000000"/>
    </dxf>
    <dxf>
      <numFmt numFmtId="167" formatCode="0.000000"/>
    </dxf>
    <dxf>
      <numFmt numFmtId="168" formatCode="0.00000"/>
    </dxf>
    <dxf>
      <numFmt numFmtId="169" formatCode="0.0000"/>
    </dxf>
    <dxf>
      <numFmt numFmtId="170" formatCode="0.000"/>
    </dxf>
    <dxf>
      <numFmt numFmtId="2" formatCode="0.00"/>
    </dxf>
    <dxf>
      <fill>
        <patternFill patternType="solid">
          <bgColor theme="5"/>
        </patternFill>
      </fill>
    </dxf>
    <dxf>
      <font>
        <color theme="0"/>
      </font>
    </dxf>
    <dxf>
      <border>
        <left/>
        <top/>
        <bottom/>
      </border>
    </dxf>
    <dxf>
      <font>
        <b/>
      </font>
    </dxf>
    <dxf>
      <border>
        <left/>
        <right/>
        <top/>
        <bottom/>
      </border>
    </dxf>
    <dxf>
      <border>
        <left/>
        <right/>
        <top/>
        <bottom/>
      </border>
    </dxf>
    <dxf>
      <border>
        <top/>
      </border>
    </dxf>
    <dxf>
      <fill>
        <patternFill>
          <bgColor theme="5" tint="-0.249977111117893"/>
        </patternFill>
      </fill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/>
        <right/>
        <top/>
        <bottom/>
        <vertical/>
      </border>
    </dxf>
    <dxf>
      <border>
        <left/>
        <right/>
        <top/>
        <bottom/>
        <vertical/>
      </border>
    </dxf>
    <dxf>
      <border>
        <left/>
        <top/>
      </border>
    </dxf>
    <dxf>
      <border>
        <left/>
        <top/>
      </border>
    </dxf>
    <dxf>
      <border>
        <top/>
      </border>
    </dxf>
    <dxf>
      <border>
        <top/>
      </border>
    </dxf>
    <dxf>
      <border>
        <left/>
        <top/>
      </border>
    </dxf>
    <dxf>
      <border>
        <left/>
        <top/>
      </border>
    </dxf>
    <dxf>
      <border>
        <top/>
      </border>
    </dxf>
    <dxf>
      <border>
        <top/>
      </border>
    </dxf>
    <dxf>
      <border>
        <top/>
      </border>
    </dxf>
    <dxf>
      <border>
        <top/>
      </border>
    </dxf>
    <dxf>
      <border>
        <top/>
      </border>
    </dxf>
    <dxf>
      <border>
        <top/>
      </border>
    </dxf>
    <dxf>
      <border>
        <top/>
      </border>
    </dxf>
    <dxf>
      <border>
        <top/>
      </border>
    </dxf>
    <dxf>
      <border>
        <top/>
      </border>
    </dxf>
    <dxf>
      <border>
        <top/>
      </border>
    </dxf>
    <dxf>
      <border>
        <top/>
      </border>
    </dxf>
    <dxf>
      <border>
        <top/>
      </border>
    </dxf>
    <dxf>
      <border>
        <top/>
      </border>
    </dxf>
    <dxf>
      <border>
        <top/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fill>
        <patternFill>
          <bgColor theme="5"/>
        </patternFill>
      </fill>
    </dxf>
    <dxf>
      <border>
        <horizontal style="thin">
          <color indexed="64"/>
        </horizontal>
      </border>
    </dxf>
    <dxf>
      <border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  <horizontal style="thin">
          <color indexed="64"/>
        </horizontal>
      </border>
    </dxf>
    <dxf>
      <border>
        <top style="thin">
          <color indexed="64"/>
        </top>
        <horizontal style="thin">
          <color indexed="64"/>
        </horizontal>
      </border>
    </dxf>
    <dxf>
      <border>
        <vertical style="thin">
          <color indexed="64"/>
        </vertical>
        <horizontal style="thin">
          <color indexed="64"/>
        </horizontal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vertical style="thin">
          <color indexed="64"/>
        </vertical>
        <horizontal style="thin">
          <color indexed="64"/>
        </horizontal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right style="thin">
          <color indexed="64"/>
        </right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4" formatCode="0.00%"/>
    </dxf>
    <dxf>
      <numFmt numFmtId="13" formatCode="0%"/>
    </dxf>
    <dxf>
      <alignment horizontal="center" readingOrder="0"/>
    </dxf>
    <dxf>
      <numFmt numFmtId="164" formatCode="0.0%"/>
    </dxf>
    <dxf>
      <numFmt numFmtId="14" formatCode="0.00%"/>
    </dxf>
    <dxf>
      <numFmt numFmtId="13" formatCode="0%"/>
    </dxf>
    <dxf>
      <alignment horizontal="center" readingOrder="0"/>
    </dxf>
    <dxf>
      <numFmt numFmtId="164" formatCode="0.0%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readingOrder="0"/>
    </dxf>
    <dxf>
      <numFmt numFmtId="13" formatCode="0%"/>
    </dxf>
    <dxf>
      <alignment horizontal="center" readingOrder="0"/>
    </dxf>
    <dxf>
      <border>
        <right style="thin">
          <color indexed="64"/>
        </right>
      </border>
    </dxf>
    <dxf>
      <fill>
        <patternFill>
          <bgColor rgb="FFE84C22"/>
        </patternFill>
      </fill>
    </dxf>
    <dxf>
      <fill>
        <patternFill>
          <bgColor rgb="FFE84C22"/>
        </patternFill>
      </fill>
    </dxf>
    <dxf>
      <numFmt numFmtId="14" formatCode="0.00%"/>
    </dxf>
    <dxf>
      <font>
        <color theme="0"/>
      </font>
      <numFmt numFmtId="0" formatCode="General"/>
      <fill>
        <patternFill patternType="solid">
          <fgColor indexed="64"/>
          <bgColor rgb="FFE84C22"/>
        </patternFill>
      </fill>
    </dxf>
    <dxf>
      <alignment horizontal="center"/>
    </dxf>
    <dxf>
      <font>
        <b/>
      </font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4" formatCode="0.00%"/>
    </dxf>
    <dxf>
      <numFmt numFmtId="14" formatCode="0.00%"/>
    </dxf>
    <dxf>
      <numFmt numFmtId="1" formatCode="0"/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alignment horizontal="right" readingOrder="0"/>
    </dxf>
    <dxf>
      <alignment horizontal="left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left" readingOrder="0"/>
    </dxf>
    <dxf>
      <alignment horizontal="center" readingOrder="0"/>
    </dxf>
    <dxf>
      <alignment horizontal="left" readingOrder="0"/>
    </dxf>
    <dxf>
      <alignment horizontal="center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font>
        <sz val="13"/>
      </font>
    </dxf>
    <dxf>
      <font>
        <b/>
        <sz val="13"/>
      </font>
    </dxf>
    <dxf>
      <font>
        <color rgb="FFFF0000"/>
      </font>
    </dxf>
    <dxf>
      <font>
        <color auto="1"/>
      </font>
    </dxf>
    <dxf>
      <fill>
        <patternFill patternType="solid">
          <bgColor theme="5" tint="0.79998168889431442"/>
        </patternFill>
      </fill>
    </dxf>
    <dxf>
      <fill>
        <patternFill patternType="solid">
          <bgColor theme="5"/>
        </patternFill>
      </fill>
    </dxf>
    <dxf>
      <fill>
        <patternFill>
          <bgColor theme="5" tint="0.7999816888943144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 patternType="solid">
          <bgColor theme="5" tint="0.79998168889431442"/>
        </patternFill>
      </fill>
    </dxf>
    <dxf>
      <fill>
        <patternFill patternType="solid">
          <bgColor rgb="FFE84C22"/>
        </patternFill>
      </fill>
    </dxf>
    <dxf>
      <fill>
        <patternFill patternType="solid">
          <bgColor rgb="FFE84C22"/>
        </patternFill>
      </fill>
    </dxf>
    <dxf>
      <fill>
        <patternFill patternType="solid">
          <bgColor rgb="FFE84C22"/>
        </patternFill>
      </fill>
    </dxf>
    <dxf>
      <fill>
        <patternFill patternType="solid">
          <bgColor rgb="FFE84C22"/>
        </patternFill>
      </fill>
    </dxf>
    <dxf>
      <font>
        <sz val="11"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sz val="11"/>
      </font>
    </dxf>
    <dxf>
      <font>
        <sz val="11"/>
      </font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b/>
      </font>
    </dxf>
    <dxf>
      <font>
        <sz val="12"/>
      </font>
    </dxf>
    <dxf>
      <font>
        <sz val="12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sz val="12"/>
      </font>
    </dxf>
    <dxf>
      <numFmt numFmtId="166" formatCode="0.0000000"/>
    </dxf>
    <dxf>
      <numFmt numFmtId="167" formatCode="0.000000"/>
    </dxf>
    <dxf>
      <numFmt numFmtId="168" formatCode="0.00000"/>
    </dxf>
    <dxf>
      <numFmt numFmtId="169" formatCode="0.0000"/>
    </dxf>
    <dxf>
      <numFmt numFmtId="170" formatCode="0.000"/>
    </dxf>
    <dxf>
      <numFmt numFmtId="2" formatCode="0.00"/>
    </dxf>
    <dxf>
      <numFmt numFmtId="171" formatCode="0.0"/>
    </dxf>
    <dxf>
      <numFmt numFmtId="2" formatCode="0.00"/>
    </dxf>
    <dxf>
      <numFmt numFmtId="166" formatCode="0.0000000"/>
    </dxf>
    <dxf>
      <numFmt numFmtId="167" formatCode="0.000000"/>
    </dxf>
    <dxf>
      <numFmt numFmtId="168" formatCode="0.00000"/>
    </dxf>
    <dxf>
      <numFmt numFmtId="169" formatCode="0.0000"/>
    </dxf>
    <dxf>
      <numFmt numFmtId="170" formatCode="0.000"/>
    </dxf>
    <dxf>
      <numFmt numFmtId="2" formatCode="0.00"/>
    </dxf>
    <dxf>
      <fill>
        <patternFill patternType="solid">
          <bgColor theme="5"/>
        </patternFill>
      </fill>
    </dxf>
    <dxf>
      <fill>
        <patternFill patternType="solid">
          <bgColor theme="5"/>
        </patternFill>
      </fill>
    </dxf>
    <dxf>
      <font>
        <color theme="0"/>
      </font>
    </dxf>
    <dxf>
      <font>
        <color theme="0"/>
      </font>
    </dxf>
    <dxf>
      <border>
        <left/>
        <top/>
        <bottom/>
      </border>
    </dxf>
    <dxf>
      <font>
        <b/>
      </font>
    </dxf>
    <dxf>
      <border>
        <right/>
        <top/>
        <bottom/>
      </border>
    </dxf>
    <dxf>
      <border>
        <right/>
        <top/>
        <bottom/>
      </border>
    </dxf>
    <dxf>
      <border>
        <left/>
        <right/>
        <top/>
      </border>
    </dxf>
    <dxf>
      <border>
        <left/>
        <right/>
        <top/>
      </border>
    </dxf>
    <dxf>
      <border>
        <left/>
        <right/>
        <top/>
      </border>
    </dxf>
    <dxf>
      <border>
        <left/>
        <right/>
        <top/>
      </border>
    </dxf>
    <dxf>
      <border>
        <left/>
        <right/>
        <top/>
      </border>
    </dxf>
    <dxf>
      <border>
        <top/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horizontal style="thin">
          <color indexed="64"/>
        </horizontal>
      </border>
    </dxf>
    <dxf>
      <font>
        <b val="0"/>
      </font>
    </dxf>
    <dxf>
      <font>
        <b val="0"/>
      </font>
    </dxf>
    <dxf>
      <font>
        <b/>
      </font>
    </dxf>
    <dxf>
      <font>
        <b/>
      </font>
    </dxf>
    <dxf>
      <border>
        <vertical style="thin">
          <color indexed="64"/>
        </vertical>
      </border>
    </dxf>
    <dxf>
      <border>
        <vertical style="thin">
          <color indexed="64"/>
        </vertical>
      </border>
    </dxf>
    <dxf>
      <font>
        <b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/>
        <color theme="0"/>
      </font>
      <fill>
        <patternFill patternType="solid">
          <fgColor indexed="64"/>
          <bgColor theme="5"/>
        </patternFill>
      </fill>
    </dxf>
    <dxf>
      <numFmt numFmtId="13" formatCode="0%"/>
    </dxf>
    <dxf>
      <numFmt numFmtId="164" formatCode="0.0%"/>
    </dxf>
    <dxf>
      <numFmt numFmtId="14" formatCode="0.00%"/>
    </dxf>
    <dxf>
      <border>
        <right style="thin">
          <color indexed="64"/>
        </right>
        <vertical style="thin">
          <color indexed="64"/>
        </vertical>
        <horizontal style="thin">
          <color indexed="64"/>
        </horizontal>
      </border>
    </dxf>
    <dxf>
      <font>
        <color theme="0"/>
      </font>
      <fill>
        <patternFill patternType="solid">
          <fgColor indexed="64"/>
          <bgColor theme="5"/>
        </patternFill>
      </fill>
    </dxf>
    <dxf>
      <border>
        <vertical style="thin">
          <color indexed="64"/>
        </vertical>
      </border>
    </dxf>
    <dxf>
      <numFmt numFmtId="14" formatCode="0.00%"/>
    </dxf>
    <dxf>
      <border>
        <right style="thin">
          <color indexed="64"/>
        </right>
        <vertical style="thin">
          <color indexed="64"/>
        </vertical>
        <horizontal style="thin">
          <color indexed="64"/>
        </horizontal>
      </border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border>
        <vertical style="thin">
          <color indexed="64"/>
        </vertical>
        <horizontal style="thin">
          <color indexed="64"/>
        </horizontal>
      </border>
    </dxf>
    <dxf>
      <border>
        <vertical style="thin">
          <color indexed="64"/>
        </vertical>
        <horizontal style="thin">
          <color indexed="64"/>
        </horizontal>
      </border>
    </dxf>
    <dxf>
      <border>
        <vertical style="thin">
          <color indexed="64"/>
        </vertical>
        <horizontal style="thin">
          <color indexed="64"/>
        </horizontal>
      </border>
    </dxf>
    <dxf>
      <border>
        <vertical style="thin">
          <color indexed="64"/>
        </vertical>
        <horizontal style="thin">
          <color indexed="64"/>
        </horizontal>
      </border>
    </dxf>
    <dxf>
      <border>
        <vertical style="thin">
          <color indexed="64"/>
        </vertical>
        <horizontal style="thin">
          <color indexed="64"/>
        </horizontal>
      </border>
    </dxf>
    <dxf>
      <numFmt numFmtId="13" formatCode="0%"/>
    </dxf>
    <dxf>
      <numFmt numFmtId="172" formatCode="0.000%"/>
    </dxf>
    <dxf>
      <numFmt numFmtId="14" formatCode="0.00%"/>
    </dxf>
    <dxf>
      <numFmt numFmtId="164" formatCode="0.0%"/>
    </dxf>
    <dxf>
      <alignment horizontal="center" readingOrder="0"/>
    </dxf>
    <dxf>
      <numFmt numFmtId="164" formatCode="0.0%"/>
    </dxf>
    <dxf>
      <numFmt numFmtId="13" formatCode="0%"/>
    </dxf>
    <dxf>
      <numFmt numFmtId="13" formatCode="0%"/>
    </dxf>
    <dxf>
      <numFmt numFmtId="166" formatCode="0.0000000"/>
    </dxf>
    <dxf>
      <numFmt numFmtId="167" formatCode="0.000000"/>
    </dxf>
    <dxf>
      <numFmt numFmtId="168" formatCode="0.00000"/>
    </dxf>
    <dxf>
      <numFmt numFmtId="169" formatCode="0.0000"/>
    </dxf>
    <dxf>
      <numFmt numFmtId="170" formatCode="0.000"/>
    </dxf>
    <dxf>
      <numFmt numFmtId="2" formatCode="0.00"/>
    </dxf>
    <dxf>
      <numFmt numFmtId="171" formatCode="0.0"/>
    </dxf>
    <dxf>
      <numFmt numFmtId="2" formatCode="0.00"/>
    </dxf>
    <dxf>
      <numFmt numFmtId="166" formatCode="0.0000000"/>
    </dxf>
    <dxf>
      <numFmt numFmtId="167" formatCode="0.000000"/>
    </dxf>
    <dxf>
      <numFmt numFmtId="168" formatCode="0.00000"/>
    </dxf>
    <dxf>
      <numFmt numFmtId="169" formatCode="0.0000"/>
    </dxf>
    <dxf>
      <numFmt numFmtId="170" formatCode="0.000"/>
    </dxf>
    <dxf>
      <numFmt numFmtId="2" formatCode="0.00"/>
    </dxf>
    <dxf>
      <fill>
        <patternFill patternType="solid">
          <bgColor theme="5"/>
        </patternFill>
      </fill>
    </dxf>
    <dxf>
      <fill>
        <patternFill patternType="solid">
          <bgColor theme="5"/>
        </patternFill>
      </fill>
    </dxf>
    <dxf>
      <font>
        <color theme="0"/>
      </font>
    </dxf>
    <dxf>
      <font>
        <color theme="0"/>
      </font>
    </dxf>
    <dxf>
      <border>
        <left/>
        <top/>
        <bottom/>
      </border>
    </dxf>
    <dxf>
      <font>
        <b/>
      </font>
    </dxf>
    <dxf>
      <border>
        <right/>
        <top/>
        <bottom/>
      </border>
    </dxf>
    <dxf>
      <border>
        <right/>
        <top/>
        <bottom/>
      </border>
    </dxf>
    <dxf>
      <border>
        <left/>
        <right/>
        <top/>
      </border>
    </dxf>
    <dxf>
      <border>
        <left/>
        <right/>
        <top/>
      </border>
    </dxf>
    <dxf>
      <border>
        <left/>
        <right/>
        <top/>
      </border>
    </dxf>
    <dxf>
      <border>
        <left/>
        <right/>
        <top/>
      </border>
    </dxf>
    <dxf>
      <border>
        <left/>
        <right/>
        <top/>
      </border>
    </dxf>
    <dxf>
      <border>
        <top/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lor theme="0"/>
      </font>
      <fill>
        <patternFill patternType="solid">
          <fgColor indexed="64"/>
          <bgColor theme="5"/>
        </patternFill>
      </fill>
    </dxf>
    <dxf>
      <border>
        <horizontal style="thin">
          <color indexed="64"/>
        </horizontal>
      </border>
    </dxf>
    <dxf>
      <border>
        <vertical style="thin">
          <color indexed="64"/>
        </vertical>
      </border>
    </dxf>
    <dxf>
      <font>
        <b val="0"/>
      </font>
    </dxf>
    <dxf>
      <font>
        <b val="0"/>
      </font>
    </dxf>
    <dxf>
      <font>
        <b/>
      </font>
    </dxf>
    <dxf>
      <font>
        <b/>
      </font>
    </dxf>
    <dxf>
      <border>
        <vertical style="thin">
          <color indexed="64"/>
        </vertical>
      </border>
    </dxf>
    <dxf>
      <border>
        <vertical style="thin">
          <color indexed="64"/>
        </vertical>
      </border>
    </dxf>
    <dxf>
      <font>
        <b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/>
        <color theme="0"/>
      </font>
      <fill>
        <patternFill patternType="solid">
          <fgColor indexed="64"/>
          <bgColor theme="5"/>
        </patternFill>
      </fill>
    </dxf>
    <dxf>
      <numFmt numFmtId="13" formatCode="0%"/>
    </dxf>
    <dxf>
      <numFmt numFmtId="164" formatCode="0.0%"/>
    </dxf>
    <dxf>
      <numFmt numFmtId="14" formatCode="0.00%"/>
    </dxf>
    <dxf>
      <border>
        <right style="thin">
          <color indexed="64"/>
        </right>
        <vertical style="thin">
          <color indexed="64"/>
        </vertical>
        <horizontal style="thin">
          <color indexed="64"/>
        </horizontal>
      </border>
    </dxf>
    <dxf>
      <font>
        <color theme="0"/>
      </font>
      <fill>
        <patternFill patternType="solid">
          <fgColor indexed="64"/>
          <bgColor theme="5"/>
        </patternFill>
      </fill>
    </dxf>
    <dxf>
      <border>
        <vertical style="thin">
          <color indexed="64"/>
        </vertical>
      </border>
    </dxf>
    <dxf>
      <numFmt numFmtId="14" formatCode="0.00%"/>
    </dxf>
    <dxf>
      <border>
        <right style="thin">
          <color indexed="64"/>
        </right>
        <vertical style="thin">
          <color indexed="64"/>
        </vertical>
        <horizontal style="thin">
          <color indexed="64"/>
        </horizontal>
      </border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border>
        <vertical style="thin">
          <color indexed="64"/>
        </vertical>
        <horizontal style="thin">
          <color indexed="64"/>
        </horizontal>
      </border>
    </dxf>
    <dxf>
      <border>
        <vertical style="thin">
          <color indexed="64"/>
        </vertical>
        <horizontal style="thin">
          <color indexed="64"/>
        </horizontal>
      </border>
    </dxf>
    <dxf>
      <border>
        <vertical style="thin">
          <color indexed="64"/>
        </vertical>
        <horizontal style="thin">
          <color indexed="64"/>
        </horizontal>
      </border>
    </dxf>
    <dxf>
      <border>
        <vertical style="thin">
          <color indexed="64"/>
        </vertical>
        <horizontal style="thin">
          <color indexed="64"/>
        </horizontal>
      </border>
    </dxf>
    <dxf>
      <border>
        <vertical style="thin">
          <color indexed="64"/>
        </vertical>
        <horizontal style="thin">
          <color indexed="64"/>
        </horizontal>
      </border>
    </dxf>
    <dxf>
      <numFmt numFmtId="13" formatCode="0%"/>
    </dxf>
    <dxf>
      <numFmt numFmtId="172" formatCode="0.000%"/>
    </dxf>
    <dxf>
      <numFmt numFmtId="14" formatCode="0.00%"/>
    </dxf>
    <dxf>
      <numFmt numFmtId="164" formatCode="0.0%"/>
    </dxf>
    <dxf>
      <alignment horizontal="center" readingOrder="0"/>
    </dxf>
    <dxf>
      <numFmt numFmtId="164" formatCode="0.0%"/>
    </dxf>
    <dxf>
      <numFmt numFmtId="13" formatCode="0%"/>
    </dxf>
    <dxf>
      <numFmt numFmtId="13" formatCode="0%"/>
    </dxf>
    <dxf>
      <font>
        <b/>
      </font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4" formatCode="0.00%"/>
    </dxf>
    <dxf>
      <numFmt numFmtId="14" formatCode="0.00%"/>
    </dxf>
    <dxf>
      <numFmt numFmtId="1" formatCode="0"/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alignment horizontal="right" readingOrder="0"/>
    </dxf>
    <dxf>
      <alignment horizontal="left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left" readingOrder="0"/>
    </dxf>
    <dxf>
      <alignment horizontal="center" readingOrder="0"/>
    </dxf>
    <dxf>
      <alignment horizontal="left" readingOrder="0"/>
    </dxf>
    <dxf>
      <alignment horizontal="center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font>
        <sz val="13"/>
      </font>
    </dxf>
    <dxf>
      <font>
        <b/>
        <sz val="13"/>
      </font>
    </dxf>
    <dxf>
      <font>
        <color rgb="FFFF0000"/>
      </font>
    </dxf>
    <dxf>
      <font>
        <color auto="1"/>
      </font>
    </dxf>
    <dxf>
      <fill>
        <patternFill patternType="solid">
          <bgColor theme="5" tint="0.79998168889431442"/>
        </patternFill>
      </fill>
    </dxf>
    <dxf>
      <fill>
        <patternFill patternType="solid">
          <bgColor theme="5"/>
        </patternFill>
      </fill>
    </dxf>
    <dxf>
      <fill>
        <patternFill>
          <bgColor theme="5" tint="0.7999816888943144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 patternType="solid">
          <bgColor theme="5" tint="0.79998168889431442"/>
        </patternFill>
      </fill>
    </dxf>
    <dxf>
      <fill>
        <patternFill patternType="solid">
          <bgColor rgb="FFE84C22"/>
        </patternFill>
      </fill>
    </dxf>
    <dxf>
      <fill>
        <patternFill patternType="solid">
          <bgColor rgb="FFE84C22"/>
        </patternFill>
      </fill>
    </dxf>
    <dxf>
      <fill>
        <patternFill patternType="solid">
          <bgColor rgb="FFE84C22"/>
        </patternFill>
      </fill>
    </dxf>
    <dxf>
      <fill>
        <patternFill patternType="solid">
          <bgColor rgb="FFE84C22"/>
        </patternFill>
      </fill>
    </dxf>
    <dxf>
      <font>
        <sz val="11"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sz val="11"/>
      </font>
    </dxf>
    <dxf>
      <font>
        <sz val="11"/>
      </font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b/>
      </font>
    </dxf>
    <dxf>
      <font>
        <sz val="12"/>
      </font>
    </dxf>
    <dxf>
      <font>
        <sz val="12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sz val="12"/>
      </font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readingOrder="0"/>
    </dxf>
    <dxf>
      <fill>
        <patternFill patternType="solid">
          <bgColor rgb="FFE84C22"/>
        </patternFill>
      </fill>
    </dxf>
    <dxf>
      <fill>
        <patternFill patternType="solid">
          <bgColor rgb="FFE84C22"/>
        </patternFill>
      </fill>
    </dxf>
    <dxf>
      <numFmt numFmtId="166" formatCode="0.0000000"/>
    </dxf>
    <dxf>
      <numFmt numFmtId="167" formatCode="0.000000"/>
    </dxf>
    <dxf>
      <numFmt numFmtId="168" formatCode="0.00000"/>
    </dxf>
    <dxf>
      <numFmt numFmtId="169" formatCode="0.0000"/>
    </dxf>
    <dxf>
      <numFmt numFmtId="170" formatCode="0.000"/>
    </dxf>
    <dxf>
      <numFmt numFmtId="2" formatCode="0.00"/>
    </dxf>
    <dxf>
      <numFmt numFmtId="171" formatCode="0.0"/>
    </dxf>
    <dxf>
      <numFmt numFmtId="2" formatCode="0.00"/>
    </dxf>
    <dxf>
      <numFmt numFmtId="166" formatCode="0.0000000"/>
    </dxf>
    <dxf>
      <numFmt numFmtId="167" formatCode="0.000000"/>
    </dxf>
    <dxf>
      <numFmt numFmtId="168" formatCode="0.00000"/>
    </dxf>
    <dxf>
      <numFmt numFmtId="169" formatCode="0.0000"/>
    </dxf>
    <dxf>
      <numFmt numFmtId="170" formatCode="0.000"/>
    </dxf>
    <dxf>
      <numFmt numFmtId="2" formatCode="0.00"/>
    </dxf>
    <dxf>
      <fill>
        <patternFill patternType="solid">
          <bgColor theme="5"/>
        </patternFill>
      </fill>
    </dxf>
    <dxf>
      <font>
        <color theme="0"/>
      </font>
    </dxf>
    <dxf>
      <border>
        <left/>
        <top/>
        <bottom/>
      </border>
    </dxf>
    <dxf>
      <font>
        <b/>
      </font>
    </dxf>
    <dxf>
      <border>
        <left/>
        <right/>
        <top/>
        <bottom/>
      </border>
    </dxf>
    <dxf>
      <border>
        <left/>
        <right/>
        <top/>
        <bottom/>
      </border>
    </dxf>
    <dxf>
      <border>
        <top/>
      </border>
    </dxf>
    <dxf>
      <fill>
        <patternFill>
          <bgColor theme="5" tint="-0.249977111117893"/>
        </patternFill>
      </fill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/>
        <right/>
        <top/>
        <bottom/>
        <vertical/>
      </border>
    </dxf>
    <dxf>
      <border>
        <left/>
        <right/>
        <top/>
        <bottom/>
        <vertical/>
      </border>
    </dxf>
    <dxf>
      <border>
        <left/>
        <top/>
      </border>
    </dxf>
    <dxf>
      <border>
        <left/>
        <top/>
      </border>
    </dxf>
    <dxf>
      <border>
        <top/>
      </border>
    </dxf>
    <dxf>
      <border>
        <top/>
      </border>
    </dxf>
    <dxf>
      <border>
        <left/>
        <top/>
      </border>
    </dxf>
    <dxf>
      <border>
        <left/>
        <top/>
      </border>
    </dxf>
    <dxf>
      <border>
        <top/>
      </border>
    </dxf>
    <dxf>
      <border>
        <top/>
      </border>
    </dxf>
    <dxf>
      <border>
        <top/>
      </border>
    </dxf>
    <dxf>
      <border>
        <top/>
      </border>
    </dxf>
    <dxf>
      <border>
        <top/>
      </border>
    </dxf>
    <dxf>
      <border>
        <top/>
      </border>
    </dxf>
    <dxf>
      <border>
        <top/>
      </border>
    </dxf>
    <dxf>
      <border>
        <top/>
      </border>
    </dxf>
    <dxf>
      <border>
        <top/>
      </border>
    </dxf>
    <dxf>
      <border>
        <top/>
      </border>
    </dxf>
    <dxf>
      <border>
        <top/>
      </border>
    </dxf>
    <dxf>
      <border>
        <top/>
      </border>
    </dxf>
    <dxf>
      <border>
        <top/>
      </border>
    </dxf>
    <dxf>
      <border>
        <top/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fill>
        <patternFill>
          <bgColor theme="5"/>
        </patternFill>
      </fill>
    </dxf>
    <dxf>
      <border>
        <horizontal style="thin">
          <color indexed="64"/>
        </horizontal>
      </border>
    </dxf>
    <dxf>
      <border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  <horizontal style="thin">
          <color indexed="64"/>
        </horizontal>
      </border>
    </dxf>
    <dxf>
      <border>
        <top style="thin">
          <color indexed="64"/>
        </top>
        <horizontal style="thin">
          <color indexed="64"/>
        </horizontal>
      </border>
    </dxf>
    <dxf>
      <border>
        <vertical style="thin">
          <color indexed="64"/>
        </vertical>
        <horizontal style="thin">
          <color indexed="64"/>
        </horizontal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vertical style="thin">
          <color indexed="64"/>
        </vertical>
        <horizontal style="thin">
          <color indexed="64"/>
        </horizontal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right style="thin">
          <color indexed="64"/>
        </right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4" formatCode="0.00%"/>
    </dxf>
    <dxf>
      <numFmt numFmtId="13" formatCode="0%"/>
    </dxf>
    <dxf>
      <alignment horizontal="center" readingOrder="0"/>
    </dxf>
    <dxf>
      <numFmt numFmtId="164" formatCode="0.0%"/>
    </dxf>
    <dxf>
      <numFmt numFmtId="14" formatCode="0.00%"/>
    </dxf>
    <dxf>
      <numFmt numFmtId="13" formatCode="0%"/>
    </dxf>
    <dxf>
      <alignment horizontal="center" readingOrder="0"/>
    </dxf>
    <dxf>
      <numFmt numFmtId="164" formatCode="0.0%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readingOrder="0"/>
    </dxf>
    <dxf>
      <numFmt numFmtId="13" formatCode="0%"/>
    </dxf>
    <dxf>
      <alignment horizontal="center" readingOrder="0"/>
    </dxf>
    <dxf>
      <border>
        <right style="thin">
          <color indexed="64"/>
        </right>
      </border>
    </dxf>
    <dxf>
      <fill>
        <patternFill>
          <bgColor rgb="FFE84C22"/>
        </patternFill>
      </fill>
    </dxf>
    <dxf>
      <fill>
        <patternFill>
          <bgColor rgb="FFE84C22"/>
        </patternFill>
      </fill>
    </dxf>
    <dxf>
      <numFmt numFmtId="14" formatCode="0.00%"/>
    </dxf>
    <dxf>
      <font>
        <color theme="0"/>
      </font>
      <numFmt numFmtId="0" formatCode="General"/>
      <fill>
        <patternFill patternType="solid">
          <fgColor indexed="64"/>
          <bgColor rgb="FFE84C22"/>
        </patternFill>
      </fill>
    </dxf>
    <dxf>
      <alignment horizontal="center"/>
    </dxf>
    <dxf>
      <numFmt numFmtId="166" formatCode="0.0000000"/>
    </dxf>
    <dxf>
      <numFmt numFmtId="167" formatCode="0.000000"/>
    </dxf>
    <dxf>
      <numFmt numFmtId="168" formatCode="0.00000"/>
    </dxf>
    <dxf>
      <numFmt numFmtId="169" formatCode="0.0000"/>
    </dxf>
    <dxf>
      <numFmt numFmtId="170" formatCode="0.000"/>
    </dxf>
    <dxf>
      <numFmt numFmtId="2" formatCode="0.00"/>
    </dxf>
    <dxf>
      <numFmt numFmtId="171" formatCode="0.0"/>
    </dxf>
    <dxf>
      <numFmt numFmtId="2" formatCode="0.00"/>
    </dxf>
    <dxf>
      <numFmt numFmtId="166" formatCode="0.0000000"/>
    </dxf>
    <dxf>
      <numFmt numFmtId="167" formatCode="0.000000"/>
    </dxf>
    <dxf>
      <numFmt numFmtId="168" formatCode="0.00000"/>
    </dxf>
    <dxf>
      <numFmt numFmtId="169" formatCode="0.0000"/>
    </dxf>
    <dxf>
      <numFmt numFmtId="170" formatCode="0.000"/>
    </dxf>
    <dxf>
      <numFmt numFmtId="2" formatCode="0.00"/>
    </dxf>
    <dxf>
      <fill>
        <patternFill patternType="solid">
          <bgColor theme="5"/>
        </patternFill>
      </fill>
    </dxf>
    <dxf>
      <fill>
        <patternFill patternType="solid">
          <bgColor theme="5"/>
        </patternFill>
      </fill>
    </dxf>
    <dxf>
      <font>
        <color theme="0"/>
      </font>
    </dxf>
    <dxf>
      <font>
        <color theme="0"/>
      </font>
    </dxf>
    <dxf>
      <border>
        <left/>
        <top/>
        <bottom/>
      </border>
    </dxf>
    <dxf>
      <font>
        <b/>
      </font>
    </dxf>
    <dxf>
      <border>
        <right/>
        <top/>
        <bottom/>
      </border>
    </dxf>
    <dxf>
      <border>
        <right/>
        <top/>
        <bottom/>
      </border>
    </dxf>
    <dxf>
      <border>
        <left/>
        <right/>
        <top/>
      </border>
    </dxf>
    <dxf>
      <border>
        <left/>
        <right/>
        <top/>
      </border>
    </dxf>
    <dxf>
      <border>
        <left/>
        <right/>
        <top/>
      </border>
    </dxf>
    <dxf>
      <border>
        <left/>
        <right/>
        <top/>
      </border>
    </dxf>
    <dxf>
      <border>
        <left/>
        <right/>
        <top/>
      </border>
    </dxf>
    <dxf>
      <border>
        <top/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lor theme="0"/>
      </font>
      <fill>
        <patternFill patternType="solid">
          <fgColor indexed="64"/>
          <bgColor theme="5"/>
        </patternFill>
      </fill>
    </dxf>
    <dxf>
      <border>
        <horizontal style="thin">
          <color indexed="64"/>
        </horizontal>
      </border>
    </dxf>
    <dxf>
      <border>
        <vertical style="thin">
          <color indexed="64"/>
        </vertical>
      </border>
    </dxf>
    <dxf>
      <font>
        <b val="0"/>
      </font>
    </dxf>
    <dxf>
      <font>
        <b val="0"/>
      </font>
    </dxf>
    <dxf>
      <font>
        <b/>
      </font>
    </dxf>
    <dxf>
      <font>
        <b/>
      </font>
    </dxf>
    <dxf>
      <border>
        <vertical style="thin">
          <color indexed="64"/>
        </vertical>
      </border>
    </dxf>
    <dxf>
      <border>
        <vertical style="thin">
          <color indexed="64"/>
        </vertical>
      </border>
    </dxf>
    <dxf>
      <font>
        <b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/>
        <color theme="0"/>
      </font>
      <fill>
        <patternFill patternType="solid">
          <fgColor indexed="64"/>
          <bgColor theme="5"/>
        </patternFill>
      </fill>
    </dxf>
    <dxf>
      <numFmt numFmtId="13" formatCode="0%"/>
    </dxf>
    <dxf>
      <numFmt numFmtId="164" formatCode="0.0%"/>
    </dxf>
    <dxf>
      <numFmt numFmtId="14" formatCode="0.00%"/>
    </dxf>
    <dxf>
      <border>
        <right style="thin">
          <color indexed="64"/>
        </right>
        <vertical style="thin">
          <color indexed="64"/>
        </vertical>
        <horizontal style="thin">
          <color indexed="64"/>
        </horizontal>
      </border>
    </dxf>
    <dxf>
      <font>
        <color theme="0"/>
      </font>
      <fill>
        <patternFill patternType="solid">
          <fgColor indexed="64"/>
          <bgColor theme="5"/>
        </patternFill>
      </fill>
    </dxf>
    <dxf>
      <border>
        <vertical style="thin">
          <color indexed="64"/>
        </vertical>
      </border>
    </dxf>
    <dxf>
      <numFmt numFmtId="14" formatCode="0.00%"/>
    </dxf>
    <dxf>
      <border>
        <right style="thin">
          <color indexed="64"/>
        </right>
        <vertical style="thin">
          <color indexed="64"/>
        </vertical>
        <horizontal style="thin">
          <color indexed="64"/>
        </horizontal>
      </border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border>
        <vertical style="thin">
          <color indexed="64"/>
        </vertical>
        <horizontal style="thin">
          <color indexed="64"/>
        </horizontal>
      </border>
    </dxf>
    <dxf>
      <border>
        <vertical style="thin">
          <color indexed="64"/>
        </vertical>
        <horizontal style="thin">
          <color indexed="64"/>
        </horizontal>
      </border>
    </dxf>
    <dxf>
      <border>
        <vertical style="thin">
          <color indexed="64"/>
        </vertical>
        <horizontal style="thin">
          <color indexed="64"/>
        </horizontal>
      </border>
    </dxf>
    <dxf>
      <border>
        <vertical style="thin">
          <color indexed="64"/>
        </vertical>
        <horizontal style="thin">
          <color indexed="64"/>
        </horizontal>
      </border>
    </dxf>
    <dxf>
      <border>
        <vertical style="thin">
          <color indexed="64"/>
        </vertical>
        <horizontal style="thin">
          <color indexed="64"/>
        </horizontal>
      </border>
    </dxf>
    <dxf>
      <numFmt numFmtId="13" formatCode="0%"/>
    </dxf>
    <dxf>
      <numFmt numFmtId="172" formatCode="0.000%"/>
    </dxf>
    <dxf>
      <numFmt numFmtId="14" formatCode="0.00%"/>
    </dxf>
    <dxf>
      <numFmt numFmtId="164" formatCode="0.0%"/>
    </dxf>
    <dxf>
      <alignment horizontal="center" readingOrder="0"/>
    </dxf>
    <dxf>
      <numFmt numFmtId="164" formatCode="0.0%"/>
    </dxf>
    <dxf>
      <fill>
        <patternFill>
          <bgColor rgb="FFE84C22"/>
        </patternFill>
      </fill>
    </dxf>
    <dxf>
      <fill>
        <patternFill>
          <bgColor rgb="FFE84C22"/>
        </patternFill>
      </fill>
    </dxf>
    <dxf>
      <numFmt numFmtId="13" formatCode="0%"/>
    </dxf>
    <dxf>
      <font>
        <b/>
        <color theme="0"/>
      </font>
      <numFmt numFmtId="14" formatCode="0.00%"/>
      <fill>
        <patternFill patternType="solid">
          <fgColor indexed="64"/>
          <bgColor rgb="FFE84C22"/>
        </patternFill>
      </fill>
    </dxf>
    <dxf>
      <numFmt numFmtId="14" formatCode="0.00%"/>
    </dxf>
    <dxf>
      <numFmt numFmtId="14" formatCode="0.00%"/>
    </dxf>
    <dxf>
      <fill>
        <patternFill patternType="solid">
          <fgColor indexed="64"/>
          <bgColor rgb="FFE84C22"/>
        </patternFill>
      </fill>
      <alignment horizontal="center"/>
    </dxf>
    <dxf>
      <numFmt numFmtId="14" formatCode="0.00%"/>
    </dxf>
    <dxf>
      <numFmt numFmtId="0" formatCode="General"/>
      <fill>
        <patternFill patternType="solid">
          <fgColor indexed="64"/>
          <bgColor rgb="FFE84C22"/>
        </patternFill>
      </fill>
      <alignment horizontal="center"/>
    </dxf>
    <dxf>
      <numFmt numFmtId="166" formatCode="0.0000000"/>
    </dxf>
    <dxf>
      <numFmt numFmtId="167" formatCode="0.000000"/>
    </dxf>
    <dxf>
      <numFmt numFmtId="168" formatCode="0.00000"/>
    </dxf>
    <dxf>
      <numFmt numFmtId="169" formatCode="0.0000"/>
    </dxf>
    <dxf>
      <numFmt numFmtId="170" formatCode="0.000"/>
    </dxf>
    <dxf>
      <numFmt numFmtId="2" formatCode="0.00"/>
    </dxf>
    <dxf>
      <numFmt numFmtId="171" formatCode="0.0"/>
    </dxf>
    <dxf>
      <numFmt numFmtId="2" formatCode="0.00"/>
    </dxf>
    <dxf>
      <numFmt numFmtId="166" formatCode="0.0000000"/>
    </dxf>
    <dxf>
      <numFmt numFmtId="167" formatCode="0.000000"/>
    </dxf>
    <dxf>
      <numFmt numFmtId="168" formatCode="0.00000"/>
    </dxf>
    <dxf>
      <numFmt numFmtId="169" formatCode="0.0000"/>
    </dxf>
    <dxf>
      <numFmt numFmtId="170" formatCode="0.000"/>
    </dxf>
    <dxf>
      <numFmt numFmtId="2" formatCode="0.00"/>
    </dxf>
    <dxf>
      <fill>
        <patternFill patternType="solid">
          <bgColor theme="5"/>
        </patternFill>
      </fill>
    </dxf>
    <dxf>
      <font>
        <color theme="0"/>
      </font>
    </dxf>
    <dxf>
      <border>
        <left/>
        <top/>
        <bottom/>
      </border>
    </dxf>
    <dxf>
      <font>
        <b/>
      </font>
    </dxf>
    <dxf>
      <border>
        <right/>
        <top/>
        <bottom/>
      </border>
    </dxf>
    <dxf>
      <border>
        <right/>
        <top/>
        <bottom/>
      </border>
    </dxf>
    <dxf>
      <border>
        <left/>
        <right/>
        <top/>
      </border>
    </dxf>
    <dxf>
      <border>
        <left/>
        <right/>
        <top/>
      </border>
    </dxf>
    <dxf>
      <border>
        <left/>
        <right/>
        <top/>
      </border>
    </dxf>
    <dxf>
      <border>
        <left/>
        <right/>
        <top/>
      </border>
    </dxf>
    <dxf>
      <border>
        <top/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lor theme="0"/>
      </font>
      <fill>
        <patternFill patternType="solid">
          <fgColor indexed="64"/>
          <bgColor theme="5"/>
        </patternFill>
      </fill>
    </dxf>
    <dxf>
      <border>
        <horizontal style="thin">
          <color indexed="64"/>
        </horizontal>
      </border>
    </dxf>
    <dxf>
      <border>
        <vertical style="thin">
          <color indexed="64"/>
        </vertical>
      </border>
    </dxf>
    <dxf>
      <font>
        <b val="0"/>
      </font>
    </dxf>
    <dxf>
      <font>
        <b val="0"/>
      </font>
    </dxf>
    <dxf>
      <font>
        <b/>
      </font>
    </dxf>
    <dxf>
      <font>
        <b/>
      </font>
    </dxf>
    <dxf>
      <border>
        <vertical style="thin">
          <color indexed="64"/>
        </vertical>
      </border>
    </dxf>
    <dxf>
      <border>
        <vertical style="thin">
          <color indexed="64"/>
        </vertical>
      </border>
    </dxf>
    <dxf>
      <font>
        <b/>
      </font>
    </dxf>
    <dxf>
      <font>
        <b/>
        <color theme="0"/>
      </font>
      <fill>
        <patternFill patternType="solid">
          <fgColor indexed="64"/>
          <bgColor theme="5"/>
        </patternFill>
      </fill>
    </dxf>
    <dxf>
      <font>
        <color theme="0"/>
      </font>
      <fill>
        <patternFill patternType="solid">
          <fgColor indexed="64"/>
          <bgColor theme="5"/>
        </patternFill>
      </fill>
    </dxf>
    <dxf>
      <numFmt numFmtId="14" formatCode="0.00%"/>
    </dxf>
    <dxf>
      <numFmt numFmtId="14" formatCode="0.00%"/>
    </dxf>
    <dxf>
      <border>
        <left style="thin">
          <color indexed="64"/>
        </left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vertical style="thin">
          <color indexed="64"/>
        </vertical>
        <horizontal style="thin">
          <color indexed="64"/>
        </horizontal>
      </border>
    </dxf>
    <dxf>
      <font>
        <b/>
      </font>
    </dxf>
    <dxf>
      <font>
        <b/>
        <color theme="0"/>
      </font>
      <numFmt numFmtId="14" formatCode="0.00%"/>
      <fill>
        <patternFill patternType="solid">
          <fgColor indexed="64"/>
          <bgColor theme="5"/>
        </patternFill>
      </fill>
    </dxf>
    <dxf>
      <numFmt numFmtId="13" formatCode="0%"/>
    </dxf>
    <dxf>
      <numFmt numFmtId="164" formatCode="0.0%"/>
    </dxf>
    <dxf>
      <fill>
        <patternFill>
          <bgColor rgb="FFE94C22"/>
        </patternFill>
      </fill>
    </dxf>
    <dxf>
      <numFmt numFmtId="14" formatCode="0.00%"/>
    </dxf>
    <dxf>
      <numFmt numFmtId="14" formatCode="0.00%"/>
    </dxf>
    <dxf>
      <font>
        <b/>
        <color theme="0"/>
      </font>
      <fill>
        <patternFill patternType="solid">
          <fgColor indexed="64"/>
          <bgColor rgb="FFE94C22"/>
        </patternFill>
      </fill>
    </dxf>
    <dxf>
      <font>
        <b/>
        <color theme="0"/>
      </font>
      <numFmt numFmtId="14" formatCode="0.00%"/>
      <fill>
        <patternFill patternType="solid">
          <fgColor indexed="64"/>
          <bgColor rgb="FFE94C22"/>
        </patternFill>
      </fill>
    </dxf>
    <dxf>
      <numFmt numFmtId="14" formatCode="0.00%"/>
    </dxf>
    <dxf>
      <font>
        <b/>
        <color theme="0"/>
      </font>
      <fill>
        <patternFill patternType="solid">
          <fgColor indexed="64"/>
          <bgColor rgb="FFE94C22"/>
        </patternFill>
      </fill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/>
        <right style="medium">
          <color indexed="64"/>
        </right>
        <top/>
        <bottom/>
        <vertical/>
        <horizontal/>
      </border>
    </dxf>
    <dxf>
      <border outline="0">
        <left style="medium">
          <color indexed="64"/>
        </left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5" tint="-0.49998474074526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13" formatCode="0%"/>
    </dxf>
    <dxf>
      <numFmt numFmtId="13" formatCode="0%"/>
    </dxf>
    <dxf>
      <numFmt numFmtId="164" formatCode="0.0%"/>
    </dxf>
    <dxf>
      <alignment horizontal="center" readingOrder="0"/>
    </dxf>
    <dxf>
      <numFmt numFmtId="164" formatCode="0.0%"/>
    </dxf>
    <dxf>
      <numFmt numFmtId="14" formatCode="0.00%"/>
    </dxf>
    <dxf>
      <numFmt numFmtId="172" formatCode="0.000%"/>
    </dxf>
    <dxf>
      <numFmt numFmtId="13" formatCode="0%"/>
    </dxf>
    <dxf>
      <border>
        <vertical style="thin">
          <color indexed="64"/>
        </vertical>
        <horizontal style="thin">
          <color indexed="64"/>
        </horizontal>
      </border>
    </dxf>
    <dxf>
      <border>
        <vertical style="thin">
          <color indexed="64"/>
        </vertical>
        <horizontal style="thin">
          <color indexed="64"/>
        </horizontal>
      </border>
    </dxf>
    <dxf>
      <border>
        <vertical style="thin">
          <color indexed="64"/>
        </vertical>
        <horizontal style="thin">
          <color indexed="64"/>
        </horizontal>
      </border>
    </dxf>
    <dxf>
      <border>
        <vertical style="thin">
          <color indexed="64"/>
        </vertical>
        <horizontal style="thin">
          <color indexed="64"/>
        </horizontal>
      </border>
    </dxf>
    <dxf>
      <border>
        <vertical style="thin">
          <color indexed="64"/>
        </vertical>
        <horizontal style="thin">
          <color indexed="64"/>
        </horizontal>
      </border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border>
        <right style="thin">
          <color indexed="64"/>
        </right>
        <vertical style="thin">
          <color indexed="64"/>
        </vertical>
        <horizontal style="thin">
          <color indexed="64"/>
        </horizontal>
      </border>
    </dxf>
    <dxf>
      <numFmt numFmtId="14" formatCode="0.00%"/>
    </dxf>
    <dxf>
      <border>
        <vertical style="thin">
          <color indexed="64"/>
        </vertical>
      </border>
    </dxf>
    <dxf>
      <font>
        <color theme="0"/>
      </font>
      <fill>
        <patternFill patternType="solid">
          <fgColor indexed="64"/>
          <bgColor theme="5"/>
        </patternFill>
      </fill>
    </dxf>
    <dxf>
      <border>
        <right style="thin">
          <color indexed="64"/>
        </right>
        <vertical style="thin">
          <color indexed="64"/>
        </vertical>
        <horizontal style="thin">
          <color indexed="64"/>
        </horizontal>
      </border>
    </dxf>
    <dxf>
      <numFmt numFmtId="14" formatCode="0.00%"/>
    </dxf>
    <dxf>
      <numFmt numFmtId="164" formatCode="0.0%"/>
    </dxf>
    <dxf>
      <numFmt numFmtId="13" formatCode="0%"/>
    </dxf>
    <dxf>
      <font>
        <b/>
        <color theme="0"/>
      </font>
      <fill>
        <patternFill patternType="solid">
          <fgColor indexed="64"/>
          <bgColor theme="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/>
      </font>
    </dxf>
    <dxf>
      <border>
        <vertical style="thin">
          <color indexed="64"/>
        </vertical>
      </border>
    </dxf>
    <dxf>
      <border>
        <vertical style="thin">
          <color indexed="64"/>
        </vertical>
      </border>
    </dxf>
    <dxf>
      <font>
        <b/>
      </font>
    </dxf>
    <dxf>
      <font>
        <b/>
      </font>
    </dxf>
    <dxf>
      <font>
        <b val="0"/>
      </font>
    </dxf>
    <dxf>
      <font>
        <b val="0"/>
      </font>
    </dxf>
    <dxf>
      <border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/>
      </border>
    </dxf>
    <dxf>
      <border>
        <left/>
        <right/>
        <top/>
      </border>
    </dxf>
    <dxf>
      <border>
        <left/>
        <right/>
        <top/>
      </border>
    </dxf>
    <dxf>
      <border>
        <left/>
        <right/>
        <top/>
      </border>
    </dxf>
    <dxf>
      <border>
        <left/>
        <right/>
        <top/>
      </border>
    </dxf>
    <dxf>
      <border>
        <left/>
        <right/>
        <top/>
      </border>
    </dxf>
    <dxf>
      <border>
        <right/>
        <top/>
        <bottom/>
      </border>
    </dxf>
    <dxf>
      <border>
        <right/>
        <top/>
        <bottom/>
      </border>
    </dxf>
    <dxf>
      <font>
        <b/>
      </font>
    </dxf>
    <dxf>
      <border>
        <left/>
        <top/>
        <bottom/>
      </border>
    </dxf>
    <dxf>
      <font>
        <color theme="0"/>
      </font>
    </dxf>
    <dxf>
      <font>
        <color theme="0"/>
      </font>
    </dxf>
    <dxf>
      <fill>
        <patternFill patternType="solid">
          <bgColor theme="5"/>
        </patternFill>
      </fill>
    </dxf>
    <dxf>
      <fill>
        <patternFill patternType="solid">
          <bgColor theme="5"/>
        </patternFill>
      </fill>
    </dxf>
    <dxf>
      <numFmt numFmtId="2" formatCode="0.00"/>
    </dxf>
    <dxf>
      <numFmt numFmtId="170" formatCode="0.000"/>
    </dxf>
    <dxf>
      <numFmt numFmtId="169" formatCode="0.0000"/>
    </dxf>
    <dxf>
      <numFmt numFmtId="168" formatCode="0.00000"/>
    </dxf>
    <dxf>
      <numFmt numFmtId="167" formatCode="0.000000"/>
    </dxf>
    <dxf>
      <numFmt numFmtId="166" formatCode="0.0000000"/>
    </dxf>
    <dxf>
      <numFmt numFmtId="2" formatCode="0.00"/>
    </dxf>
    <dxf>
      <numFmt numFmtId="171" formatCode="0.0"/>
    </dxf>
    <dxf>
      <numFmt numFmtId="2" formatCode="0.00"/>
    </dxf>
    <dxf>
      <numFmt numFmtId="170" formatCode="0.000"/>
    </dxf>
    <dxf>
      <numFmt numFmtId="169" formatCode="0.0000"/>
    </dxf>
    <dxf>
      <numFmt numFmtId="168" formatCode="0.00000"/>
    </dxf>
    <dxf>
      <numFmt numFmtId="167" formatCode="0.000000"/>
    </dxf>
    <dxf>
      <numFmt numFmtId="166" formatCode="0.0000000"/>
    </dxf>
    <dxf>
      <font>
        <sz val="12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sz val="12"/>
      </font>
    </dxf>
    <dxf>
      <font>
        <sz val="12"/>
      </font>
    </dxf>
    <dxf>
      <font>
        <b/>
      </font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sz val="11"/>
      </font>
    </dxf>
    <dxf>
      <font>
        <sz val="11"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sz val="11"/>
      </font>
    </dxf>
    <dxf>
      <fill>
        <patternFill patternType="solid">
          <bgColor rgb="FFE84C22"/>
        </patternFill>
      </fill>
    </dxf>
    <dxf>
      <fill>
        <patternFill patternType="solid">
          <bgColor rgb="FFE84C22"/>
        </patternFill>
      </fill>
    </dxf>
    <dxf>
      <fill>
        <patternFill patternType="solid">
          <bgColor rgb="FFE84C22"/>
        </patternFill>
      </fill>
    </dxf>
    <dxf>
      <fill>
        <patternFill patternType="solid">
          <bgColor rgb="FFE84C22"/>
        </patternFill>
      </fill>
    </dxf>
    <dxf>
      <fill>
        <patternFill patternType="solid">
          <bgColor theme="5" tint="0.79998168889431442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5" tint="0.79998168889431442"/>
        </patternFill>
      </fill>
    </dxf>
    <dxf>
      <fill>
        <patternFill patternType="solid">
          <bgColor theme="5"/>
        </patternFill>
      </fill>
    </dxf>
    <dxf>
      <fill>
        <patternFill patternType="solid">
          <bgColor theme="5" tint="0.79998168889431442"/>
        </patternFill>
      </fill>
    </dxf>
    <dxf>
      <font>
        <color auto="1"/>
      </font>
    </dxf>
    <dxf>
      <font>
        <color rgb="FFFF0000"/>
      </font>
    </dxf>
    <dxf>
      <font>
        <b/>
        <sz val="13"/>
      </font>
    </dxf>
    <dxf>
      <font>
        <sz val="13"/>
      </font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center" readingOrder="0"/>
    </dxf>
    <dxf>
      <alignment horizontal="left" readingOrder="0"/>
    </dxf>
    <dxf>
      <alignment horizontal="center" readingOrder="0"/>
    </dxf>
    <dxf>
      <alignment horizontal="left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left" readingOrder="0"/>
    </dxf>
    <dxf>
      <alignment horizontal="right" readingOrder="0"/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numFmt numFmtId="1" formatCode="0"/>
    </dxf>
    <dxf>
      <numFmt numFmtId="14" formatCode="0.00%"/>
    </dxf>
    <dxf>
      <numFmt numFmtId="14" formatCode="0.00%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</font>
    </dxf>
    <dxf>
      <alignment horizontal="center"/>
    </dxf>
    <dxf>
      <font>
        <color theme="0"/>
      </font>
      <numFmt numFmtId="0" formatCode="General"/>
      <fill>
        <patternFill patternType="solid">
          <fgColor indexed="64"/>
          <bgColor rgb="FFE84C22"/>
        </patternFill>
      </fill>
    </dxf>
    <dxf>
      <numFmt numFmtId="14" formatCode="0.00%"/>
    </dxf>
    <dxf>
      <fill>
        <patternFill>
          <bgColor rgb="FFE84C22"/>
        </patternFill>
      </fill>
    </dxf>
    <dxf>
      <fill>
        <patternFill>
          <bgColor rgb="FFE84C22"/>
        </patternFill>
      </fill>
    </dxf>
    <dxf>
      <border>
        <right style="thin">
          <color indexed="64"/>
        </right>
      </border>
    </dxf>
    <dxf>
      <alignment horizontal="center" readingOrder="0"/>
    </dxf>
    <dxf>
      <numFmt numFmtId="13" formatCode="0%"/>
    </dxf>
    <dxf>
      <alignment horizontal="center" readingOrder="0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4" formatCode="0.0%"/>
    </dxf>
    <dxf>
      <alignment horizontal="center" readingOrder="0"/>
    </dxf>
    <dxf>
      <numFmt numFmtId="13" formatCode="0%"/>
    </dxf>
    <dxf>
      <numFmt numFmtId="14" formatCode="0.00%"/>
    </dxf>
    <dxf>
      <numFmt numFmtId="164" formatCode="0.0%"/>
    </dxf>
    <dxf>
      <alignment horizontal="center" readingOrder="0"/>
    </dxf>
    <dxf>
      <numFmt numFmtId="13" formatCode="0%"/>
    </dxf>
    <dxf>
      <numFmt numFmtId="14" formatCode="0.00%"/>
    </dxf>
    <dxf>
      <border>
        <right style="thin">
          <color indexed="64"/>
        </right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right style="thin">
          <color indexed="64"/>
        </right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  <horizontal style="thin">
          <color indexed="64"/>
        </horizontal>
      </border>
    </dxf>
    <dxf>
      <border>
        <top style="thin">
          <color indexed="64"/>
        </top>
        <horizontal style="thin">
          <color indexed="64"/>
        </horizontal>
      </border>
    </dxf>
    <dxf>
      <border>
        <vertical style="thin">
          <color indexed="64"/>
        </vertical>
        <horizontal style="thin">
          <color indexed="64"/>
        </horizontal>
      </border>
    </dxf>
    <dxf>
      <border>
        <horizontal style="thin">
          <color indexed="64"/>
        </horizontal>
      </border>
    </dxf>
    <dxf>
      <fill>
        <patternFill>
          <bgColor theme="5"/>
        </patternFill>
      </fill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top/>
      </border>
    </dxf>
    <dxf>
      <border>
        <top/>
      </border>
    </dxf>
    <dxf>
      <border>
        <top/>
      </border>
    </dxf>
    <dxf>
      <border>
        <top/>
      </border>
    </dxf>
    <dxf>
      <border>
        <top/>
      </border>
    </dxf>
    <dxf>
      <border>
        <top/>
      </border>
    </dxf>
    <dxf>
      <border>
        <top/>
      </border>
    </dxf>
    <dxf>
      <border>
        <top/>
      </border>
    </dxf>
    <dxf>
      <border>
        <top/>
      </border>
    </dxf>
    <dxf>
      <border>
        <top/>
      </border>
    </dxf>
    <dxf>
      <border>
        <top/>
      </border>
    </dxf>
    <dxf>
      <border>
        <top/>
      </border>
    </dxf>
    <dxf>
      <border>
        <top/>
      </border>
    </dxf>
    <dxf>
      <border>
        <top/>
      </border>
    </dxf>
    <dxf>
      <border>
        <left/>
        <top/>
      </border>
    </dxf>
    <dxf>
      <border>
        <left/>
        <top/>
      </border>
    </dxf>
    <dxf>
      <border>
        <top/>
      </border>
    </dxf>
    <dxf>
      <border>
        <top/>
      </border>
    </dxf>
    <dxf>
      <border>
        <left/>
        <top/>
      </border>
    </dxf>
    <dxf>
      <border>
        <left/>
        <top/>
      </border>
    </dxf>
    <dxf>
      <border>
        <left/>
        <right/>
        <top/>
        <bottom/>
        <vertical/>
      </border>
    </dxf>
    <dxf>
      <border>
        <left/>
        <right/>
        <top/>
        <bottom/>
        <vertical/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theme="5" tint="-0.249977111117893"/>
        </patternFill>
      </fill>
    </dxf>
    <dxf>
      <border>
        <top/>
      </border>
    </dxf>
    <dxf>
      <border>
        <left/>
        <right/>
        <top/>
        <bottom/>
      </border>
    </dxf>
    <dxf>
      <border>
        <left/>
        <right/>
        <top/>
        <bottom/>
      </border>
    </dxf>
    <dxf>
      <font>
        <b/>
      </font>
    </dxf>
    <dxf>
      <border>
        <left/>
        <top/>
        <bottom/>
      </border>
    </dxf>
    <dxf>
      <font>
        <color theme="0"/>
      </font>
    </dxf>
    <dxf>
      <fill>
        <patternFill patternType="solid">
          <bgColor theme="5"/>
        </patternFill>
      </fill>
    </dxf>
    <dxf>
      <numFmt numFmtId="2" formatCode="0.00"/>
    </dxf>
    <dxf>
      <numFmt numFmtId="170" formatCode="0.000"/>
    </dxf>
    <dxf>
      <numFmt numFmtId="169" formatCode="0.0000"/>
    </dxf>
    <dxf>
      <numFmt numFmtId="168" formatCode="0.00000"/>
    </dxf>
    <dxf>
      <numFmt numFmtId="167" formatCode="0.000000"/>
    </dxf>
    <dxf>
      <numFmt numFmtId="166" formatCode="0.0000000"/>
    </dxf>
    <dxf>
      <numFmt numFmtId="2" formatCode="0.00"/>
    </dxf>
    <dxf>
      <numFmt numFmtId="171" formatCode="0.0"/>
    </dxf>
    <dxf>
      <numFmt numFmtId="2" formatCode="0.00"/>
    </dxf>
    <dxf>
      <numFmt numFmtId="170" formatCode="0.000"/>
    </dxf>
    <dxf>
      <numFmt numFmtId="169" formatCode="0.0000"/>
    </dxf>
    <dxf>
      <numFmt numFmtId="168" formatCode="0.00000"/>
    </dxf>
    <dxf>
      <numFmt numFmtId="167" formatCode="0.000000"/>
    </dxf>
    <dxf>
      <numFmt numFmtId="166" formatCode="0.0000000"/>
    </dxf>
    <dxf>
      <fill>
        <patternFill patternType="solid">
          <bgColor rgb="FFE84C22"/>
        </patternFill>
      </fill>
    </dxf>
    <dxf>
      <fill>
        <patternFill patternType="solid">
          <bgColor rgb="FFE84C22"/>
        </patternFill>
      </fill>
    </dxf>
    <dxf>
      <alignment horizontal="center" readingOrder="0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fill>
        <patternFill patternType="solid">
          <fgColor indexed="64"/>
          <bgColor rgb="FFE84C22"/>
        </patternFill>
      </fill>
      <alignment horizontal="center"/>
    </dxf>
    <dxf>
      <numFmt numFmtId="14" formatCode="0.00%"/>
    </dxf>
    <dxf>
      <fill>
        <patternFill patternType="solid">
          <fgColor indexed="64"/>
          <bgColor rgb="FFE84C22"/>
        </patternFill>
      </fill>
      <alignment horizontal="center"/>
    </dxf>
    <dxf>
      <numFmt numFmtId="14" formatCode="0.00%"/>
    </dxf>
    <dxf>
      <numFmt numFmtId="14" formatCode="0.00%"/>
    </dxf>
    <dxf>
      <font>
        <b/>
        <color theme="0"/>
      </font>
      <numFmt numFmtId="14" formatCode="0.00%"/>
      <fill>
        <patternFill patternType="solid">
          <fgColor indexed="64"/>
          <bgColor rgb="FFE84C22"/>
        </patternFill>
      </fill>
    </dxf>
    <dxf>
      <numFmt numFmtId="13" formatCode="0%"/>
    </dxf>
    <dxf>
      <fill>
        <patternFill>
          <bgColor rgb="FFE84C22"/>
        </patternFill>
      </fill>
    </dxf>
    <dxf>
      <fill>
        <patternFill>
          <bgColor rgb="FFE84C22"/>
        </patternFill>
      </fill>
    </dxf>
    <dxf>
      <numFmt numFmtId="164" formatCode="0.0%"/>
    </dxf>
    <dxf>
      <alignment horizontal="center" readingOrder="0"/>
    </dxf>
    <dxf>
      <numFmt numFmtId="164" formatCode="0.0%"/>
    </dxf>
    <dxf>
      <numFmt numFmtId="14" formatCode="0.00%"/>
    </dxf>
    <dxf>
      <numFmt numFmtId="172" formatCode="0.000%"/>
    </dxf>
    <dxf>
      <numFmt numFmtId="13" formatCode="0%"/>
    </dxf>
    <dxf>
      <border>
        <vertical style="thin">
          <color indexed="64"/>
        </vertical>
        <horizontal style="thin">
          <color indexed="64"/>
        </horizontal>
      </border>
    </dxf>
    <dxf>
      <border>
        <vertical style="thin">
          <color indexed="64"/>
        </vertical>
        <horizontal style="thin">
          <color indexed="64"/>
        </horizontal>
      </border>
    </dxf>
    <dxf>
      <border>
        <vertical style="thin">
          <color indexed="64"/>
        </vertical>
        <horizontal style="thin">
          <color indexed="64"/>
        </horizontal>
      </border>
    </dxf>
    <dxf>
      <border>
        <vertical style="thin">
          <color indexed="64"/>
        </vertical>
        <horizontal style="thin">
          <color indexed="64"/>
        </horizontal>
      </border>
    </dxf>
    <dxf>
      <border>
        <vertical style="thin">
          <color indexed="64"/>
        </vertical>
        <horizontal style="thin">
          <color indexed="64"/>
        </horizontal>
      </border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border>
        <right style="thin">
          <color indexed="64"/>
        </right>
        <vertical style="thin">
          <color indexed="64"/>
        </vertical>
        <horizontal style="thin">
          <color indexed="64"/>
        </horizontal>
      </border>
    </dxf>
    <dxf>
      <numFmt numFmtId="14" formatCode="0.00%"/>
    </dxf>
    <dxf>
      <border>
        <vertical style="thin">
          <color indexed="64"/>
        </vertical>
      </border>
    </dxf>
    <dxf>
      <font>
        <color theme="0"/>
      </font>
      <fill>
        <patternFill patternType="solid">
          <fgColor indexed="64"/>
          <bgColor theme="5"/>
        </patternFill>
      </fill>
    </dxf>
    <dxf>
      <border>
        <right style="thin">
          <color indexed="64"/>
        </right>
        <vertical style="thin">
          <color indexed="64"/>
        </vertical>
        <horizontal style="thin">
          <color indexed="64"/>
        </horizontal>
      </border>
    </dxf>
    <dxf>
      <numFmt numFmtId="14" formatCode="0.00%"/>
    </dxf>
    <dxf>
      <numFmt numFmtId="164" formatCode="0.0%"/>
    </dxf>
    <dxf>
      <numFmt numFmtId="13" formatCode="0%"/>
    </dxf>
    <dxf>
      <font>
        <b/>
        <color theme="0"/>
      </font>
      <fill>
        <patternFill patternType="solid">
          <fgColor indexed="64"/>
          <bgColor theme="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/>
      </font>
    </dxf>
    <dxf>
      <border>
        <vertical style="thin">
          <color indexed="64"/>
        </vertical>
      </border>
    </dxf>
    <dxf>
      <border>
        <vertical style="thin">
          <color indexed="64"/>
        </vertical>
      </border>
    </dxf>
    <dxf>
      <font>
        <b/>
      </font>
    </dxf>
    <dxf>
      <font>
        <b/>
      </font>
    </dxf>
    <dxf>
      <font>
        <b val="0"/>
      </font>
    </dxf>
    <dxf>
      <font>
        <b val="0"/>
      </font>
    </dxf>
    <dxf>
      <border>
        <vertical style="thin">
          <color indexed="64"/>
        </vertical>
      </border>
    </dxf>
    <dxf>
      <border>
        <horizontal style="thin">
          <color indexed="64"/>
        </horizontal>
      </border>
    </dxf>
    <dxf>
      <font>
        <color theme="0"/>
      </font>
      <fill>
        <patternFill patternType="solid">
          <fgColor indexed="64"/>
          <bgColor theme="5"/>
        </patternFill>
      </fill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/>
      </border>
    </dxf>
    <dxf>
      <border>
        <left/>
        <right/>
        <top/>
      </border>
    </dxf>
    <dxf>
      <border>
        <left/>
        <right/>
        <top/>
      </border>
    </dxf>
    <dxf>
      <border>
        <left/>
        <right/>
        <top/>
      </border>
    </dxf>
    <dxf>
      <border>
        <left/>
        <right/>
        <top/>
      </border>
    </dxf>
    <dxf>
      <border>
        <left/>
        <right/>
        <top/>
      </border>
    </dxf>
    <dxf>
      <border>
        <right/>
        <top/>
        <bottom/>
      </border>
    </dxf>
    <dxf>
      <border>
        <right/>
        <top/>
        <bottom/>
      </border>
    </dxf>
    <dxf>
      <font>
        <b/>
      </font>
    </dxf>
    <dxf>
      <border>
        <left/>
        <top/>
        <bottom/>
      </border>
    </dxf>
    <dxf>
      <font>
        <color theme="0"/>
      </font>
    </dxf>
    <dxf>
      <font>
        <color theme="0"/>
      </font>
    </dxf>
    <dxf>
      <fill>
        <patternFill patternType="solid">
          <bgColor theme="5"/>
        </patternFill>
      </fill>
    </dxf>
    <dxf>
      <fill>
        <patternFill patternType="solid">
          <bgColor theme="5"/>
        </patternFill>
      </fill>
    </dxf>
    <dxf>
      <numFmt numFmtId="2" formatCode="0.00"/>
    </dxf>
    <dxf>
      <numFmt numFmtId="170" formatCode="0.000"/>
    </dxf>
    <dxf>
      <numFmt numFmtId="169" formatCode="0.0000"/>
    </dxf>
    <dxf>
      <numFmt numFmtId="168" formatCode="0.00000"/>
    </dxf>
    <dxf>
      <numFmt numFmtId="167" formatCode="0.000000"/>
    </dxf>
    <dxf>
      <numFmt numFmtId="166" formatCode="0.0000000"/>
    </dxf>
    <dxf>
      <numFmt numFmtId="2" formatCode="0.00"/>
    </dxf>
    <dxf>
      <numFmt numFmtId="171" formatCode="0.0"/>
    </dxf>
    <dxf>
      <numFmt numFmtId="2" formatCode="0.00"/>
    </dxf>
    <dxf>
      <numFmt numFmtId="170" formatCode="0.000"/>
    </dxf>
    <dxf>
      <numFmt numFmtId="169" formatCode="0.0000"/>
    </dxf>
    <dxf>
      <numFmt numFmtId="168" formatCode="0.00000"/>
    </dxf>
    <dxf>
      <numFmt numFmtId="167" formatCode="0.000000"/>
    </dxf>
    <dxf>
      <numFmt numFmtId="166" formatCode="0.0000000"/>
    </dxf>
    <dxf>
      <font>
        <b/>
        <color theme="0"/>
      </font>
      <fill>
        <patternFill patternType="solid">
          <fgColor indexed="64"/>
          <bgColor rgb="FFE94C22"/>
        </patternFill>
      </fill>
    </dxf>
    <dxf>
      <numFmt numFmtId="14" formatCode="0.00%"/>
    </dxf>
    <dxf>
      <font>
        <b/>
        <color theme="0"/>
      </font>
      <numFmt numFmtId="14" formatCode="0.00%"/>
      <fill>
        <patternFill patternType="solid">
          <fgColor indexed="64"/>
          <bgColor rgb="FFE94C22"/>
        </patternFill>
      </fill>
    </dxf>
    <dxf>
      <font>
        <b/>
        <color theme="0"/>
      </font>
      <fill>
        <patternFill patternType="solid">
          <fgColor indexed="64"/>
          <bgColor rgb="FFE94C22"/>
        </patternFill>
      </fill>
    </dxf>
    <dxf>
      <numFmt numFmtId="14" formatCode="0.00%"/>
    </dxf>
    <dxf>
      <numFmt numFmtId="14" formatCode="0.00%"/>
    </dxf>
    <dxf>
      <fill>
        <patternFill>
          <bgColor rgb="FFE94C22"/>
        </patternFill>
      </fill>
    </dxf>
    <dxf>
      <numFmt numFmtId="164" formatCode="0.0%"/>
    </dxf>
    <dxf>
      <numFmt numFmtId="13" formatCode="0%"/>
    </dxf>
    <dxf>
      <font>
        <b/>
        <color theme="0"/>
      </font>
      <numFmt numFmtId="14" formatCode="0.00%"/>
      <fill>
        <patternFill patternType="solid">
          <fgColor indexed="64"/>
          <bgColor theme="5"/>
        </patternFill>
      </fill>
    </dxf>
    <dxf>
      <font>
        <b/>
      </font>
    </dxf>
    <dxf>
      <border>
        <left style="thin">
          <color indexed="64"/>
        </left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vertical style="thin">
          <color indexed="64"/>
        </vertical>
        <horizontal style="thin">
          <color indexed="64"/>
        </horizontal>
      </border>
    </dxf>
    <dxf>
      <numFmt numFmtId="14" formatCode="0.00%"/>
    </dxf>
    <dxf>
      <numFmt numFmtId="14" formatCode="0.00%"/>
    </dxf>
    <dxf>
      <font>
        <color theme="0"/>
      </font>
      <fill>
        <patternFill patternType="solid">
          <fgColor indexed="64"/>
          <bgColor theme="5"/>
        </patternFill>
      </fill>
    </dxf>
    <dxf>
      <font>
        <b/>
        <color theme="0"/>
      </font>
      <fill>
        <patternFill patternType="solid">
          <fgColor indexed="64"/>
          <bgColor theme="5"/>
        </patternFill>
      </fill>
    </dxf>
    <dxf>
      <font>
        <b/>
      </font>
    </dxf>
    <dxf>
      <border>
        <vertical style="thin">
          <color indexed="64"/>
        </vertical>
      </border>
    </dxf>
    <dxf>
      <border>
        <vertical style="thin">
          <color indexed="64"/>
        </vertical>
      </border>
    </dxf>
    <dxf>
      <font>
        <b/>
      </font>
    </dxf>
    <dxf>
      <font>
        <b/>
      </font>
    </dxf>
    <dxf>
      <font>
        <b val="0"/>
      </font>
    </dxf>
    <dxf>
      <font>
        <b val="0"/>
      </font>
    </dxf>
    <dxf>
      <border>
        <vertical style="thin">
          <color indexed="64"/>
        </vertical>
      </border>
    </dxf>
    <dxf>
      <border>
        <horizontal style="thin">
          <color indexed="64"/>
        </horizontal>
      </border>
    </dxf>
    <dxf>
      <font>
        <color theme="0"/>
      </font>
      <fill>
        <patternFill patternType="solid">
          <fgColor indexed="64"/>
          <bgColor theme="5"/>
        </patternFill>
      </fill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/>
      </border>
    </dxf>
    <dxf>
      <border>
        <left/>
        <right/>
        <top/>
      </border>
    </dxf>
    <dxf>
      <border>
        <left/>
        <right/>
        <top/>
      </border>
    </dxf>
    <dxf>
      <border>
        <left/>
        <right/>
        <top/>
      </border>
    </dxf>
    <dxf>
      <border>
        <left/>
        <right/>
        <top/>
      </border>
    </dxf>
    <dxf>
      <border>
        <right/>
        <top/>
        <bottom/>
      </border>
    </dxf>
    <dxf>
      <border>
        <right/>
        <top/>
        <bottom/>
      </border>
    </dxf>
    <dxf>
      <font>
        <b/>
      </font>
    </dxf>
    <dxf>
      <border>
        <left/>
        <top/>
        <bottom/>
      </border>
    </dxf>
    <dxf>
      <font>
        <color theme="0"/>
      </font>
    </dxf>
    <dxf>
      <fill>
        <patternFill patternType="solid">
          <bgColor theme="5"/>
        </patternFill>
      </fill>
    </dxf>
    <dxf>
      <numFmt numFmtId="2" formatCode="0.00"/>
    </dxf>
    <dxf>
      <numFmt numFmtId="170" formatCode="0.000"/>
    </dxf>
    <dxf>
      <numFmt numFmtId="169" formatCode="0.0000"/>
    </dxf>
    <dxf>
      <numFmt numFmtId="168" formatCode="0.00000"/>
    </dxf>
    <dxf>
      <numFmt numFmtId="167" formatCode="0.000000"/>
    </dxf>
    <dxf>
      <numFmt numFmtId="166" formatCode="0.0000000"/>
    </dxf>
    <dxf>
      <numFmt numFmtId="2" formatCode="0.00"/>
    </dxf>
    <dxf>
      <numFmt numFmtId="171" formatCode="0.0"/>
    </dxf>
    <dxf>
      <numFmt numFmtId="2" formatCode="0.00"/>
    </dxf>
    <dxf>
      <numFmt numFmtId="170" formatCode="0.000"/>
    </dxf>
    <dxf>
      <numFmt numFmtId="169" formatCode="0.0000"/>
    </dxf>
    <dxf>
      <numFmt numFmtId="168" formatCode="0.00000"/>
    </dxf>
    <dxf>
      <numFmt numFmtId="167" formatCode="0.000000"/>
    </dxf>
    <dxf>
      <numFmt numFmtId="166" formatCode="0.000000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none">
          <fgColor theme="4" tint="0.79998168889431442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theme="4" tint="0.79998168889431442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bgColor auto="1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bgColor auto="1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numFmt numFmtId="0" formatCode="General"/>
      <fill>
        <patternFill patternType="none">
          <bgColor auto="1"/>
        </patternFill>
      </fill>
    </dxf>
    <dxf>
      <numFmt numFmtId="0" formatCode="General"/>
      <fill>
        <patternFill patternType="none">
          <bgColor auto="1"/>
        </patternFill>
      </fill>
    </dxf>
    <dxf>
      <numFmt numFmtId="0" formatCode="General"/>
      <fill>
        <patternFill patternType="none">
          <bgColor auto="1"/>
        </patternFill>
      </fill>
    </dxf>
    <dxf>
      <numFmt numFmtId="0" formatCode="General"/>
      <fill>
        <patternFill patternType="none">
          <bgColor auto="1"/>
        </patternFill>
      </fill>
    </dxf>
    <dxf>
      <numFmt numFmtId="0" formatCode="General"/>
      <fill>
        <patternFill patternType="none">
          <bgColor auto="1"/>
        </patternFill>
      </fill>
    </dxf>
    <dxf>
      <numFmt numFmtId="0" formatCode="General"/>
      <fill>
        <patternFill patternType="none">
          <bgColor auto="1"/>
        </patternFill>
      </fill>
    </dxf>
    <dxf>
      <numFmt numFmtId="0" formatCode="General"/>
      <fill>
        <patternFill patternType="none">
          <bgColor auto="1"/>
        </patternFill>
      </fill>
    </dxf>
    <dxf>
      <numFmt numFmtId="0" formatCode="General"/>
      <fill>
        <patternFill patternType="none">
          <bgColor auto="1"/>
        </patternFill>
      </fill>
    </dxf>
    <dxf>
      <numFmt numFmtId="0" formatCode="General"/>
      <fill>
        <patternFill patternType="none">
          <bgColor auto="1"/>
        </patternFill>
      </fill>
    </dxf>
    <dxf>
      <numFmt numFmtId="0" formatCode="General"/>
      <fill>
        <patternFill patternType="none">
          <bgColor auto="1"/>
        </patternFill>
      </fill>
    </dxf>
    <dxf>
      <numFmt numFmtId="0" formatCode="General"/>
      <fill>
        <patternFill patternType="none">
          <bgColor auto="1"/>
        </patternFill>
      </fill>
    </dxf>
    <dxf>
      <numFmt numFmtId="0" formatCode="General"/>
      <fill>
        <patternFill patternType="none">
          <bgColor auto="1"/>
        </patternFill>
      </fill>
    </dxf>
    <dxf>
      <numFmt numFmtId="0" formatCode="General"/>
      <fill>
        <patternFill patternType="none">
          <bgColor auto="1"/>
        </patternFill>
      </fill>
    </dxf>
    <dxf>
      <numFmt numFmtId="0" formatCode="General"/>
      <fill>
        <patternFill patternType="none">
          <bgColor auto="1"/>
        </patternFill>
      </fill>
    </dxf>
    <dxf>
      <numFmt numFmtId="0" formatCode="General"/>
      <fill>
        <patternFill patternType="none">
          <bgColor auto="1"/>
        </patternFill>
      </fill>
    </dxf>
    <dxf>
      <numFmt numFmtId="0" formatCode="General"/>
      <fill>
        <patternFill patternType="none">
          <bgColor auto="1"/>
        </patternFill>
      </fill>
    </dxf>
    <dxf>
      <numFmt numFmtId="0" formatCode="General"/>
      <fill>
        <patternFill patternType="none">
          <bgColor auto="1"/>
        </patternFill>
      </fill>
    </dxf>
    <dxf>
      <numFmt numFmtId="0" formatCode="General"/>
      <fill>
        <patternFill patternType="none">
          <bgColor auto="1"/>
        </patternFill>
      </fill>
    </dxf>
    <dxf>
      <numFmt numFmtId="0" formatCode="General"/>
      <fill>
        <patternFill patternType="none">
          <bgColor auto="1"/>
        </patternFill>
      </fill>
    </dxf>
    <dxf>
      <numFmt numFmtId="0" formatCode="General"/>
      <fill>
        <patternFill patternType="none">
          <bgColor auto="1"/>
        </patternFill>
      </fill>
    </dxf>
    <dxf>
      <numFmt numFmtId="0" formatCode="General"/>
      <fill>
        <patternFill patternType="none">
          <bgColor auto="1"/>
        </patternFill>
      </fill>
    </dxf>
    <dxf>
      <numFmt numFmtId="0" formatCode="General"/>
      <fill>
        <patternFill patternType="none">
          <bgColor auto="1"/>
        </patternFill>
      </fill>
    </dxf>
    <dxf>
      <numFmt numFmtId="0" formatCode="General"/>
      <fill>
        <patternFill patternType="none">
          <bgColor auto="1"/>
        </patternFill>
      </fill>
    </dxf>
    <dxf>
      <numFmt numFmtId="0" formatCode="General"/>
      <fill>
        <patternFill patternType="none">
          <bgColor auto="1"/>
        </patternFill>
      </fill>
    </dxf>
    <dxf>
      <numFmt numFmtId="0" formatCode="General"/>
      <fill>
        <patternFill patternType="none">
          <bgColor auto="1"/>
        </patternFill>
      </fill>
    </dxf>
    <dxf>
      <numFmt numFmtId="0" formatCode="General"/>
      <fill>
        <patternFill patternType="none">
          <bgColor auto="1"/>
        </patternFill>
      </fill>
    </dxf>
    <dxf>
      <numFmt numFmtId="0" formatCode="General"/>
      <fill>
        <patternFill patternType="none">
          <bgColor auto="1"/>
        </patternFill>
      </fill>
    </dxf>
    <dxf>
      <numFmt numFmtId="0" formatCode="General"/>
      <fill>
        <patternFill patternType="none">
          <bgColor auto="1"/>
        </patternFill>
      </fill>
    </dxf>
    <dxf>
      <numFmt numFmtId="0" formatCode="General"/>
      <fill>
        <patternFill patternType="none">
          <bgColor auto="1"/>
        </patternFill>
      </fill>
    </dxf>
    <dxf>
      <numFmt numFmtId="0" formatCode="General"/>
      <fill>
        <patternFill patternType="none">
          <bgColor auto="1"/>
        </patternFill>
      </fill>
    </dxf>
    <dxf>
      <numFmt numFmtId="0" formatCode="General"/>
      <fill>
        <patternFill patternType="none">
          <bgColor auto="1"/>
        </patternFill>
      </fill>
    </dxf>
    <dxf>
      <numFmt numFmtId="1" formatCode="0"/>
      <fill>
        <patternFill patternType="none">
          <bgColor auto="1"/>
        </patternFill>
      </fill>
    </dxf>
    <dxf>
      <numFmt numFmtId="1" formatCode="0"/>
      <fill>
        <patternFill patternType="none">
          <bgColor auto="1"/>
        </patternFill>
      </fill>
    </dxf>
    <dxf>
      <numFmt numFmtId="0" formatCode="General"/>
      <fill>
        <patternFill patternType="none">
          <bgColor auto="1"/>
        </patternFill>
      </fill>
    </dxf>
    <dxf>
      <numFmt numFmtId="0" formatCode="General"/>
      <fill>
        <patternFill patternType="none">
          <bgColor auto="1"/>
        </patternFill>
      </fill>
    </dxf>
    <dxf>
      <numFmt numFmtId="0" formatCode="General"/>
      <fill>
        <patternFill patternType="none">
          <bgColor auto="1"/>
        </patternFill>
      </fill>
    </dxf>
    <dxf>
      <numFmt numFmtId="0" formatCode="General"/>
      <fill>
        <patternFill patternType="none">
          <bgColor auto="1"/>
        </patternFill>
      </fill>
    </dxf>
    <dxf>
      <numFmt numFmtId="0" formatCode="General"/>
      <fill>
        <patternFill patternType="none">
          <bgColor auto="1"/>
        </patternFill>
      </fill>
    </dxf>
    <dxf>
      <numFmt numFmtId="14" formatCode="0.00%"/>
      <fill>
        <patternFill patternType="none">
          <bgColor auto="1"/>
        </patternFill>
      </fill>
    </dxf>
    <dxf>
      <numFmt numFmtId="164" formatCode="0.0%"/>
      <fill>
        <patternFill patternType="none">
          <bgColor auto="1"/>
        </patternFill>
      </fill>
    </dxf>
    <dxf>
      <numFmt numFmtId="164" formatCode="0.0%"/>
      <fill>
        <patternFill patternType="none">
          <bgColor auto="1"/>
        </patternFill>
      </fill>
    </dxf>
    <dxf>
      <numFmt numFmtId="14" formatCode="0.00%"/>
      <fill>
        <patternFill patternType="none">
          <bgColor auto="1"/>
        </patternFill>
      </fill>
    </dxf>
    <dxf>
      <numFmt numFmtId="14" formatCode="0.00%"/>
      <fill>
        <patternFill patternType="none">
          <bgColor auto="1"/>
        </patternFill>
      </fill>
    </dxf>
    <dxf>
      <numFmt numFmtId="14" formatCode="0.00%"/>
      <fill>
        <patternFill patternType="none"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4" formatCode="0.00%"/>
      <fill>
        <patternFill patternType="none">
          <fgColor indexed="64"/>
          <bgColor indexed="65"/>
        </patternFill>
      </fill>
    </dxf>
    <dxf>
      <fill>
        <patternFill patternType="none"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4" formatCode="0.00%"/>
      <fill>
        <patternFill patternType="none">
          <fgColor indexed="64"/>
          <bgColor indexed="65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4" formatCode="0.00%"/>
      <fill>
        <patternFill patternType="none">
          <fgColor indexed="64"/>
          <bgColor indexed="65"/>
        </patternFill>
      </fill>
    </dxf>
    <dxf>
      <fill>
        <patternFill patternType="none">
          <bgColor auto="1"/>
        </patternFill>
      </fill>
    </dxf>
    <dxf>
      <numFmt numFmtId="14" formatCode="0.00%"/>
      <fill>
        <patternFill patternType="none">
          <bgColor auto="1"/>
        </patternFill>
      </fill>
    </dxf>
    <dxf>
      <numFmt numFmtId="14" formatCode="0.00%"/>
      <fill>
        <patternFill patternType="none">
          <fgColor indexed="64"/>
          <bgColor indexed="65"/>
        </patternFill>
      </fill>
    </dxf>
    <dxf>
      <numFmt numFmtId="14" formatCode="0.00%"/>
      <fill>
        <patternFill patternType="none">
          <bgColor auto="1"/>
        </patternFill>
      </fill>
    </dxf>
    <dxf>
      <numFmt numFmtId="14" formatCode="0.00%"/>
      <fill>
        <patternFill patternType="none">
          <fgColor indexed="64"/>
          <bgColor indexed="65"/>
        </patternFill>
      </fill>
    </dxf>
    <dxf>
      <numFmt numFmtId="14" formatCode="0.00%"/>
      <fill>
        <patternFill patternType="none">
          <bgColor auto="1"/>
        </patternFill>
      </fill>
    </dxf>
    <dxf>
      <numFmt numFmtId="14" formatCode="0.00%"/>
      <fill>
        <patternFill patternType="none">
          <bgColor auto="1"/>
        </patternFill>
      </fill>
    </dxf>
    <dxf>
      <numFmt numFmtId="14" formatCode="0.00%"/>
      <fill>
        <patternFill patternType="none">
          <bgColor auto="1"/>
        </patternFill>
      </fill>
    </dxf>
    <dxf>
      <numFmt numFmtId="14" formatCode="0.00%"/>
      <fill>
        <patternFill patternType="none">
          <fgColor indexed="64"/>
          <bgColor indexed="65"/>
        </patternFill>
      </fill>
    </dxf>
    <dxf>
      <numFmt numFmtId="14" formatCode="0.00%"/>
      <fill>
        <patternFill patternType="none">
          <bgColor auto="1"/>
        </patternFill>
      </fill>
    </dxf>
    <dxf>
      <numFmt numFmtId="14" formatCode="0.00%"/>
      <fill>
        <patternFill patternType="none">
          <fgColor indexed="64"/>
          <bgColor indexed="65"/>
        </patternFill>
      </fill>
    </dxf>
    <dxf>
      <numFmt numFmtId="14" formatCode="0.00%"/>
      <fill>
        <patternFill patternType="none">
          <bgColor auto="1"/>
        </patternFill>
      </fill>
    </dxf>
    <dxf>
      <numFmt numFmtId="14" formatCode="0.00%"/>
      <fill>
        <patternFill patternType="none">
          <bgColor auto="1"/>
        </patternFill>
      </fill>
    </dxf>
    <dxf>
      <numFmt numFmtId="14" formatCode="0.00%"/>
      <fill>
        <patternFill patternType="none">
          <bgColor auto="1"/>
        </patternFill>
      </fill>
    </dxf>
    <dxf>
      <numFmt numFmtId="14" formatCode="0.00%"/>
      <fill>
        <patternFill patternType="none">
          <bgColor auto="1"/>
        </patternFill>
      </fill>
    </dxf>
    <dxf>
      <numFmt numFmtId="14" formatCode="0.00%"/>
      <fill>
        <patternFill patternType="none">
          <bgColor auto="1"/>
        </patternFill>
      </fill>
    </dxf>
    <dxf>
      <numFmt numFmtId="14" formatCode="0.00%"/>
      <fill>
        <patternFill patternType="none">
          <bgColor auto="1"/>
        </patternFill>
      </fill>
    </dxf>
    <dxf>
      <numFmt numFmtId="14" formatCode="0.00%"/>
      <fill>
        <patternFill patternType="none"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4" formatCode="0.00%"/>
      <fill>
        <patternFill patternType="none">
          <fgColor indexed="64"/>
          <bgColor indexed="65"/>
        </patternFill>
      </fill>
    </dxf>
    <dxf>
      <numFmt numFmtId="14" formatCode="0.00%"/>
      <fill>
        <patternFill patternType="none">
          <bgColor auto="1"/>
        </patternFill>
      </fill>
    </dxf>
    <dxf>
      <numFmt numFmtId="14" formatCode="0.00%"/>
      <fill>
        <patternFill patternType="none">
          <bgColor auto="1"/>
        </patternFill>
      </fill>
    </dxf>
    <dxf>
      <numFmt numFmtId="14" formatCode="0.00%"/>
      <fill>
        <patternFill patternType="none">
          <bgColor auto="1"/>
        </patternFill>
      </fill>
    </dxf>
    <dxf>
      <numFmt numFmtId="14" formatCode="0.00%"/>
      <fill>
        <patternFill patternType="none">
          <bgColor auto="1"/>
        </patternFill>
      </fill>
    </dxf>
    <dxf>
      <numFmt numFmtId="14" formatCode="0.00%"/>
      <fill>
        <patternFill patternType="none">
          <bgColor auto="1"/>
        </patternFill>
      </fill>
    </dxf>
    <dxf>
      <numFmt numFmtId="14" formatCode="0.00%"/>
      <fill>
        <patternFill patternType="none"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4" formatCode="0.00%"/>
      <fill>
        <patternFill patternType="none">
          <fgColor indexed="64"/>
          <bgColor indexed="65"/>
        </patternFill>
      </fill>
    </dxf>
    <dxf>
      <numFmt numFmtId="14" formatCode="0.00%"/>
      <fill>
        <patternFill patternType="none">
          <bgColor auto="1"/>
        </patternFill>
      </fill>
    </dxf>
    <dxf>
      <numFmt numFmtId="14" formatCode="0.00%"/>
      <fill>
        <patternFill patternType="none"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4" formatCode="0.00%"/>
      <fill>
        <patternFill patternType="none">
          <fgColor indexed="64"/>
          <bgColor indexed="65"/>
        </patternFill>
      </fill>
    </dxf>
    <dxf>
      <numFmt numFmtId="14" formatCode="0.00%"/>
      <fill>
        <patternFill patternType="none">
          <bgColor auto="1"/>
        </patternFill>
      </fill>
    </dxf>
    <dxf>
      <numFmt numFmtId="14" formatCode="0.00%"/>
      <fill>
        <patternFill patternType="none">
          <bgColor auto="1"/>
        </patternFill>
      </fill>
    </dxf>
    <dxf>
      <numFmt numFmtId="14" formatCode="0.00%"/>
      <fill>
        <patternFill patternType="none"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4" formatCode="0.00%"/>
      <fill>
        <patternFill patternType="none">
          <fgColor indexed="64"/>
          <bgColor indexed="65"/>
        </patternFill>
      </fill>
    </dxf>
    <dxf>
      <numFmt numFmtId="14" formatCode="0.00%"/>
      <fill>
        <patternFill patternType="none"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4" formatCode="0.00%"/>
      <fill>
        <patternFill patternType="none">
          <fgColor indexed="64"/>
          <bgColor indexed="65"/>
        </patternFill>
      </fill>
    </dxf>
    <dxf>
      <numFmt numFmtId="14" formatCode="0.00%"/>
      <fill>
        <patternFill patternType="none"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4" formatCode="0.00%"/>
      <fill>
        <patternFill patternType="none">
          <fgColor indexed="64"/>
          <bgColor indexed="65"/>
        </patternFill>
      </fill>
    </dxf>
    <dxf>
      <numFmt numFmtId="14" formatCode="0.00%"/>
      <fill>
        <patternFill patternType="none">
          <bgColor auto="1"/>
        </patternFill>
      </fill>
    </dxf>
    <dxf>
      <numFmt numFmtId="14" formatCode="0.00%"/>
      <fill>
        <patternFill patternType="none">
          <bgColor auto="1"/>
        </patternFill>
      </fill>
    </dxf>
    <dxf>
      <numFmt numFmtId="14" formatCode="0.00%"/>
      <fill>
        <patternFill patternType="none"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4" formatCode="0.00%"/>
      <fill>
        <patternFill patternType="none">
          <fgColor indexed="64"/>
          <bgColor indexed="65"/>
        </patternFill>
      </fill>
    </dxf>
    <dxf>
      <numFmt numFmtId="14" formatCode="0.00%"/>
      <fill>
        <patternFill patternType="none">
          <bgColor auto="1"/>
        </patternFill>
      </fill>
    </dxf>
    <dxf>
      <numFmt numFmtId="14" formatCode="0.00%"/>
      <fill>
        <patternFill patternType="none"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4" formatCode="0.00%"/>
      <fill>
        <patternFill patternType="none">
          <fgColor indexed="64"/>
          <bgColor indexed="65"/>
        </patternFill>
      </fill>
    </dxf>
    <dxf>
      <numFmt numFmtId="14" formatCode="0.00%"/>
      <fill>
        <patternFill patternType="none">
          <bgColor auto="1"/>
        </patternFill>
      </fill>
    </dxf>
    <dxf>
      <numFmt numFmtId="14" formatCode="0.00%"/>
      <fill>
        <patternFill patternType="none">
          <bgColor auto="1"/>
        </patternFill>
      </fill>
    </dxf>
    <dxf>
      <numFmt numFmtId="14" formatCode="0.00%"/>
      <fill>
        <patternFill patternType="none">
          <bgColor auto="1"/>
        </patternFill>
      </fill>
    </dxf>
    <dxf>
      <numFmt numFmtId="14" formatCode="0.00%"/>
      <fill>
        <patternFill patternType="none">
          <bgColor auto="1"/>
        </patternFill>
      </fill>
    </dxf>
    <dxf>
      <numFmt numFmtId="14" formatCode="0.00%"/>
      <fill>
        <patternFill patternType="none">
          <bgColor auto="1"/>
        </patternFill>
      </fill>
    </dxf>
    <dxf>
      <numFmt numFmtId="14" formatCode="0.00%"/>
      <fill>
        <patternFill patternType="none">
          <bgColor auto="1"/>
        </patternFill>
      </fill>
    </dxf>
    <dxf>
      <numFmt numFmtId="14" formatCode="0.00%"/>
      <fill>
        <patternFill patternType="none">
          <bgColor auto="1"/>
        </patternFill>
      </fill>
    </dxf>
    <dxf>
      <numFmt numFmtId="14" formatCode="0.00%"/>
      <fill>
        <patternFill patternType="none">
          <bgColor auto="1"/>
        </patternFill>
      </fill>
    </dxf>
    <dxf>
      <numFmt numFmtId="14" formatCode="0.00%"/>
      <fill>
        <patternFill patternType="none">
          <bgColor auto="1"/>
        </patternFill>
      </fill>
    </dxf>
    <dxf>
      <numFmt numFmtId="14" formatCode="0.00%"/>
      <fill>
        <patternFill patternType="none">
          <bgColor auto="1"/>
        </patternFill>
      </fill>
    </dxf>
    <dxf>
      <numFmt numFmtId="14" formatCode="0.00%"/>
      <fill>
        <patternFill patternType="none">
          <bgColor auto="1"/>
        </patternFill>
      </fill>
    </dxf>
    <dxf>
      <numFmt numFmtId="14" formatCode="0.00%"/>
      <fill>
        <patternFill patternType="none">
          <bgColor auto="1"/>
        </patternFill>
      </fill>
    </dxf>
    <dxf>
      <numFmt numFmtId="14" formatCode="0.00%"/>
      <fill>
        <patternFill patternType="none">
          <bgColor auto="1"/>
        </patternFill>
      </fill>
    </dxf>
    <dxf>
      <numFmt numFmtId="14" formatCode="0.00%"/>
      <fill>
        <patternFill patternType="none">
          <bgColor auto="1"/>
        </patternFill>
      </fill>
    </dxf>
    <dxf>
      <numFmt numFmtId="14" formatCode="0.00%"/>
      <fill>
        <patternFill patternType="none">
          <bgColor auto="1"/>
        </patternFill>
      </fill>
    </dxf>
    <dxf>
      <numFmt numFmtId="14" formatCode="0.00%"/>
      <fill>
        <patternFill patternType="none">
          <bgColor auto="1"/>
        </patternFill>
      </fill>
    </dxf>
    <dxf>
      <numFmt numFmtId="14" formatCode="0.00%"/>
      <fill>
        <patternFill patternType="none">
          <bgColor auto="1"/>
        </patternFill>
      </fill>
    </dxf>
    <dxf>
      <numFmt numFmtId="14" formatCode="0.00%"/>
      <fill>
        <patternFill patternType="none">
          <bgColor auto="1"/>
        </patternFill>
      </fill>
    </dxf>
    <dxf>
      <numFmt numFmtId="14" formatCode="0.00%"/>
      <fill>
        <patternFill patternType="none">
          <bgColor auto="1"/>
        </patternFill>
      </fill>
    </dxf>
    <dxf>
      <numFmt numFmtId="14" formatCode="0.00%"/>
      <fill>
        <patternFill patternType="none">
          <bgColor auto="1"/>
        </patternFill>
      </fill>
    </dxf>
    <dxf>
      <numFmt numFmtId="14" formatCode="0.00%"/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numFmt numFmtId="0" formatCode="General"/>
      <fill>
        <patternFill patternType="none">
          <bgColor auto="1"/>
        </patternFill>
      </fill>
    </dxf>
    <dxf>
      <numFmt numFmtId="0" formatCode="General"/>
      <fill>
        <patternFill patternType="none">
          <bgColor auto="1"/>
        </patternFill>
      </fill>
    </dxf>
    <dxf>
      <numFmt numFmtId="0" formatCode="General"/>
      <fill>
        <patternFill patternType="none">
          <bgColor auto="1"/>
        </patternFill>
      </fill>
    </dxf>
    <dxf>
      <numFmt numFmtId="0" formatCode="General"/>
      <fill>
        <patternFill patternType="none">
          <bgColor auto="1"/>
        </patternFill>
      </fill>
    </dxf>
    <dxf>
      <numFmt numFmtId="0" formatCode="General"/>
      <fill>
        <patternFill patternType="none">
          <bgColor auto="1"/>
        </patternFill>
      </fill>
    </dxf>
    <dxf>
      <numFmt numFmtId="0" formatCode="General"/>
      <fill>
        <patternFill patternType="none">
          <bgColor auto="1"/>
        </patternFill>
      </fill>
    </dxf>
    <dxf>
      <numFmt numFmtId="0" formatCode="General"/>
      <fill>
        <patternFill patternType="none">
          <bgColor auto="1"/>
        </patternFill>
      </fill>
    </dxf>
    <dxf>
      <numFmt numFmtId="0" formatCode="General"/>
      <fill>
        <patternFill patternType="none">
          <bgColor auto="1"/>
        </patternFill>
      </fill>
    </dxf>
    <dxf>
      <numFmt numFmtId="0" formatCode="General"/>
      <fill>
        <patternFill patternType="none">
          <bgColor auto="1"/>
        </patternFill>
      </fill>
    </dxf>
    <dxf>
      <numFmt numFmtId="0" formatCode="General"/>
      <fill>
        <patternFill patternType="none">
          <bgColor auto="1"/>
        </patternFill>
      </fill>
    </dxf>
    <dxf>
      <numFmt numFmtId="0" formatCode="General"/>
      <fill>
        <patternFill patternType="none">
          <bgColor auto="1"/>
        </patternFill>
      </fill>
    </dxf>
    <dxf>
      <numFmt numFmtId="0" formatCode="General"/>
      <fill>
        <patternFill patternType="none">
          <bgColor auto="1"/>
        </patternFill>
      </fill>
    </dxf>
    <dxf>
      <numFmt numFmtId="0" formatCode="General"/>
      <fill>
        <patternFill patternType="none">
          <bgColor auto="1"/>
        </patternFill>
      </fill>
    </dxf>
    <dxf>
      <numFmt numFmtId="0" formatCode="General"/>
      <fill>
        <patternFill patternType="none">
          <bgColor auto="1"/>
        </patternFill>
      </fill>
    </dxf>
    <dxf>
      <numFmt numFmtId="0" formatCode="General"/>
      <fill>
        <patternFill patternType="none">
          <bgColor auto="1"/>
        </patternFill>
      </fill>
    </dxf>
    <dxf>
      <numFmt numFmtId="0" formatCode="General"/>
      <fill>
        <patternFill patternType="none">
          <bgColor auto="1"/>
        </patternFill>
      </fill>
    </dxf>
    <dxf>
      <numFmt numFmtId="0" formatCode="General"/>
      <fill>
        <patternFill patternType="none">
          <bgColor auto="1"/>
        </patternFill>
      </fill>
    </dxf>
    <dxf>
      <numFmt numFmtId="0" formatCode="General"/>
      <fill>
        <patternFill patternType="none">
          <bgColor auto="1"/>
        </patternFill>
      </fill>
    </dxf>
    <dxf>
      <numFmt numFmtId="0" formatCode="General"/>
      <fill>
        <patternFill patternType="none">
          <bgColor auto="1"/>
        </patternFill>
      </fill>
    </dxf>
    <dxf>
      <numFmt numFmtId="0" formatCode="General"/>
      <fill>
        <patternFill patternType="none">
          <bgColor auto="1"/>
        </patternFill>
      </fill>
    </dxf>
    <dxf>
      <numFmt numFmtId="0" formatCode="General"/>
      <fill>
        <patternFill patternType="none">
          <bgColor auto="1"/>
        </patternFill>
      </fill>
    </dxf>
    <dxf>
      <numFmt numFmtId="0" formatCode="General"/>
      <fill>
        <patternFill patternType="none">
          <bgColor auto="1"/>
        </patternFill>
      </fill>
    </dxf>
    <dxf>
      <numFmt numFmtId="0" formatCode="General"/>
      <fill>
        <patternFill patternType="none">
          <bgColor auto="1"/>
        </patternFill>
      </fill>
    </dxf>
    <dxf>
      <numFmt numFmtId="0" formatCode="General"/>
      <fill>
        <patternFill patternType="none">
          <bgColor auto="1"/>
        </patternFill>
      </fill>
    </dxf>
    <dxf>
      <numFmt numFmtId="0" formatCode="General"/>
      <fill>
        <patternFill patternType="none">
          <bgColor auto="1"/>
        </patternFill>
      </fill>
    </dxf>
    <dxf>
      <numFmt numFmtId="0" formatCode="General"/>
      <fill>
        <patternFill patternType="none">
          <bgColor auto="1"/>
        </patternFill>
      </fill>
    </dxf>
    <dxf>
      <numFmt numFmtId="0" formatCode="General"/>
      <fill>
        <patternFill patternType="none">
          <bgColor auto="1"/>
        </patternFill>
      </fill>
    </dxf>
    <dxf>
      <numFmt numFmtId="0" formatCode="General"/>
      <fill>
        <patternFill patternType="none">
          <bgColor auto="1"/>
        </patternFill>
      </fill>
    </dxf>
    <dxf>
      <numFmt numFmtId="0" formatCode="General"/>
      <fill>
        <patternFill patternType="none">
          <bgColor auto="1"/>
        </patternFill>
      </fill>
    </dxf>
    <dxf>
      <numFmt numFmtId="0" formatCode="General"/>
      <fill>
        <patternFill patternType="none">
          <bgColor auto="1"/>
        </patternFill>
      </fill>
    </dxf>
    <dxf>
      <numFmt numFmtId="0" formatCode="General"/>
      <fill>
        <patternFill patternType="none">
          <bgColor auto="1"/>
        </patternFill>
      </fill>
    </dxf>
    <dxf>
      <numFmt numFmtId="0" formatCode="General"/>
      <fill>
        <patternFill patternType="none">
          <bgColor auto="1"/>
        </patternFill>
      </fill>
    </dxf>
    <dxf>
      <numFmt numFmtId="0" formatCode="General"/>
      <fill>
        <patternFill patternType="none">
          <bgColor auto="1"/>
        </patternFill>
      </fill>
    </dxf>
    <dxf>
      <numFmt numFmtId="0" formatCode="General"/>
      <fill>
        <patternFill patternType="none">
          <bgColor auto="1"/>
        </patternFill>
      </fill>
    </dxf>
    <dxf>
      <numFmt numFmtId="0" formatCode="General"/>
      <fill>
        <patternFill patternType="none">
          <bgColor auto="1"/>
        </patternFill>
      </fill>
    </dxf>
    <dxf>
      <numFmt numFmtId="0" formatCode="General"/>
      <fill>
        <patternFill patternType="none">
          <bgColor auto="1"/>
        </patternFill>
      </fill>
    </dxf>
    <dxf>
      <numFmt numFmtId="0" formatCode="General"/>
      <fill>
        <patternFill patternType="none">
          <bgColor auto="1"/>
        </patternFill>
      </fill>
    </dxf>
    <dxf>
      <numFmt numFmtId="0" formatCode="General"/>
      <fill>
        <patternFill patternType="none">
          <bgColor auto="1"/>
        </patternFill>
      </fill>
    </dxf>
    <dxf>
      <numFmt numFmtId="0" formatCode="General"/>
      <fill>
        <patternFill patternType="none">
          <bgColor auto="1"/>
        </patternFill>
      </fill>
    </dxf>
    <dxf>
      <numFmt numFmtId="0" formatCode="General"/>
      <fill>
        <patternFill patternType="none">
          <bgColor auto="1"/>
        </patternFill>
      </fill>
    </dxf>
    <dxf>
      <numFmt numFmtId="0" formatCode="General"/>
      <fill>
        <patternFill patternType="none">
          <bgColor auto="1"/>
        </patternFill>
      </fill>
    </dxf>
    <dxf>
      <numFmt numFmtId="0" formatCode="General"/>
      <fill>
        <patternFill patternType="none">
          <bgColor auto="1"/>
        </patternFill>
      </fill>
    </dxf>
    <dxf>
      <numFmt numFmtId="0" formatCode="General"/>
      <fill>
        <patternFill patternType="none">
          <bgColor auto="1"/>
        </patternFill>
      </fill>
    </dxf>
    <dxf>
      <numFmt numFmtId="0" formatCode="General"/>
      <fill>
        <patternFill patternType="none">
          <bgColor auto="1"/>
        </patternFill>
      </fill>
    </dxf>
    <dxf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9" formatCode="mm/dd/yyyy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numFmt numFmtId="19" formatCode="mm/dd/yyyy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numFmt numFmtId="0" formatCode="General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numFmt numFmtId="0" formatCode="General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numFmt numFmtId="0" formatCode="General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numFmt numFmtId="0" formatCode="General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numFmt numFmtId="0" formatCode="General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numFmt numFmtId="0" formatCode="General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numFmt numFmtId="0" formatCode="General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</border>
    </dxf>
    <dxf>
      <fill>
        <patternFill patternType="none">
          <bgColor auto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theme="5"/>
        </patternFill>
      </fill>
    </dxf>
    <dxf>
      <font>
        <color theme="0"/>
      </font>
    </dxf>
    <dxf>
      <font>
        <color theme="0"/>
      </font>
    </dxf>
    <dxf>
      <fill>
        <patternFill>
          <fgColor auto="1"/>
          <bgColor rgb="FFE84C22"/>
        </patternFill>
      </fill>
    </dxf>
    <dxf>
      <fill>
        <patternFill>
          <bgColor rgb="FFE84C22"/>
        </patternFill>
      </fill>
    </dxf>
  </dxfs>
  <tableStyles count="5" defaultTableStyle="TableStyleMedium2" defaultPivotStyle="PivotStyleLight16">
    <tableStyle name="+Móvil" pivot="0" table="0" count="2" xr9:uid="{7F21928C-0630-4F4F-813A-4F1EE2F81C90}">
      <tableStyleElement type="wholeTable" dxfId="8163"/>
      <tableStyleElement type="headerRow" dxfId="8162"/>
    </tableStyle>
    <tableStyle name="Estilo de segmentación de datos 1" pivot="0" table="0" count="1" xr9:uid="{D74D1286-C461-4DCE-B0FA-290EC36F4117}">
      <tableStyleElement type="wholeTable" dxfId="8161"/>
    </tableStyle>
    <tableStyle name="Estilo de segmentación de datos 2" pivot="0" table="0" count="1" xr9:uid="{CC714E98-C001-4B86-A86E-67BFE7EAECF0}">
      <tableStyleElement type="wholeTable" dxfId="8160"/>
    </tableStyle>
    <tableStyle name="Estilo de segmentación de datos 3" pivot="0" table="0" count="2" xr9:uid="{24CDD3D1-83FA-4FAF-9A83-0FAE60BE3DFE}"/>
    <tableStyle name="Invisible" pivot="0" table="0" count="0" xr9:uid="{415CE54D-96AB-4ACC-9B8C-786F7019E2BF}"/>
  </tableStyles>
  <colors>
    <mruColors>
      <color rgb="FF33CC33"/>
      <color rgb="FFE94C22"/>
      <color rgb="FFE84C22"/>
      <color rgb="FFFF6600"/>
    </mruColors>
  </colors>
  <extLst>
    <ext xmlns:x14="http://schemas.microsoft.com/office/spreadsheetml/2009/9/main" uri="{46F421CA-312F-682f-3DD2-61675219B42D}">
      <x14:dxfs count="2">
        <dxf>
          <font>
            <color theme="0"/>
          </font>
        </dxf>
        <dxf>
          <font>
            <color theme="0"/>
          </font>
        </dxf>
      </x14:dxfs>
    </ext>
    <ext xmlns:x14="http://schemas.microsoft.com/office/spreadsheetml/2009/9/main" uri="{EB79DEF2-80B8-43e5-95BD-54CBDDF9020C}">
      <x14:slicerStyles defaultSlicerStyle="SlicerStyleLight1">
        <x14:slicerStyle name="+Móvil"/>
        <x14:slicerStyle name="Estilo de segmentación de datos 1"/>
        <x14:slicerStyle name="Estilo de segmentación de datos 2"/>
        <x14:slicerStyle name="Estilo de segmentación de datos 3">
          <x14:slicerStyleElements>
            <x14:slicerStyleElement type="selectedItemWithData" dxfId="1"/>
            <x14:slicerStyleElement type="selectedItemWithNoData" dxfId="0"/>
          </x14:slicerStyleElements>
        </x14:slicerStyle>
      </x14:slicerStyles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7/relationships/slicerCache" Target="slicerCaches/slicerCache1.xml"/><Relationship Id="rId18" Type="http://schemas.microsoft.com/office/2007/relationships/slicerCache" Target="slicerCaches/slicerCache6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1.xml"/><Relationship Id="rId17" Type="http://schemas.microsoft.com/office/2007/relationships/slicerCache" Target="slicerCaches/slicerCache5.xml"/><Relationship Id="rId25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microsoft.com/office/2007/relationships/slicerCache" Target="slicerCaches/slicerCache4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5" Type="http://schemas.microsoft.com/office/2007/relationships/slicerCache" Target="slicerCaches/slicerCache3.xml"/><Relationship Id="rId23" Type="http://schemas.openxmlformats.org/officeDocument/2006/relationships/customXml" Target="../customXml/item1.xml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7/relationships/slicerCache" Target="slicerCaches/slicerCache2.xml"/><Relationship Id="rId22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5"/>
    </mc:Choice>
    <mc:Fallback>
      <c:style val="5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PA"/>
              <a:t>Precisión de Error No Crítico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PA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Graficos!$L$9</c:f>
              <c:strCache>
                <c:ptCount val="1"/>
                <c:pt idx="0">
                  <c:v>PENC</c:v>
                </c:pt>
              </c:strCache>
            </c:strRef>
          </c:tx>
          <c:spPr>
            <a:solidFill>
              <a:srgbClr val="E94C2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s-PA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Graficos!$M$8:$P$8</c:f>
              <c:numCache>
                <c:formatCode>General</c:formatCode>
                <c:ptCount val="4"/>
                <c:pt idx="0" formatCode="mmm\-yy">
                  <c:v>46174</c:v>
                </c:pt>
              </c:numCache>
            </c:numRef>
          </c:cat>
          <c:val>
            <c:numRef>
              <c:f>Graficos!$M$9:$P$9</c:f>
              <c:numCache>
                <c:formatCode>0%</c:formatCode>
                <c:ptCount val="4"/>
                <c:pt idx="0">
                  <c:v>0.98181818181818181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BA7-49F7-ACE6-05EB5E578C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69909103"/>
        <c:axId val="469903695"/>
        <c:extLst>
          <c:ext xmlns:c15="http://schemas.microsoft.com/office/drawing/2012/chart" uri="{02D57815-91ED-43cb-92C2-25804820EDAC}">
            <c15:filteredBarSeries>
              <c15:ser>
                <c:idx val="1"/>
                <c:order val="1"/>
                <c:tx>
                  <c:strRef>
                    <c:extLst>
                      <c:ext uri="{02D57815-91ED-43cb-92C2-25804820EDAC}">
                        <c15:formulaRef>
                          <c15:sqref>Graficos!$L$10</c15:sqref>
                        </c15:formulaRef>
                      </c:ext>
                    </c:extLst>
                    <c:strCache>
                      <c:ptCount val="1"/>
                      <c:pt idx="0">
                        <c:v> PECUF</c:v>
                      </c:pt>
                    </c:strCache>
                  </c:strRef>
                </c:tx>
                <c:spPr>
                  <a:solidFill>
                    <a:schemeClr val="accent3">
                      <a:tint val="77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Graficos!$M$8:$P$8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 formatCode="mmm\-yy">
                        <c:v>46174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Graficos!$M$10:$P$10</c15:sqref>
                        </c15:formulaRef>
                      </c:ext>
                    </c:extLst>
                    <c:numCache>
                      <c:formatCode>0%</c:formatCode>
                      <c:ptCount val="4"/>
                      <c:pt idx="0">
                        <c:v>0.75757575757575757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2-2BA7-49F7-ACE6-05EB5E578C59}"/>
                  </c:ext>
                </c:extLst>
              </c15:ser>
            </c15:filteredBarSeries>
          </c:ext>
        </c:extLst>
      </c:barChart>
      <c:lineChart>
        <c:grouping val="standard"/>
        <c:varyColors val="0"/>
        <c:ser>
          <c:idx val="4"/>
          <c:order val="4"/>
          <c:tx>
            <c:strRef>
              <c:f>Graficos!$L$13</c:f>
              <c:strCache>
                <c:ptCount val="1"/>
                <c:pt idx="0">
                  <c:v>Score calidad </c:v>
                </c:pt>
              </c:strCache>
              <c:extLst xmlns:c15="http://schemas.microsoft.com/office/drawing/2012/chart"/>
            </c:strRef>
          </c:tx>
          <c:spPr>
            <a:ln w="28575" cap="rnd">
              <a:solidFill>
                <a:schemeClr val="accent3">
                  <a:shade val="53000"/>
                </a:schemeClr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PA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5="http://schemas.microsoft.com/office/drawing/2012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Graficos!$M$8:$P$8</c:f>
              <c:numCache>
                <c:formatCode>General</c:formatCode>
                <c:ptCount val="4"/>
                <c:pt idx="0" formatCode="mmm\-yy">
                  <c:v>46174</c:v>
                </c:pt>
              </c:numCache>
              <c:extLst xmlns:c15="http://schemas.microsoft.com/office/drawing/2012/chart"/>
            </c:numRef>
          </c:cat>
          <c:val>
            <c:numRef>
              <c:f>Graficos!$M$13:$P$13</c:f>
              <c:numCache>
                <c:formatCode>0.0%</c:formatCode>
                <c:ptCount val="4"/>
                <c:pt idx="0" formatCode="0%">
                  <c:v>0.71636363636363587</c:v>
                </c:pt>
              </c:numCache>
              <c:extLst xmlns:c15="http://schemas.microsoft.com/office/drawing/2012/chart"/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2BA7-49F7-ACE6-05EB5E578C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9894543"/>
        <c:axId val="469903279"/>
        <c:extLst>
          <c:ext xmlns:c15="http://schemas.microsoft.com/office/drawing/2012/chart" uri="{02D57815-91ED-43cb-92C2-25804820EDAC}">
            <c15:filteredLineSeries>
              <c15:ser>
                <c:idx val="2"/>
                <c:order val="2"/>
                <c:tx>
                  <c:strRef>
                    <c:extLst>
                      <c:ext uri="{02D57815-91ED-43cb-92C2-25804820EDAC}">
                        <c15:formulaRef>
                          <c15:sqref>Graficos!$L$11</c15:sqref>
                        </c15:formulaRef>
                      </c:ext>
                    </c:extLst>
                    <c:strCache>
                      <c:ptCount val="1"/>
                      <c:pt idx="0">
                        <c:v> PECNE</c:v>
                      </c:pt>
                    </c:strCache>
                  </c:strRef>
                </c:tx>
                <c:spPr>
                  <a:ln w="28575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>
                      <c:ext uri="{02D57815-91ED-43cb-92C2-25804820EDAC}">
                        <c15:formulaRef>
                          <c15:sqref>Graficos!$M$8:$P$8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 formatCode="mmm\-yy">
                        <c:v>46174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Graficos!$M$11:$P$11</c15:sqref>
                        </c15:formulaRef>
                      </c:ext>
                    </c:extLst>
                    <c:numCache>
                      <c:formatCode>0%</c:formatCode>
                      <c:ptCount val="4"/>
                      <c:pt idx="0">
                        <c:v>0.30303030303030304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3-2BA7-49F7-ACE6-05EB5E578C59}"/>
                  </c:ext>
                </c:extLst>
              </c15:ser>
            </c15:filteredLineSeries>
            <c15:filteredLineSeries>
              <c15:ser>
                <c:idx val="3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Graficos!$L$12</c15:sqref>
                        </c15:formulaRef>
                      </c:ext>
                    </c:extLst>
                    <c:strCache>
                      <c:ptCount val="1"/>
                      <c:pt idx="0">
                        <c:v> PECCUM</c:v>
                      </c:pt>
                    </c:strCache>
                  </c:strRef>
                </c:tx>
                <c:spPr>
                  <a:ln w="28575" cap="rnd">
                    <a:solidFill>
                      <a:schemeClr val="accent3">
                        <a:shade val="76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Graficos!$M$8:$P$8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 formatCode="mmm\-yy">
                        <c:v>46174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Graficos!$M$12:$P$12</c15:sqref>
                        </c15:formulaRef>
                      </c:ext>
                    </c:extLst>
                    <c:numCache>
                      <c:formatCode>0%</c:formatCode>
                      <c:ptCount val="4"/>
                      <c:pt idx="0">
                        <c:v>1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4-2BA7-49F7-ACE6-05EB5E578C59}"/>
                  </c:ext>
                </c:extLst>
              </c15:ser>
            </c15:filteredLineSeries>
          </c:ext>
        </c:extLst>
      </c:lineChart>
      <c:dateAx>
        <c:axId val="469909103"/>
        <c:scaling>
          <c:orientation val="minMax"/>
        </c:scaling>
        <c:delete val="0"/>
        <c:axPos val="b"/>
        <c:numFmt formatCode="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A"/>
          </a:p>
        </c:txPr>
        <c:crossAx val="469903695"/>
        <c:crosses val="autoZero"/>
        <c:auto val="1"/>
        <c:lblOffset val="100"/>
        <c:baseTimeUnit val="days"/>
      </c:dateAx>
      <c:valAx>
        <c:axId val="469903695"/>
        <c:scaling>
          <c:orientation val="minMax"/>
        </c:scaling>
        <c:delete val="0"/>
        <c:axPos val="l"/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A"/>
          </a:p>
        </c:txPr>
        <c:crossAx val="469909103"/>
        <c:crosses val="autoZero"/>
        <c:crossBetween val="between"/>
      </c:valAx>
      <c:valAx>
        <c:axId val="469903279"/>
        <c:scaling>
          <c:orientation val="minMax"/>
        </c:scaling>
        <c:delete val="0"/>
        <c:axPos val="r"/>
        <c:numFmt formatCode="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A"/>
          </a:p>
        </c:txPr>
        <c:crossAx val="469894543"/>
        <c:crosses val="max"/>
        <c:crossBetween val="between"/>
      </c:valAx>
      <c:dateAx>
        <c:axId val="469894543"/>
        <c:scaling>
          <c:orientation val="minMax"/>
        </c:scaling>
        <c:delete val="1"/>
        <c:axPos val="b"/>
        <c:numFmt formatCode="mmm\-yy" sourceLinked="1"/>
        <c:majorTickMark val="out"/>
        <c:minorTickMark val="none"/>
        <c:tickLblPos val="nextTo"/>
        <c:crossAx val="469903279"/>
        <c:crosses val="autoZero"/>
        <c:auto val="1"/>
        <c:lblOffset val="100"/>
        <c:baseTimeUnit val="days"/>
      </c:date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PA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b="1"/>
      </a:pPr>
      <a:endParaRPr lang="es-PA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5"/>
    </mc:Choice>
    <mc:Fallback>
      <c:style val="5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PA"/>
              <a:t>Precisión de Error Crítico Usuario Final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PA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1"/>
          <c:tx>
            <c:strRef>
              <c:f>Graficos!$L$10</c:f>
              <c:strCache>
                <c:ptCount val="1"/>
                <c:pt idx="0">
                  <c:v> PECUF</c:v>
                </c:pt>
              </c:strCache>
              <c:extLst xmlns:c15="http://schemas.microsoft.com/office/drawing/2012/chart"/>
            </c:strRef>
          </c:tx>
          <c:spPr>
            <a:solidFill>
              <a:srgbClr val="E94C2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s-PA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Graficos!$M$8:$P$8</c:f>
              <c:numCache>
                <c:formatCode>General</c:formatCode>
                <c:ptCount val="4"/>
                <c:pt idx="0" formatCode="mmm\-yy">
                  <c:v>46174</c:v>
                </c:pt>
              </c:numCache>
            </c:numRef>
          </c:cat>
          <c:val>
            <c:numRef>
              <c:f>Graficos!$M$10:$P$10</c:f>
              <c:numCache>
                <c:formatCode>0%</c:formatCode>
                <c:ptCount val="4"/>
                <c:pt idx="0">
                  <c:v>0.75757575757575757</c:v>
                </c:pt>
              </c:numCache>
              <c:extLst xmlns:c15="http://schemas.microsoft.com/office/drawing/2012/chart"/>
            </c:numRef>
          </c:val>
          <c:extLst>
            <c:ext xmlns:c16="http://schemas.microsoft.com/office/drawing/2014/chart" uri="{C3380CC4-5D6E-409C-BE32-E72D297353CC}">
              <c16:uniqueId val="{00000000-0845-48C9-A592-0E53523BA7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69909103"/>
        <c:axId val="469903695"/>
        <c:extLst>
          <c:ext xmlns:c15="http://schemas.microsoft.com/office/drawing/2012/chart" uri="{02D57815-91ED-43cb-92C2-25804820EDAC}">
            <c15:filteredBa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Graficos!$L$9</c15:sqref>
                        </c15:formulaRef>
                      </c:ext>
                    </c:extLst>
                    <c:strCache>
                      <c:ptCount val="1"/>
                      <c:pt idx="0">
                        <c:v>PENC</c:v>
                      </c:pt>
                    </c:strCache>
                  </c:strRef>
                </c:tx>
                <c:spPr>
                  <a:solidFill>
                    <a:schemeClr val="accent3">
                      <a:tint val="54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dLbls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900" b="1" i="0" u="none" strike="noStrike" kern="1200" baseline="0"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es-PA"/>
                    </a:p>
                  </c:txPr>
                  <c:dLblPos val="inBase"/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0"/>
                  <c:extLst>
                    <c:ext uri="{CE6537A1-D6FC-4f65-9D91-7224C49458BB}">
                      <c15:showLeaderLines val="1"/>
                      <c15:leaderLines>
                        <c:spPr>
                          <a:ln w="9525" cap="flat" cmpd="sng" algn="ctr">
                            <a:solidFill>
                              <a:schemeClr val="tx1">
                                <a:lumMod val="35000"/>
                                <a:lumOff val="65000"/>
                              </a:schemeClr>
                            </a:solidFill>
                            <a:round/>
                          </a:ln>
                          <a:effectLst/>
                        </c:spPr>
                      </c15:leaderLines>
                    </c:ext>
                  </c:extLst>
                </c:dLbls>
                <c:cat>
                  <c:numRef>
                    <c:extLst>
                      <c:ext uri="{02D57815-91ED-43cb-92C2-25804820EDAC}">
                        <c15:formulaRef>
                          <c15:sqref>Graficos!$M$8:$P$8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 formatCode="mmm\-yy">
                        <c:v>46174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Graficos!$M$9:$P$9</c15:sqref>
                        </c15:formulaRef>
                      </c:ext>
                    </c:extLst>
                    <c:numCache>
                      <c:formatCode>0%</c:formatCode>
                      <c:ptCount val="4"/>
                      <c:pt idx="0">
                        <c:v>0.98181818181818181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2-0845-48C9-A592-0E53523BA787}"/>
                  </c:ext>
                </c:extLst>
              </c15:ser>
            </c15:filteredBarSeries>
          </c:ext>
        </c:extLst>
      </c:barChart>
      <c:lineChart>
        <c:grouping val="standard"/>
        <c:varyColors val="0"/>
        <c:ser>
          <c:idx val="4"/>
          <c:order val="4"/>
          <c:tx>
            <c:strRef>
              <c:f>Graficos!$L$13</c:f>
              <c:strCache>
                <c:ptCount val="1"/>
                <c:pt idx="0">
                  <c:v>Score calidad </c:v>
                </c:pt>
              </c:strCache>
            </c:strRef>
          </c:tx>
          <c:spPr>
            <a:ln w="28575" cap="rnd">
              <a:solidFill>
                <a:schemeClr val="accent3">
                  <a:shade val="53000"/>
                </a:schemeClr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PA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Graficos!$M$8:$P$8</c:f>
              <c:numCache>
                <c:formatCode>General</c:formatCode>
                <c:ptCount val="4"/>
                <c:pt idx="0" formatCode="mmm\-yy">
                  <c:v>46174</c:v>
                </c:pt>
              </c:numCache>
            </c:numRef>
          </c:cat>
          <c:val>
            <c:numRef>
              <c:f>Graficos!$M$13:$P$13</c:f>
              <c:numCache>
                <c:formatCode>0.0%</c:formatCode>
                <c:ptCount val="4"/>
                <c:pt idx="0" formatCode="0%">
                  <c:v>0.71636363636363587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845-48C9-A592-0E53523BA7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9894543"/>
        <c:axId val="469903279"/>
        <c:extLst>
          <c:ext xmlns:c15="http://schemas.microsoft.com/office/drawing/2012/chart" uri="{02D57815-91ED-43cb-92C2-25804820EDAC}">
            <c15:filteredLineSeries>
              <c15:ser>
                <c:idx val="2"/>
                <c:order val="2"/>
                <c:tx>
                  <c:strRef>
                    <c:extLst>
                      <c:ext uri="{02D57815-91ED-43cb-92C2-25804820EDAC}">
                        <c15:formulaRef>
                          <c15:sqref>Graficos!$L$11</c15:sqref>
                        </c15:formulaRef>
                      </c:ext>
                    </c:extLst>
                    <c:strCache>
                      <c:ptCount val="1"/>
                      <c:pt idx="0">
                        <c:v> PECNE</c:v>
                      </c:pt>
                    </c:strCache>
                  </c:strRef>
                </c:tx>
                <c:spPr>
                  <a:ln w="28575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>
                      <c:ext uri="{02D57815-91ED-43cb-92C2-25804820EDAC}">
                        <c15:formulaRef>
                          <c15:sqref>Graficos!$M$8:$P$8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 formatCode="mmm\-yy">
                        <c:v>46174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Graficos!$M$11:$P$11</c15:sqref>
                        </c15:formulaRef>
                      </c:ext>
                    </c:extLst>
                    <c:numCache>
                      <c:formatCode>0%</c:formatCode>
                      <c:ptCount val="4"/>
                      <c:pt idx="0">
                        <c:v>0.30303030303030304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3-0845-48C9-A592-0E53523BA787}"/>
                  </c:ext>
                </c:extLst>
              </c15:ser>
            </c15:filteredLineSeries>
            <c15:filteredLineSeries>
              <c15:ser>
                <c:idx val="3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Graficos!$L$12</c15:sqref>
                        </c15:formulaRef>
                      </c:ext>
                    </c:extLst>
                    <c:strCache>
                      <c:ptCount val="1"/>
                      <c:pt idx="0">
                        <c:v> PECCUM</c:v>
                      </c:pt>
                    </c:strCache>
                  </c:strRef>
                </c:tx>
                <c:spPr>
                  <a:ln w="28575" cap="rnd">
                    <a:solidFill>
                      <a:schemeClr val="accent3">
                        <a:shade val="76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Graficos!$M$8:$P$8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 formatCode="mmm\-yy">
                        <c:v>46174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Graficos!$M$12:$P$12</c15:sqref>
                        </c15:formulaRef>
                      </c:ext>
                    </c:extLst>
                    <c:numCache>
                      <c:formatCode>0%</c:formatCode>
                      <c:ptCount val="4"/>
                      <c:pt idx="0">
                        <c:v>1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4-0845-48C9-A592-0E53523BA787}"/>
                  </c:ext>
                </c:extLst>
              </c15:ser>
            </c15:filteredLineSeries>
          </c:ext>
        </c:extLst>
      </c:lineChart>
      <c:dateAx>
        <c:axId val="469909103"/>
        <c:scaling>
          <c:orientation val="minMax"/>
        </c:scaling>
        <c:delete val="0"/>
        <c:axPos val="b"/>
        <c:numFmt formatCode="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A"/>
          </a:p>
        </c:txPr>
        <c:crossAx val="469903695"/>
        <c:crosses val="autoZero"/>
        <c:auto val="1"/>
        <c:lblOffset val="100"/>
        <c:baseTimeUnit val="days"/>
      </c:dateAx>
      <c:valAx>
        <c:axId val="469903695"/>
        <c:scaling>
          <c:orientation val="minMax"/>
        </c:scaling>
        <c:delete val="0"/>
        <c:axPos val="l"/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A"/>
          </a:p>
        </c:txPr>
        <c:crossAx val="469909103"/>
        <c:crosses val="autoZero"/>
        <c:crossBetween val="between"/>
      </c:valAx>
      <c:valAx>
        <c:axId val="469903279"/>
        <c:scaling>
          <c:orientation val="minMax"/>
        </c:scaling>
        <c:delete val="0"/>
        <c:axPos val="r"/>
        <c:numFmt formatCode="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A"/>
          </a:p>
        </c:txPr>
        <c:crossAx val="469894543"/>
        <c:crosses val="max"/>
        <c:crossBetween val="between"/>
      </c:valAx>
      <c:dateAx>
        <c:axId val="469894543"/>
        <c:scaling>
          <c:orientation val="minMax"/>
        </c:scaling>
        <c:delete val="1"/>
        <c:axPos val="b"/>
        <c:numFmt formatCode="mmm\-yy" sourceLinked="1"/>
        <c:majorTickMark val="out"/>
        <c:minorTickMark val="none"/>
        <c:tickLblPos val="nextTo"/>
        <c:crossAx val="469903279"/>
        <c:crosses val="autoZero"/>
        <c:auto val="1"/>
        <c:lblOffset val="100"/>
        <c:baseTimeUnit val="days"/>
      </c:date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PA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b="1"/>
      </a:pPr>
      <a:endParaRPr lang="es-PA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5"/>
    </mc:Choice>
    <mc:Fallback>
      <c:style val="5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PA"/>
              <a:t>Precisión de Error Crítico Negocio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PA"/>
        </a:p>
      </c:txPr>
    </c:title>
    <c:autoTitleDeleted val="0"/>
    <c:plotArea>
      <c:layout/>
      <c:barChart>
        <c:barDir val="col"/>
        <c:grouping val="clustered"/>
        <c:varyColors val="0"/>
        <c:ser>
          <c:idx val="2"/>
          <c:order val="2"/>
          <c:tx>
            <c:strRef>
              <c:f>Graficos!$L$11</c:f>
              <c:strCache>
                <c:ptCount val="1"/>
                <c:pt idx="0">
                  <c:v> PECNE</c:v>
                </c:pt>
              </c:strCache>
              <c:extLst xmlns:c15="http://schemas.microsoft.com/office/drawing/2012/chart"/>
            </c:strRef>
          </c:tx>
          <c:spPr>
            <a:solidFill>
              <a:srgbClr val="E94C2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s-PA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Graficos!$M$8:$P$8</c:f>
              <c:numCache>
                <c:formatCode>General</c:formatCode>
                <c:ptCount val="4"/>
                <c:pt idx="0" formatCode="mmm\-yy">
                  <c:v>46174</c:v>
                </c:pt>
              </c:numCache>
            </c:numRef>
          </c:cat>
          <c:val>
            <c:numRef>
              <c:f>Graficos!$M$11:$P$11</c:f>
              <c:numCache>
                <c:formatCode>0%</c:formatCode>
                <c:ptCount val="4"/>
                <c:pt idx="0">
                  <c:v>0.30303030303030304</c:v>
                </c:pt>
              </c:numCache>
              <c:extLst xmlns:c15="http://schemas.microsoft.com/office/drawing/2012/chart"/>
            </c:numRef>
          </c:val>
          <c:extLst>
            <c:ext xmlns:c16="http://schemas.microsoft.com/office/drawing/2014/chart" uri="{C3380CC4-5D6E-409C-BE32-E72D297353CC}">
              <c16:uniqueId val="{00000000-1DDA-489B-ABD5-55AA10D3DD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469909103"/>
        <c:axId val="469903695"/>
        <c:extLst>
          <c:ext xmlns:c15="http://schemas.microsoft.com/office/drawing/2012/chart" uri="{02D57815-91ED-43cb-92C2-25804820EDAC}">
            <c15:filteredBa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Graficos!$L$9</c15:sqref>
                        </c15:formulaRef>
                      </c:ext>
                    </c:extLst>
                    <c:strCache>
                      <c:ptCount val="1"/>
                      <c:pt idx="0">
                        <c:v>PENC</c:v>
                      </c:pt>
                    </c:strCache>
                  </c:strRef>
                </c:tx>
                <c:spPr>
                  <a:solidFill>
                    <a:schemeClr val="accent3">
                      <a:tint val="54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dLbls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900" b="1" i="0" u="none" strike="noStrike" kern="1200" baseline="0"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es-PA"/>
                    </a:p>
                  </c:txPr>
                  <c:dLblPos val="inBase"/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0"/>
                  <c:extLst>
                    <c:ext uri="{CE6537A1-D6FC-4f65-9D91-7224C49458BB}">
                      <c15:showLeaderLines val="1"/>
                      <c15:leaderLines>
                        <c:spPr>
                          <a:ln w="9525" cap="flat" cmpd="sng" algn="ctr">
                            <a:solidFill>
                              <a:schemeClr val="tx1">
                                <a:lumMod val="35000"/>
                                <a:lumOff val="65000"/>
                              </a:schemeClr>
                            </a:solidFill>
                            <a:round/>
                          </a:ln>
                          <a:effectLst/>
                        </c:spPr>
                      </c15:leaderLines>
                    </c:ext>
                  </c:extLst>
                </c:dLbls>
                <c:cat>
                  <c:numRef>
                    <c:extLst>
                      <c:ext uri="{02D57815-91ED-43cb-92C2-25804820EDAC}">
                        <c15:formulaRef>
                          <c15:sqref>Graficos!$M$8:$P$8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 formatCode="mmm\-yy">
                        <c:v>46174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Graficos!$M$9:$P$9</c15:sqref>
                        </c15:formulaRef>
                      </c:ext>
                    </c:extLst>
                    <c:numCache>
                      <c:formatCode>0%</c:formatCode>
                      <c:ptCount val="4"/>
                      <c:pt idx="0">
                        <c:v>0.98181818181818181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2-1DDA-489B-ABD5-55AA10D3DD70}"/>
                  </c:ext>
                </c:extLst>
              </c15:ser>
            </c15:filteredBarSeries>
            <c15:filteredBarSeries>
              <c15:ser>
                <c:idx val="1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Graficos!$L$10</c15:sqref>
                        </c15:formulaRef>
                      </c:ext>
                    </c:extLst>
                    <c:strCache>
                      <c:ptCount val="1"/>
                      <c:pt idx="0">
                        <c:v> PECUF</c:v>
                      </c:pt>
                    </c:strCache>
                  </c:strRef>
                </c:tx>
                <c:spPr>
                  <a:solidFill>
                    <a:schemeClr val="accent3">
                      <a:tint val="77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Graficos!$M$8:$P$8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 formatCode="mmm\-yy">
                        <c:v>46174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Graficos!$M$10:$P$10</c15:sqref>
                        </c15:formulaRef>
                      </c:ext>
                    </c:extLst>
                    <c:numCache>
                      <c:formatCode>0%</c:formatCode>
                      <c:ptCount val="4"/>
                      <c:pt idx="0">
                        <c:v>0.75757575757575757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3-1DDA-489B-ABD5-55AA10D3DD70}"/>
                  </c:ext>
                </c:extLst>
              </c15:ser>
            </c15:filteredBarSeries>
            <c15:filteredBarSeries>
              <c15:ser>
                <c:idx val="3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Graficos!$L$12</c15:sqref>
                        </c15:formulaRef>
                      </c:ext>
                    </c:extLst>
                    <c:strCache>
                      <c:ptCount val="1"/>
                      <c:pt idx="0">
                        <c:v> PECCUM</c:v>
                      </c:pt>
                    </c:strCache>
                  </c:strRef>
                </c:tx>
                <c:spPr>
                  <a:solidFill>
                    <a:schemeClr val="accent3">
                      <a:shade val="76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Graficos!$M$8:$P$8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 formatCode="mmm\-yy">
                        <c:v>46174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Graficos!$M$12:$P$12</c15:sqref>
                        </c15:formulaRef>
                      </c:ext>
                    </c:extLst>
                    <c:numCache>
                      <c:formatCode>0%</c:formatCode>
                      <c:ptCount val="4"/>
                      <c:pt idx="0">
                        <c:v>1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4-1DDA-489B-ABD5-55AA10D3DD70}"/>
                  </c:ext>
                </c:extLst>
              </c15:ser>
            </c15:filteredBarSeries>
          </c:ext>
        </c:extLst>
      </c:barChart>
      <c:lineChart>
        <c:grouping val="standard"/>
        <c:varyColors val="0"/>
        <c:ser>
          <c:idx val="4"/>
          <c:order val="4"/>
          <c:tx>
            <c:strRef>
              <c:f>Graficos!$L$13</c:f>
              <c:strCache>
                <c:ptCount val="1"/>
                <c:pt idx="0">
                  <c:v>Score calidad </c:v>
                </c:pt>
              </c:strCache>
            </c:strRef>
          </c:tx>
          <c:spPr>
            <a:ln w="28575" cap="rnd">
              <a:solidFill>
                <a:schemeClr val="accent3">
                  <a:shade val="53000"/>
                </a:schemeClr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PA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Graficos!$M$8:$P$8</c:f>
              <c:numCache>
                <c:formatCode>General</c:formatCode>
                <c:ptCount val="4"/>
                <c:pt idx="0" formatCode="mmm\-yy">
                  <c:v>46174</c:v>
                </c:pt>
              </c:numCache>
            </c:numRef>
          </c:cat>
          <c:val>
            <c:numRef>
              <c:f>Graficos!$M$13:$P$13</c:f>
              <c:numCache>
                <c:formatCode>0.0%</c:formatCode>
                <c:ptCount val="4"/>
                <c:pt idx="0" formatCode="0%">
                  <c:v>0.71636363636363587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DDA-489B-ABD5-55AA10D3DD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51154159"/>
        <c:axId val="551157487"/>
      </c:lineChart>
      <c:dateAx>
        <c:axId val="469909103"/>
        <c:scaling>
          <c:orientation val="minMax"/>
        </c:scaling>
        <c:delete val="0"/>
        <c:axPos val="b"/>
        <c:numFmt formatCode="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A"/>
          </a:p>
        </c:txPr>
        <c:crossAx val="469903695"/>
        <c:crosses val="autoZero"/>
        <c:auto val="1"/>
        <c:lblOffset val="100"/>
        <c:baseTimeUnit val="days"/>
      </c:dateAx>
      <c:valAx>
        <c:axId val="469903695"/>
        <c:scaling>
          <c:orientation val="minMax"/>
        </c:scaling>
        <c:delete val="0"/>
        <c:axPos val="l"/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A"/>
          </a:p>
        </c:txPr>
        <c:crossAx val="469909103"/>
        <c:crosses val="autoZero"/>
        <c:crossBetween val="between"/>
      </c:valAx>
      <c:valAx>
        <c:axId val="551157487"/>
        <c:scaling>
          <c:orientation val="minMax"/>
        </c:scaling>
        <c:delete val="0"/>
        <c:axPos val="r"/>
        <c:numFmt formatCode="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A"/>
          </a:p>
        </c:txPr>
        <c:crossAx val="551154159"/>
        <c:crosses val="max"/>
        <c:crossBetween val="between"/>
      </c:valAx>
      <c:dateAx>
        <c:axId val="551154159"/>
        <c:scaling>
          <c:orientation val="minMax"/>
        </c:scaling>
        <c:delete val="1"/>
        <c:axPos val="b"/>
        <c:numFmt formatCode="mmm\-yy" sourceLinked="1"/>
        <c:majorTickMark val="out"/>
        <c:minorTickMark val="none"/>
        <c:tickLblPos val="nextTo"/>
        <c:crossAx val="551157487"/>
        <c:crosses val="autoZero"/>
        <c:auto val="1"/>
        <c:lblOffset val="100"/>
        <c:baseTimeUnit val="days"/>
      </c:date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PA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b="1"/>
      </a:pPr>
      <a:endParaRPr lang="es-PA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5"/>
    </mc:Choice>
    <mc:Fallback>
      <c:style val="5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PA"/>
              <a:t>Precisión de Error Crítico Cumplimiento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PA"/>
        </a:p>
      </c:txPr>
    </c:title>
    <c:autoTitleDeleted val="0"/>
    <c:plotArea>
      <c:layout/>
      <c:barChart>
        <c:barDir val="col"/>
        <c:grouping val="clustered"/>
        <c:varyColors val="0"/>
        <c:ser>
          <c:idx val="3"/>
          <c:order val="3"/>
          <c:tx>
            <c:strRef>
              <c:f>Graficos!$L$12</c:f>
              <c:strCache>
                <c:ptCount val="1"/>
                <c:pt idx="0">
                  <c:v> PECCUM</c:v>
                </c:pt>
              </c:strCache>
              <c:extLst xmlns:c15="http://schemas.microsoft.com/office/drawing/2012/chart"/>
            </c:strRef>
          </c:tx>
          <c:spPr>
            <a:solidFill>
              <a:srgbClr val="E94C2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s-PA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Graficos!$M$8:$P$8</c:f>
              <c:numCache>
                <c:formatCode>General</c:formatCode>
                <c:ptCount val="4"/>
                <c:pt idx="0" formatCode="mmm\-yy">
                  <c:v>46174</c:v>
                </c:pt>
              </c:numCache>
            </c:numRef>
          </c:cat>
          <c:val>
            <c:numRef>
              <c:f>Graficos!$M$12:$P$12</c:f>
              <c:numCache>
                <c:formatCode>0%</c:formatCode>
                <c:ptCount val="4"/>
                <c:pt idx="0">
                  <c:v>1</c:v>
                </c:pt>
              </c:numCache>
              <c:extLst xmlns:c15="http://schemas.microsoft.com/office/drawing/2012/chart"/>
            </c:numRef>
          </c:val>
          <c:extLst>
            <c:ext xmlns:c16="http://schemas.microsoft.com/office/drawing/2014/chart" uri="{C3380CC4-5D6E-409C-BE32-E72D297353CC}">
              <c16:uniqueId val="{00000000-6940-4545-80EB-7F013FE40E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469909103"/>
        <c:axId val="469903695"/>
        <c:extLst>
          <c:ext xmlns:c15="http://schemas.microsoft.com/office/drawing/2012/chart" uri="{02D57815-91ED-43cb-92C2-25804820EDAC}">
            <c15:filteredBa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Graficos!$L$9</c15:sqref>
                        </c15:formulaRef>
                      </c:ext>
                    </c:extLst>
                    <c:strCache>
                      <c:ptCount val="1"/>
                      <c:pt idx="0">
                        <c:v>PENC</c:v>
                      </c:pt>
                    </c:strCache>
                  </c:strRef>
                </c:tx>
                <c:spPr>
                  <a:solidFill>
                    <a:schemeClr val="accent3">
                      <a:tint val="54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dLbls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900" b="1" i="0" u="none" strike="noStrike" kern="1200" baseline="0"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es-PA"/>
                    </a:p>
                  </c:txPr>
                  <c:dLblPos val="inBase"/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0"/>
                  <c:extLst>
                    <c:ext uri="{CE6537A1-D6FC-4f65-9D91-7224C49458BB}">
                      <c15:showLeaderLines val="1"/>
                      <c15:leaderLines>
                        <c:spPr>
                          <a:ln w="9525" cap="flat" cmpd="sng" algn="ctr">
                            <a:solidFill>
                              <a:schemeClr val="tx1">
                                <a:lumMod val="35000"/>
                                <a:lumOff val="65000"/>
                              </a:schemeClr>
                            </a:solidFill>
                            <a:round/>
                          </a:ln>
                          <a:effectLst/>
                        </c:spPr>
                      </c15:leaderLines>
                    </c:ext>
                  </c:extLst>
                </c:dLbls>
                <c:cat>
                  <c:numRef>
                    <c:extLst>
                      <c:ext uri="{02D57815-91ED-43cb-92C2-25804820EDAC}">
                        <c15:formulaRef>
                          <c15:sqref>Graficos!$M$8:$P$8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 formatCode="mmm\-yy">
                        <c:v>46174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Graficos!$M$9:$P$9</c15:sqref>
                        </c15:formulaRef>
                      </c:ext>
                    </c:extLst>
                    <c:numCache>
                      <c:formatCode>0%</c:formatCode>
                      <c:ptCount val="4"/>
                      <c:pt idx="0">
                        <c:v>0.98181818181818181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2-6940-4545-80EB-7F013FE40E03}"/>
                  </c:ext>
                </c:extLst>
              </c15:ser>
            </c15:filteredBarSeries>
            <c15:filteredBarSeries>
              <c15:ser>
                <c:idx val="1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Graficos!$L$10</c15:sqref>
                        </c15:formulaRef>
                      </c:ext>
                    </c:extLst>
                    <c:strCache>
                      <c:ptCount val="1"/>
                      <c:pt idx="0">
                        <c:v> PECUF</c:v>
                      </c:pt>
                    </c:strCache>
                  </c:strRef>
                </c:tx>
                <c:spPr>
                  <a:solidFill>
                    <a:schemeClr val="accent3">
                      <a:tint val="77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Graficos!$M$8:$P$8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 formatCode="mmm\-yy">
                        <c:v>46174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Graficos!$M$10:$P$10</c15:sqref>
                        </c15:formulaRef>
                      </c:ext>
                    </c:extLst>
                    <c:numCache>
                      <c:formatCode>0%</c:formatCode>
                      <c:ptCount val="4"/>
                      <c:pt idx="0">
                        <c:v>0.75757575757575757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3-6940-4545-80EB-7F013FE40E03}"/>
                  </c:ext>
                </c:extLst>
              </c15:ser>
            </c15:filteredBarSeries>
            <c15:filteredBarSeries>
              <c15:ser>
                <c:idx val="2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Graficos!$L$11</c15:sqref>
                        </c15:formulaRef>
                      </c:ext>
                    </c:extLst>
                    <c:strCache>
                      <c:ptCount val="1"/>
                      <c:pt idx="0">
                        <c:v> PECNE</c:v>
                      </c:pt>
                    </c:strCache>
                  </c:strRef>
                </c:tx>
                <c:spPr>
                  <a:solidFill>
                    <a:schemeClr val="accent3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Graficos!$M$8:$P$8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 formatCode="mmm\-yy">
                        <c:v>46174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Graficos!$M$11:$P$11</c15:sqref>
                        </c15:formulaRef>
                      </c:ext>
                    </c:extLst>
                    <c:numCache>
                      <c:formatCode>0%</c:formatCode>
                      <c:ptCount val="4"/>
                      <c:pt idx="0">
                        <c:v>0.30303030303030304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4-6940-4545-80EB-7F013FE40E03}"/>
                  </c:ext>
                </c:extLst>
              </c15:ser>
            </c15:filteredBarSeries>
          </c:ext>
        </c:extLst>
      </c:barChart>
      <c:lineChart>
        <c:grouping val="standard"/>
        <c:varyColors val="0"/>
        <c:ser>
          <c:idx val="4"/>
          <c:order val="4"/>
          <c:tx>
            <c:strRef>
              <c:f>Graficos!$L$13</c:f>
              <c:strCache>
                <c:ptCount val="1"/>
                <c:pt idx="0">
                  <c:v>Score calidad </c:v>
                </c:pt>
              </c:strCache>
            </c:strRef>
          </c:tx>
          <c:spPr>
            <a:ln w="28575" cap="rnd">
              <a:solidFill>
                <a:schemeClr val="accent3">
                  <a:shade val="53000"/>
                </a:schemeClr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PA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Graficos!$M$8:$P$8</c:f>
              <c:numCache>
                <c:formatCode>General</c:formatCode>
                <c:ptCount val="4"/>
                <c:pt idx="0" formatCode="mmm\-yy">
                  <c:v>46174</c:v>
                </c:pt>
              </c:numCache>
            </c:numRef>
          </c:cat>
          <c:val>
            <c:numRef>
              <c:f>Graficos!$M$13:$P$13</c:f>
              <c:numCache>
                <c:formatCode>0.0%</c:formatCode>
                <c:ptCount val="4"/>
                <c:pt idx="0" formatCode="0%">
                  <c:v>0.71636363636363587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940-4545-80EB-7F013FE40E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21936943"/>
        <c:axId val="1242319023"/>
      </c:lineChart>
      <c:dateAx>
        <c:axId val="469909103"/>
        <c:scaling>
          <c:orientation val="minMax"/>
        </c:scaling>
        <c:delete val="0"/>
        <c:axPos val="b"/>
        <c:numFmt formatCode="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A"/>
          </a:p>
        </c:txPr>
        <c:crossAx val="469903695"/>
        <c:crosses val="autoZero"/>
        <c:auto val="1"/>
        <c:lblOffset val="100"/>
        <c:baseTimeUnit val="days"/>
      </c:dateAx>
      <c:valAx>
        <c:axId val="469903695"/>
        <c:scaling>
          <c:orientation val="minMax"/>
        </c:scaling>
        <c:delete val="0"/>
        <c:axPos val="l"/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A"/>
          </a:p>
        </c:txPr>
        <c:crossAx val="469909103"/>
        <c:crosses val="autoZero"/>
        <c:crossBetween val="between"/>
      </c:valAx>
      <c:valAx>
        <c:axId val="1242319023"/>
        <c:scaling>
          <c:orientation val="minMax"/>
        </c:scaling>
        <c:delete val="0"/>
        <c:axPos val="r"/>
        <c:numFmt formatCode="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A"/>
          </a:p>
        </c:txPr>
        <c:crossAx val="721936943"/>
        <c:crosses val="max"/>
        <c:crossBetween val="between"/>
      </c:valAx>
      <c:dateAx>
        <c:axId val="721936943"/>
        <c:scaling>
          <c:orientation val="minMax"/>
        </c:scaling>
        <c:delete val="1"/>
        <c:axPos val="b"/>
        <c:numFmt formatCode="mmm\-yy" sourceLinked="1"/>
        <c:majorTickMark val="out"/>
        <c:minorTickMark val="none"/>
        <c:tickLblPos val="nextTo"/>
        <c:crossAx val="1242319023"/>
        <c:crosses val="autoZero"/>
        <c:auto val="1"/>
        <c:lblOffset val="100"/>
        <c:baseTimeUnit val="days"/>
      </c:date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PA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b="1"/>
      </a:pPr>
      <a:endParaRPr lang="es-PA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PA"/>
        </a:p>
      </c:txPr>
    </c:title>
    <c:autoTitleDeleted val="0"/>
    <c:plotArea>
      <c:layout>
        <c:manualLayout>
          <c:layoutTarget val="inner"/>
          <c:xMode val="edge"/>
          <c:yMode val="edge"/>
          <c:x val="9.6664763058463832E-2"/>
          <c:y val="0.20496241947029348"/>
          <c:w val="0.87232174103237092"/>
          <c:h val="0.61498432487605714"/>
        </c:manualLayout>
      </c:layout>
      <c:barChart>
        <c:barDir val="col"/>
        <c:grouping val="clustered"/>
        <c:varyColors val="0"/>
        <c:ser>
          <c:idx val="4"/>
          <c:order val="4"/>
          <c:tx>
            <c:strRef>
              <c:f>Graficos!$L$13</c:f>
              <c:strCache>
                <c:ptCount val="1"/>
                <c:pt idx="0">
                  <c:v>Score calidad </c:v>
                </c:pt>
              </c:strCache>
            </c:strRef>
          </c:tx>
          <c:spPr>
            <a:solidFill>
              <a:srgbClr val="E94C2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s-PA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Graficos!$M$8:$P$8</c:f>
              <c:numCache>
                <c:formatCode>General</c:formatCode>
                <c:ptCount val="4"/>
                <c:pt idx="0" formatCode="mmm\-yy">
                  <c:v>46174</c:v>
                </c:pt>
              </c:numCache>
            </c:numRef>
          </c:cat>
          <c:val>
            <c:numRef>
              <c:f>Graficos!$M$13:$P$13</c:f>
              <c:numCache>
                <c:formatCode>0.0%</c:formatCode>
                <c:ptCount val="4"/>
                <c:pt idx="0" formatCode="0%">
                  <c:v>0.71636363636363587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EBD1-424A-9B93-608751874C93}"/>
            </c:ext>
          </c:extLst>
        </c:ser>
        <c:dLbls>
          <c:dLblPos val="inBase"/>
          <c:showLegendKey val="0"/>
          <c:showVal val="1"/>
          <c:showCatName val="0"/>
          <c:showSerName val="0"/>
          <c:showPercent val="0"/>
          <c:showBubbleSize val="0"/>
        </c:dLbls>
        <c:gapWidth val="222"/>
        <c:overlap val="-27"/>
        <c:axId val="977516735"/>
        <c:axId val="745506927"/>
        <c:extLst>
          <c:ext xmlns:c15="http://schemas.microsoft.com/office/drawing/2012/chart" uri="{02D57815-91ED-43cb-92C2-25804820EDAC}">
            <c15:filteredBa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Graficos!$L$9</c15:sqref>
                        </c15:formulaRef>
                      </c:ext>
                    </c:extLst>
                    <c:strCache>
                      <c:ptCount val="1"/>
                      <c:pt idx="0">
                        <c:v>PENC</c:v>
                      </c:pt>
                    </c:strCache>
                  </c:strRef>
                </c:tx>
                <c:spPr>
                  <a:solidFill>
                    <a:schemeClr val="accent1"/>
                  </a:solidFill>
                  <a:ln>
                    <a:noFill/>
                  </a:ln>
                  <a:effectLst/>
                </c:spPr>
                <c:invertIfNegative val="0"/>
                <c:dLbls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900" b="0" i="0" u="none" strike="noStrike" kern="1200" baseline="0"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es-PA"/>
                    </a:p>
                  </c:txPr>
                  <c:dLblPos val="inBase"/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0"/>
                  <c:extLst>
                    <c:ext uri="{CE6537A1-D6FC-4f65-9D91-7224C49458BB}">
                      <c15:showLeaderLines val="1"/>
                      <c15:leaderLines>
                        <c:spPr>
                          <a:ln w="9525" cap="flat" cmpd="sng" algn="ctr">
                            <a:solidFill>
                              <a:schemeClr val="tx1">
                                <a:lumMod val="35000"/>
                                <a:lumOff val="65000"/>
                              </a:schemeClr>
                            </a:solidFill>
                            <a:round/>
                          </a:ln>
                          <a:effectLst/>
                        </c:spPr>
                      </c15:leaderLines>
                    </c:ext>
                  </c:extLst>
                </c:dLbls>
                <c:cat>
                  <c:numRef>
                    <c:extLst>
                      <c:ext uri="{02D57815-91ED-43cb-92C2-25804820EDAC}">
                        <c15:formulaRef>
                          <c15:sqref>Graficos!$M$8:$P$8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 formatCode="mmm\-yy">
                        <c:v>46174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Graficos!$M$9:$P$9</c15:sqref>
                        </c15:formulaRef>
                      </c:ext>
                    </c:extLst>
                    <c:numCache>
                      <c:formatCode>0%</c:formatCode>
                      <c:ptCount val="4"/>
                      <c:pt idx="0">
                        <c:v>0.98181818181818181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0-EBD1-424A-9B93-608751874C93}"/>
                  </c:ext>
                </c:extLst>
              </c15:ser>
            </c15:filteredBarSeries>
            <c15:filteredBarSeries>
              <c15:ser>
                <c:idx val="1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Graficos!$L$10</c15:sqref>
                        </c15:formulaRef>
                      </c:ext>
                    </c:extLst>
                    <c:strCache>
                      <c:ptCount val="1"/>
                      <c:pt idx="0">
                        <c:v> PECUF</c:v>
                      </c:pt>
                    </c:strCache>
                  </c:strRef>
                </c:tx>
                <c:spPr>
                  <a:solidFill>
                    <a:schemeClr val="accent2"/>
                  </a:solidFill>
                  <a:ln>
                    <a:noFill/>
                  </a:ln>
                  <a:effectLst/>
                </c:spPr>
                <c:invertIfNegative val="0"/>
                <c:dLbls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900" b="0" i="0" u="none" strike="noStrike" kern="1200" baseline="0"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es-PA"/>
                    </a:p>
                  </c:txPr>
                  <c:dLblPos val="inBase"/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0"/>
                  <c:extLst xmlns:c15="http://schemas.microsoft.com/office/drawing/2012/chart">
                    <c:ext xmlns:c15="http://schemas.microsoft.com/office/drawing/2012/chart" uri="{CE6537A1-D6FC-4f65-9D91-7224C49458BB}">
                      <c15:showLeaderLines val="1"/>
                      <c15:leaderLines>
                        <c:spPr>
                          <a:ln w="9525" cap="flat" cmpd="sng" algn="ctr">
                            <a:solidFill>
                              <a:schemeClr val="tx1">
                                <a:lumMod val="35000"/>
                                <a:lumOff val="65000"/>
                              </a:schemeClr>
                            </a:solidFill>
                            <a:round/>
                          </a:ln>
                          <a:effectLst/>
                        </c:spPr>
                      </c15:leaderLines>
                    </c:ext>
                  </c:extLst>
                </c:dLbls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Graficos!$M$8:$P$8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 formatCode="mmm\-yy">
                        <c:v>46174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Graficos!$M$10:$P$10</c15:sqref>
                        </c15:formulaRef>
                      </c:ext>
                    </c:extLst>
                    <c:numCache>
                      <c:formatCode>0%</c:formatCode>
                      <c:ptCount val="4"/>
                      <c:pt idx="0">
                        <c:v>0.75757575757575757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1-EBD1-424A-9B93-608751874C93}"/>
                  </c:ext>
                </c:extLst>
              </c15:ser>
            </c15:filteredBarSeries>
            <c15:filteredBarSeries>
              <c15:ser>
                <c:idx val="2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Graficos!$L$11</c15:sqref>
                        </c15:formulaRef>
                      </c:ext>
                    </c:extLst>
                    <c:strCache>
                      <c:ptCount val="1"/>
                      <c:pt idx="0">
                        <c:v> PECNE</c:v>
                      </c:pt>
                    </c:strCache>
                  </c:strRef>
                </c:tx>
                <c:spPr>
                  <a:solidFill>
                    <a:schemeClr val="accent3"/>
                  </a:solidFill>
                  <a:ln>
                    <a:noFill/>
                  </a:ln>
                  <a:effectLst/>
                </c:spPr>
                <c:invertIfNegative val="0"/>
                <c:dLbls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900" b="0" i="0" u="none" strike="noStrike" kern="1200" baseline="0"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es-PA"/>
                    </a:p>
                  </c:txPr>
                  <c:dLblPos val="inBase"/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0"/>
                  <c:extLst xmlns:c15="http://schemas.microsoft.com/office/drawing/2012/chart">
                    <c:ext xmlns:c15="http://schemas.microsoft.com/office/drawing/2012/chart" uri="{CE6537A1-D6FC-4f65-9D91-7224C49458BB}">
                      <c15:showLeaderLines val="1"/>
                      <c15:leaderLines>
                        <c:spPr>
                          <a:ln w="9525" cap="flat" cmpd="sng" algn="ctr">
                            <a:solidFill>
                              <a:schemeClr val="tx1">
                                <a:lumMod val="35000"/>
                                <a:lumOff val="65000"/>
                              </a:schemeClr>
                            </a:solidFill>
                            <a:round/>
                          </a:ln>
                          <a:effectLst/>
                        </c:spPr>
                      </c15:leaderLines>
                    </c:ext>
                  </c:extLst>
                </c:dLbls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Graficos!$M$8:$P$8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 formatCode="mmm\-yy">
                        <c:v>46174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Graficos!$M$11:$P$11</c15:sqref>
                        </c15:formulaRef>
                      </c:ext>
                    </c:extLst>
                    <c:numCache>
                      <c:formatCode>0%</c:formatCode>
                      <c:ptCount val="4"/>
                      <c:pt idx="0">
                        <c:v>0.30303030303030304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EBD1-424A-9B93-608751874C93}"/>
                  </c:ext>
                </c:extLst>
              </c15:ser>
            </c15:filteredBarSeries>
            <c15:filteredBarSeries>
              <c15:ser>
                <c:idx val="3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Graficos!$L$12</c15:sqref>
                        </c15:formulaRef>
                      </c:ext>
                    </c:extLst>
                    <c:strCache>
                      <c:ptCount val="1"/>
                      <c:pt idx="0">
                        <c:v> PECCUM</c:v>
                      </c:pt>
                    </c:strCache>
                  </c:strRef>
                </c:tx>
                <c:spPr>
                  <a:solidFill>
                    <a:schemeClr val="accent4"/>
                  </a:solidFill>
                  <a:ln>
                    <a:noFill/>
                  </a:ln>
                  <a:effectLst/>
                </c:spPr>
                <c:invertIfNegative val="0"/>
                <c:dLbls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900" b="0" i="0" u="none" strike="noStrike" kern="1200" baseline="0"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es-PA"/>
                    </a:p>
                  </c:txPr>
                  <c:dLblPos val="inBase"/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0"/>
                  <c:extLst xmlns:c15="http://schemas.microsoft.com/office/drawing/2012/chart">
                    <c:ext xmlns:c15="http://schemas.microsoft.com/office/drawing/2012/chart" uri="{CE6537A1-D6FC-4f65-9D91-7224C49458BB}">
                      <c15:showLeaderLines val="1"/>
                      <c15:leaderLines>
                        <c:spPr>
                          <a:ln w="9525" cap="flat" cmpd="sng" algn="ctr">
                            <a:solidFill>
                              <a:schemeClr val="tx1">
                                <a:lumMod val="35000"/>
                                <a:lumOff val="65000"/>
                              </a:schemeClr>
                            </a:solidFill>
                            <a:round/>
                          </a:ln>
                          <a:effectLst/>
                        </c:spPr>
                      </c15:leaderLines>
                    </c:ext>
                  </c:extLst>
                </c:dLbls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Graficos!$M$8:$P$8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 formatCode="mmm\-yy">
                        <c:v>46174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Graficos!$M$12:$P$12</c15:sqref>
                        </c15:formulaRef>
                      </c:ext>
                    </c:extLst>
                    <c:numCache>
                      <c:formatCode>0%</c:formatCode>
                      <c:ptCount val="4"/>
                      <c:pt idx="0">
                        <c:v>1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3-EBD1-424A-9B93-608751874C93}"/>
                  </c:ext>
                </c:extLst>
              </c15:ser>
            </c15:filteredBarSeries>
          </c:ext>
        </c:extLst>
      </c:barChart>
      <c:dateAx>
        <c:axId val="977516735"/>
        <c:scaling>
          <c:orientation val="minMax"/>
        </c:scaling>
        <c:delete val="0"/>
        <c:axPos val="b"/>
        <c:numFmt formatCode="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A"/>
          </a:p>
        </c:txPr>
        <c:crossAx val="745506927"/>
        <c:crosses val="autoZero"/>
        <c:auto val="1"/>
        <c:lblOffset val="100"/>
        <c:baseTimeUnit val="days"/>
      </c:dateAx>
      <c:valAx>
        <c:axId val="745506927"/>
        <c:scaling>
          <c:orientation val="minMax"/>
        </c:scaling>
        <c:delete val="0"/>
        <c:axPos val="l"/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A"/>
          </a:p>
        </c:txPr>
        <c:crossAx val="97751673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PA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>
              <a:defRPr sz="1600" b="1" i="0" u="none" strike="noStrike" kern="1200" cap="none" spc="5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j-lt"/>
                <a:ea typeface="+mj-ea"/>
                <a:cs typeface="+mj-cs"/>
              </a:defRPr>
            </a:pPr>
            <a:r>
              <a:rPr lang="en-US"/>
              <a:t>Resultados Mes en Curso</a:t>
            </a:r>
          </a:p>
        </c:rich>
      </c:tx>
      <c:layout>
        <c:manualLayout>
          <c:xMode val="edge"/>
          <c:yMode val="edge"/>
          <c:x val="0.38741749524676072"/>
          <c:y val="5.303674424925445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>
            <a:defRPr sz="1600" b="1" i="0" u="none" strike="noStrike" kern="1200" cap="none" spc="50" normalizeH="0" baseline="0">
              <a:solidFill>
                <a:schemeClr val="tx1">
                  <a:lumMod val="65000"/>
                  <a:lumOff val="35000"/>
                </a:schemeClr>
              </a:solidFill>
              <a:latin typeface="+mj-lt"/>
              <a:ea typeface="+mj-ea"/>
              <a:cs typeface="+mj-cs"/>
            </a:defRPr>
          </a:pPr>
          <a:endParaRPr lang="es-PA"/>
        </a:p>
      </c:txPr>
    </c:title>
    <c:autoTitleDeleted val="0"/>
    <c:plotArea>
      <c:layout>
        <c:manualLayout>
          <c:layoutTarget val="inner"/>
          <c:xMode val="edge"/>
          <c:yMode val="edge"/>
          <c:x val="9.6531960623026505E-2"/>
          <c:y val="0.2504581516448729"/>
          <c:w val="0.86785160870421563"/>
          <c:h val="0.6471860321543180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E94C2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PA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Graficos!$M$1:$P$1</c:f>
              <c:strCache>
                <c:ptCount val="4"/>
                <c:pt idx="0">
                  <c:v>PENC</c:v>
                </c:pt>
                <c:pt idx="1">
                  <c:v> PECUF</c:v>
                </c:pt>
                <c:pt idx="2">
                  <c:v> PECNE</c:v>
                </c:pt>
                <c:pt idx="3">
                  <c:v> PECCUM</c:v>
                </c:pt>
              </c:strCache>
            </c:strRef>
          </c:cat>
          <c:val>
            <c:numRef>
              <c:f>Graficos!$M$2:$P$2</c:f>
              <c:numCache>
                <c:formatCode>0.0%</c:formatCode>
                <c:ptCount val="4"/>
                <c:pt idx="0">
                  <c:v>0.98181818181818181</c:v>
                </c:pt>
                <c:pt idx="1">
                  <c:v>0.75757575757575757</c:v>
                </c:pt>
                <c:pt idx="2">
                  <c:v>0.30303030303030304</c:v>
                </c:pt>
                <c:pt idx="3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A88-492F-93B0-0558ECBD550D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80"/>
        <c:overlap val="25"/>
        <c:axId val="359794559"/>
        <c:axId val="359807039"/>
      </c:barChart>
      <c:catAx>
        <c:axId val="35979455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cap="none" spc="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A"/>
          </a:p>
        </c:txPr>
        <c:crossAx val="359807039"/>
        <c:crosses val="autoZero"/>
        <c:auto val="1"/>
        <c:lblAlgn val="ctr"/>
        <c:lblOffset val="100"/>
        <c:noMultiLvlLbl val="0"/>
      </c:catAx>
      <c:valAx>
        <c:axId val="359807039"/>
        <c:scaling>
          <c:orientation val="minMax"/>
        </c:scaling>
        <c:delete val="0"/>
        <c:axPos val="l"/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spc="2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A"/>
          </a:p>
        </c:txPr>
        <c:crossAx val="35979455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b="1"/>
      </a:pPr>
      <a:endParaRPr lang="es-PA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withinLinearReversed" id="23">
  <a:schemeClr val="accent3"/>
</cs:colorStyle>
</file>

<file path=xl/charts/colors2.xml><?xml version="1.0" encoding="utf-8"?>
<cs:colorStyle xmlns:cs="http://schemas.microsoft.com/office/drawing/2012/chartStyle" xmlns:a="http://schemas.openxmlformats.org/drawingml/2006/main" meth="withinLinearReversed" id="23">
  <a:schemeClr val="accent3"/>
</cs:colorStyle>
</file>

<file path=xl/charts/colors3.xml><?xml version="1.0" encoding="utf-8"?>
<cs:colorStyle xmlns:cs="http://schemas.microsoft.com/office/drawing/2012/chartStyle" xmlns:a="http://schemas.openxmlformats.org/drawingml/2006/main" meth="withinLinearReversed" id="23">
  <a:schemeClr val="accent3"/>
</cs:colorStyle>
</file>

<file path=xl/charts/colors4.xml><?xml version="1.0" encoding="utf-8"?>
<cs:colorStyle xmlns:cs="http://schemas.microsoft.com/office/drawing/2012/chartStyle" xmlns:a="http://schemas.openxmlformats.org/drawingml/2006/main" meth="withinLinearReversed" id="23">
  <a:schemeClr val="accent3"/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1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587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 cap="none" spc="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bg1"/>
    </cs:fontRef>
    <cs:spPr>
      <a:solidFill>
        <a:schemeClr val="tx1">
          <a:lumMod val="50000"/>
          <a:lumOff val="50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>
            <a:alpha val="70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 baseline="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1600" b="0" i="0" kern="1200" cap="none" spc="5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587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 spc="20" baseline="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5.xml"/><Relationship Id="rId5" Type="http://schemas.openxmlformats.org/officeDocument/2006/relationships/image" Target="../media/image2.png"/><Relationship Id="rId4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chart" Target="../charts/chart6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333376</xdr:colOff>
      <xdr:row>0</xdr:row>
      <xdr:rowOff>45721</xdr:rowOff>
    </xdr:from>
    <xdr:to>
      <xdr:col>1</xdr:col>
      <xdr:colOff>388620</xdr:colOff>
      <xdr:row>3</xdr:row>
      <xdr:rowOff>65814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48A9C9AB-BAF7-45BE-95B7-4DAE669DDB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3376" y="45721"/>
          <a:ext cx="1289684" cy="568733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</xdr:col>
      <xdr:colOff>541020</xdr:colOff>
      <xdr:row>10</xdr:row>
      <xdr:rowOff>22860</xdr:rowOff>
    </xdr:from>
    <xdr:to>
      <xdr:col>2</xdr:col>
      <xdr:colOff>1485900</xdr:colOff>
      <xdr:row>12</xdr:row>
      <xdr:rowOff>76200</xdr:rowOff>
    </xdr:to>
    <xdr:sp macro="[0]!LLENAR_FORMULARIO_AUDITORIA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FF233529-9DD1-DABE-DB8E-F6AE8709D917}"/>
            </a:ext>
          </a:extLst>
        </xdr:cNvPr>
        <xdr:cNvSpPr/>
      </xdr:nvSpPr>
      <xdr:spPr>
        <a:xfrm>
          <a:off x="4312920" y="1943100"/>
          <a:ext cx="944880" cy="434340"/>
        </a:xfrm>
        <a:prstGeom prst="roundRect">
          <a:avLst/>
        </a:prstGeom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400">
              <a:latin typeface="ADLaM Display" panose="020F0502020204030204" pitchFamily="2" charset="0"/>
              <a:ea typeface="ADLaM Display" panose="020F0502020204030204" pitchFamily="2" charset="0"/>
              <a:cs typeface="ADLaM Display" panose="020F0502020204030204" pitchFamily="2" charset="0"/>
            </a:rPr>
            <a:t>GRABAR</a:t>
          </a:r>
        </a:p>
      </xdr:txBody>
    </xdr:sp>
    <xdr:clientData/>
  </xdr:twoCellAnchor>
  <xdr:twoCellAnchor>
    <xdr:from>
      <xdr:col>2</xdr:col>
      <xdr:colOff>1661160</xdr:colOff>
      <xdr:row>10</xdr:row>
      <xdr:rowOff>30480</xdr:rowOff>
    </xdr:from>
    <xdr:to>
      <xdr:col>2</xdr:col>
      <xdr:colOff>2606040</xdr:colOff>
      <xdr:row>12</xdr:row>
      <xdr:rowOff>83820</xdr:rowOff>
    </xdr:to>
    <xdr:sp macro="[0]!FECHA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CD1BBA6D-19A3-445F-92A6-78D89B5DF6C0}"/>
            </a:ext>
          </a:extLst>
        </xdr:cNvPr>
        <xdr:cNvSpPr/>
      </xdr:nvSpPr>
      <xdr:spPr>
        <a:xfrm>
          <a:off x="5433060" y="1950720"/>
          <a:ext cx="944880" cy="434340"/>
        </a:xfrm>
        <a:prstGeom prst="roundRect">
          <a:avLst/>
        </a:prstGeom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400">
              <a:solidFill>
                <a:schemeClr val="lt1"/>
              </a:solidFill>
              <a:latin typeface="ADLaM Display" panose="020F0502020204030204" pitchFamily="2" charset="0"/>
              <a:ea typeface="ADLaM Display" panose="020F0502020204030204" pitchFamily="2" charset="0"/>
              <a:cs typeface="ADLaM Display" panose="020F0502020204030204" pitchFamily="2" charset="0"/>
            </a:rPr>
            <a:t>FECHA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481965</xdr:colOff>
      <xdr:row>12</xdr:row>
      <xdr:rowOff>169545</xdr:rowOff>
    </xdr:from>
    <xdr:to>
      <xdr:col>7</xdr:col>
      <xdr:colOff>266679</xdr:colOff>
      <xdr:row>25</xdr:row>
      <xdr:rowOff>178510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2E21363B-8A67-4089-90A4-330B0CC04FB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495300</xdr:colOff>
      <xdr:row>12</xdr:row>
      <xdr:rowOff>152400</xdr:rowOff>
    </xdr:from>
    <xdr:to>
      <xdr:col>13</xdr:col>
      <xdr:colOff>289592</xdr:colOff>
      <xdr:row>25</xdr:row>
      <xdr:rowOff>161365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D3CD4E36-A92D-4069-9002-254A70B0D5F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533400</xdr:colOff>
      <xdr:row>26</xdr:row>
      <xdr:rowOff>171450</xdr:rowOff>
    </xdr:from>
    <xdr:to>
      <xdr:col>7</xdr:col>
      <xdr:colOff>318114</xdr:colOff>
      <xdr:row>39</xdr:row>
      <xdr:rowOff>180415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E73A080D-8A73-4784-814C-4B03C7AD0E0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7</xdr:col>
      <xdr:colOff>468630</xdr:colOff>
      <xdr:row>27</xdr:row>
      <xdr:rowOff>57150</xdr:rowOff>
    </xdr:from>
    <xdr:to>
      <xdr:col>13</xdr:col>
      <xdr:colOff>262922</xdr:colOff>
      <xdr:row>40</xdr:row>
      <xdr:rowOff>66115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EC65CC2B-4250-4D0A-9E81-728996D48A3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0</xdr:col>
      <xdr:colOff>200025</xdr:colOff>
      <xdr:row>2</xdr:row>
      <xdr:rowOff>152400</xdr:rowOff>
    </xdr:from>
    <xdr:to>
      <xdr:col>2</xdr:col>
      <xdr:colOff>284692</xdr:colOff>
      <xdr:row>11</xdr:row>
      <xdr:rowOff>46567</xdr:rowOff>
    </xdr:to>
    <xdr:pic>
      <xdr:nvPicPr>
        <xdr:cNvPr id="8" name="Imagen 7">
          <a:extLst>
            <a:ext uri="{FF2B5EF4-FFF2-40B4-BE49-F238E27FC236}">
              <a16:creationId xmlns:a16="http://schemas.microsoft.com/office/drawing/2014/main" id="{913B3493-6A99-48B0-AACE-FC9460E90C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0025" y="533400"/>
          <a:ext cx="1608667" cy="1608667"/>
        </a:xfrm>
        <a:prstGeom prst="rect">
          <a:avLst/>
        </a:prstGeom>
      </xdr:spPr>
    </xdr:pic>
    <xdr:clientData/>
  </xdr:twoCellAnchor>
  <xdr:twoCellAnchor>
    <xdr:from>
      <xdr:col>4</xdr:col>
      <xdr:colOff>466724</xdr:colOff>
      <xdr:row>3</xdr:row>
      <xdr:rowOff>95250</xdr:rowOff>
    </xdr:from>
    <xdr:to>
      <xdr:col>10</xdr:col>
      <xdr:colOff>228599</xdr:colOff>
      <xdr:row>12</xdr:row>
      <xdr:rowOff>57150</xdr:rowOff>
    </xdr:to>
    <xdr:graphicFrame macro="">
      <xdr:nvGraphicFramePr>
        <xdr:cNvPr id="9" name="Gráfico 8">
          <a:extLst>
            <a:ext uri="{FF2B5EF4-FFF2-40B4-BE49-F238E27FC236}">
              <a16:creationId xmlns:a16="http://schemas.microsoft.com/office/drawing/2014/main" id="{26D1052A-D85D-404F-A566-B850280AA8A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186777</xdr:colOff>
      <xdr:row>7</xdr:row>
      <xdr:rowOff>143007</xdr:rowOff>
    </xdr:from>
    <xdr:to>
      <xdr:col>2</xdr:col>
      <xdr:colOff>390350</xdr:colOff>
      <xdr:row>11</xdr:row>
      <xdr:rowOff>83175</xdr:rowOff>
    </xdr:to>
    <xdr:grpSp>
      <xdr:nvGrpSpPr>
        <xdr:cNvPr id="5" name="Grupo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pSpPr/>
      </xdr:nvGrpSpPr>
      <xdr:grpSpPr>
        <a:xfrm>
          <a:off x="186777" y="1472772"/>
          <a:ext cx="1869514" cy="687227"/>
          <a:chOff x="7475095" y="575234"/>
          <a:chExt cx="1852706" cy="687294"/>
        </a:xfrm>
        <a:solidFill>
          <a:srgbClr val="FF6600"/>
        </a:solidFill>
      </xdr:grpSpPr>
      <xdr:sp macro="" textlink="Graficos!K2">
        <xdr:nvSpPr>
          <xdr:cNvPr id="3" name="Pentágono 2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/>
        </xdr:nvSpPr>
        <xdr:spPr>
          <a:xfrm>
            <a:off x="7475095" y="575234"/>
            <a:ext cx="1852706" cy="687294"/>
          </a:xfrm>
          <a:prstGeom prst="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fld id="{D5A6ED12-DD88-420B-8DF9-791049F8D4EC}" type="TxLink">
              <a:rPr lang="en-US" sz="3000" b="1" i="0" u="none" strike="noStrike">
                <a:solidFill>
                  <a:schemeClr val="bg1"/>
                </a:solidFill>
                <a:latin typeface="Calibri"/>
                <a:cs typeface="Calibri"/>
              </a:rPr>
              <a:pPr algn="ctr"/>
              <a:t>71.64%</a:t>
            </a:fld>
            <a:endParaRPr lang="es-PA" sz="3000" b="1">
              <a:solidFill>
                <a:schemeClr val="bg1"/>
              </a:solidFill>
            </a:endParaRPr>
          </a:p>
        </xdr:txBody>
      </xdr:sp>
      <xdr:sp macro="" textlink="">
        <xdr:nvSpPr>
          <xdr:cNvPr id="4" name="CuadroTexto 3">
            <a:extLst>
              <a:ext uri="{FF2B5EF4-FFF2-40B4-BE49-F238E27FC236}">
                <a16:creationId xmlns:a16="http://schemas.microsoft.com/office/drawing/2014/main" id="{00000000-0008-0000-0000-000004000000}"/>
              </a:ext>
            </a:extLst>
          </xdr:cNvPr>
          <xdr:cNvSpPr txBox="1"/>
        </xdr:nvSpPr>
        <xdr:spPr>
          <a:xfrm>
            <a:off x="7762200" y="1001060"/>
            <a:ext cx="1244254" cy="258956"/>
          </a:xfrm>
          <a:prstGeom prst="rect">
            <a:avLst/>
          </a:prstGeom>
          <a:grp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s-PA" sz="1100" b="1">
                <a:solidFill>
                  <a:schemeClr val="bg1"/>
                </a:solidFill>
              </a:rPr>
              <a:t>Score</a:t>
            </a:r>
            <a:r>
              <a:rPr lang="es-PA" sz="1100" b="1" baseline="0">
                <a:solidFill>
                  <a:schemeClr val="bg1"/>
                </a:solidFill>
              </a:rPr>
              <a:t> Acumulado</a:t>
            </a:r>
            <a:endParaRPr lang="es-PA" sz="1100" b="1">
              <a:solidFill>
                <a:schemeClr val="bg1"/>
              </a:solidFill>
            </a:endParaRPr>
          </a:p>
        </xdr:txBody>
      </xdr:sp>
    </xdr:grpSp>
    <xdr:clientData/>
  </xdr:twoCellAnchor>
  <xdr:twoCellAnchor>
    <xdr:from>
      <xdr:col>2</xdr:col>
      <xdr:colOff>533400</xdr:colOff>
      <xdr:row>5</xdr:row>
      <xdr:rowOff>129270</xdr:rowOff>
    </xdr:from>
    <xdr:to>
      <xdr:col>17</xdr:col>
      <xdr:colOff>85725</xdr:colOff>
      <xdr:row>27</xdr:row>
      <xdr:rowOff>180976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187311</xdr:colOff>
      <xdr:row>16</xdr:row>
      <xdr:rowOff>48236</xdr:rowOff>
    </xdr:from>
    <xdr:to>
      <xdr:col>2</xdr:col>
      <xdr:colOff>389816</xdr:colOff>
      <xdr:row>19</xdr:row>
      <xdr:rowOff>169900</xdr:rowOff>
    </xdr:to>
    <xdr:grpSp>
      <xdr:nvGrpSpPr>
        <xdr:cNvPr id="21" name="Grupo 20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GrpSpPr/>
      </xdr:nvGrpSpPr>
      <xdr:grpSpPr>
        <a:xfrm>
          <a:off x="187311" y="3058883"/>
          <a:ext cx="1868446" cy="681958"/>
          <a:chOff x="4544447" y="424944"/>
          <a:chExt cx="1867113" cy="665949"/>
        </a:xfrm>
        <a:solidFill>
          <a:srgbClr val="E94C22"/>
        </a:solidFill>
      </xdr:grpSpPr>
      <xdr:sp macro="" textlink="Graficos!K4">
        <xdr:nvSpPr>
          <xdr:cNvPr id="12" name="Pentágono 11">
            <a:extLst>
              <a:ext uri="{FF2B5EF4-FFF2-40B4-BE49-F238E27FC236}">
                <a16:creationId xmlns:a16="http://schemas.microsoft.com/office/drawing/2014/main" id="{00000000-0008-0000-0000-00000C000000}"/>
              </a:ext>
            </a:extLst>
          </xdr:cNvPr>
          <xdr:cNvSpPr/>
        </xdr:nvSpPr>
        <xdr:spPr>
          <a:xfrm>
            <a:off x="4544447" y="424944"/>
            <a:ext cx="1867113" cy="665949"/>
          </a:xfrm>
          <a:prstGeom prst="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fld id="{EB3DE34E-2840-417C-8FD5-DB1593EB06D7}" type="TxLink">
              <a:rPr lang="en-US" sz="3000" b="1" i="0" u="none" strike="noStrike">
                <a:solidFill>
                  <a:schemeClr val="bg1"/>
                </a:solidFill>
                <a:latin typeface="Calibri"/>
                <a:cs typeface="Calibri"/>
              </a:rPr>
              <a:pPr algn="ctr"/>
              <a:t>6</a:t>
            </a:fld>
            <a:endParaRPr lang="es-PA" sz="3000" b="1">
              <a:solidFill>
                <a:schemeClr val="bg1"/>
              </a:solidFill>
            </a:endParaRPr>
          </a:p>
        </xdr:txBody>
      </xdr:sp>
      <xdr:sp macro="" textlink="">
        <xdr:nvSpPr>
          <xdr:cNvPr id="13" name="CuadroTexto 12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SpPr txBox="1"/>
        </xdr:nvSpPr>
        <xdr:spPr>
          <a:xfrm>
            <a:off x="4701210" y="825848"/>
            <a:ext cx="1458792" cy="205437"/>
          </a:xfrm>
          <a:prstGeom prst="rect">
            <a:avLst/>
          </a:prstGeom>
          <a:grp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s-PA" sz="1100" b="1">
                <a:solidFill>
                  <a:schemeClr val="bg1"/>
                </a:solidFill>
              </a:rPr>
              <a:t>Agentes</a:t>
            </a:r>
            <a:r>
              <a:rPr lang="es-PA" sz="1100" b="1" baseline="0">
                <a:solidFill>
                  <a:schemeClr val="bg1"/>
                </a:solidFill>
              </a:rPr>
              <a:t> Monitoreados</a:t>
            </a:r>
            <a:endParaRPr lang="es-PA" sz="1100" b="1">
              <a:solidFill>
                <a:schemeClr val="bg1"/>
              </a:solidFill>
            </a:endParaRPr>
          </a:p>
        </xdr:txBody>
      </xdr:sp>
    </xdr:grpSp>
    <xdr:clientData/>
  </xdr:twoCellAnchor>
  <xdr:twoCellAnchor>
    <xdr:from>
      <xdr:col>0</xdr:col>
      <xdr:colOff>722171</xdr:colOff>
      <xdr:row>14</xdr:row>
      <xdr:rowOff>49893</xdr:rowOff>
    </xdr:from>
    <xdr:to>
      <xdr:col>2</xdr:col>
      <xdr:colOff>532226</xdr:colOff>
      <xdr:row>15</xdr:row>
      <xdr:rowOff>73225</xdr:rowOff>
    </xdr:to>
    <xdr:sp macro="" textlink="">
      <xdr:nvSpPr>
        <xdr:cNvPr id="33" name="CuadroTexto 32">
          <a:extLst>
            <a:ext uri="{FF2B5EF4-FFF2-40B4-BE49-F238E27FC236}">
              <a16:creationId xmlns:a16="http://schemas.microsoft.com/office/drawing/2014/main" id="{A9C6DB33-20DE-4BB4-828E-E037EB97BD2D}"/>
            </a:ext>
          </a:extLst>
        </xdr:cNvPr>
        <xdr:cNvSpPr txBox="1"/>
      </xdr:nvSpPr>
      <xdr:spPr>
        <a:xfrm>
          <a:off x="722171" y="2921000"/>
          <a:ext cx="1402091" cy="2138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r>
            <a:rPr lang="es-PA" sz="1100" b="1">
              <a:solidFill>
                <a:schemeClr val="bg1"/>
              </a:solidFill>
            </a:rPr>
            <a:t>HC</a:t>
          </a:r>
          <a:r>
            <a:rPr lang="es-PA" sz="1100" b="1" baseline="0">
              <a:solidFill>
                <a:schemeClr val="bg1"/>
              </a:solidFill>
            </a:rPr>
            <a:t>  Activo</a:t>
          </a:r>
          <a:endParaRPr lang="es-PA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0</xdr:col>
      <xdr:colOff>190498</xdr:colOff>
      <xdr:row>24</xdr:row>
      <xdr:rowOff>149676</xdr:rowOff>
    </xdr:from>
    <xdr:to>
      <xdr:col>2</xdr:col>
      <xdr:colOff>394071</xdr:colOff>
      <xdr:row>28</xdr:row>
      <xdr:rowOff>89844</xdr:rowOff>
    </xdr:to>
    <xdr:grpSp>
      <xdr:nvGrpSpPr>
        <xdr:cNvPr id="37" name="Grupo 36">
          <a:extLst>
            <a:ext uri="{FF2B5EF4-FFF2-40B4-BE49-F238E27FC236}">
              <a16:creationId xmlns:a16="http://schemas.microsoft.com/office/drawing/2014/main" id="{B3EDE563-2454-45EA-8DE3-159B2D607DE8}"/>
            </a:ext>
          </a:extLst>
        </xdr:cNvPr>
        <xdr:cNvGrpSpPr/>
      </xdr:nvGrpSpPr>
      <xdr:grpSpPr>
        <a:xfrm>
          <a:off x="190498" y="4654441"/>
          <a:ext cx="1869514" cy="687227"/>
          <a:chOff x="7292577" y="548596"/>
          <a:chExt cx="1852706" cy="687294"/>
        </a:xfrm>
        <a:solidFill>
          <a:srgbClr val="E94C22"/>
        </a:solidFill>
      </xdr:grpSpPr>
      <xdr:sp macro="" textlink="Graficos!K6">
        <xdr:nvSpPr>
          <xdr:cNvPr id="38" name="Pentágono 2">
            <a:extLst>
              <a:ext uri="{FF2B5EF4-FFF2-40B4-BE49-F238E27FC236}">
                <a16:creationId xmlns:a16="http://schemas.microsoft.com/office/drawing/2014/main" id="{759D8ADF-8FFF-4DCD-AED7-BB849BA38B06}"/>
              </a:ext>
            </a:extLst>
          </xdr:cNvPr>
          <xdr:cNvSpPr/>
        </xdr:nvSpPr>
        <xdr:spPr>
          <a:xfrm>
            <a:off x="7292577" y="548596"/>
            <a:ext cx="1852706" cy="687294"/>
          </a:xfrm>
          <a:prstGeom prst="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fld id="{2CF61457-9C99-47F3-A262-B8D34C54D7FF}" type="TxLink">
              <a:rPr lang="en-US" sz="3000" b="1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60%</a:t>
            </a:fld>
            <a:endParaRPr lang="es-PA" sz="3000" b="1">
              <a:solidFill>
                <a:schemeClr val="bg1"/>
              </a:solidFill>
            </a:endParaRPr>
          </a:p>
        </xdr:txBody>
      </xdr:sp>
      <xdr:sp macro="" textlink="">
        <xdr:nvSpPr>
          <xdr:cNvPr id="39" name="CuadroTexto 38">
            <a:extLst>
              <a:ext uri="{FF2B5EF4-FFF2-40B4-BE49-F238E27FC236}">
                <a16:creationId xmlns:a16="http://schemas.microsoft.com/office/drawing/2014/main" id="{09559A5E-863F-48EF-A47E-80BBB4AD45F9}"/>
              </a:ext>
            </a:extLst>
          </xdr:cNvPr>
          <xdr:cNvSpPr txBox="1"/>
        </xdr:nvSpPr>
        <xdr:spPr>
          <a:xfrm>
            <a:off x="7467365" y="974423"/>
            <a:ext cx="1372385" cy="258956"/>
          </a:xfrm>
          <a:prstGeom prst="rect">
            <a:avLst/>
          </a:prstGeom>
          <a:grp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s-PA" sz="1100" b="1">
                <a:solidFill>
                  <a:schemeClr val="bg1"/>
                </a:solidFill>
              </a:rPr>
              <a:t>%</a:t>
            </a:r>
            <a:r>
              <a:rPr lang="es-PA" sz="1100" b="1" baseline="0">
                <a:solidFill>
                  <a:schemeClr val="bg1"/>
                </a:solidFill>
              </a:rPr>
              <a:t> de Cumplimiento</a:t>
            </a:r>
            <a:endParaRPr lang="es-PA" sz="1100" b="1">
              <a:solidFill>
                <a:schemeClr val="bg1"/>
              </a:solidFill>
            </a:endParaRPr>
          </a:p>
        </xdr:txBody>
      </xdr:sp>
    </xdr:grpSp>
    <xdr:clientData/>
  </xdr:twoCellAnchor>
  <xdr:twoCellAnchor>
    <xdr:from>
      <xdr:col>0</xdr:col>
      <xdr:colOff>170889</xdr:colOff>
      <xdr:row>20</xdr:row>
      <xdr:rowOff>90927</xdr:rowOff>
    </xdr:from>
    <xdr:to>
      <xdr:col>2</xdr:col>
      <xdr:colOff>373394</xdr:colOff>
      <xdr:row>24</xdr:row>
      <xdr:rowOff>22091</xdr:rowOff>
    </xdr:to>
    <xdr:grpSp>
      <xdr:nvGrpSpPr>
        <xdr:cNvPr id="43" name="Grupo 42" descr="=">
          <a:extLst>
            <a:ext uri="{FF2B5EF4-FFF2-40B4-BE49-F238E27FC236}">
              <a16:creationId xmlns:a16="http://schemas.microsoft.com/office/drawing/2014/main" id="{E53C5EAE-FAC4-4508-846F-E48D1360AEA5}"/>
            </a:ext>
          </a:extLst>
        </xdr:cNvPr>
        <xdr:cNvGrpSpPr/>
      </xdr:nvGrpSpPr>
      <xdr:grpSpPr>
        <a:xfrm>
          <a:off x="170889" y="3848633"/>
          <a:ext cx="1868446" cy="678223"/>
          <a:chOff x="4544447" y="424944"/>
          <a:chExt cx="1867113" cy="665949"/>
        </a:xfrm>
        <a:solidFill>
          <a:srgbClr val="E94C22"/>
        </a:solidFill>
      </xdr:grpSpPr>
      <xdr:sp macro="" textlink="Graficos!K3">
        <xdr:nvSpPr>
          <xdr:cNvPr id="44" name="Pentágono 11">
            <a:extLst>
              <a:ext uri="{FF2B5EF4-FFF2-40B4-BE49-F238E27FC236}">
                <a16:creationId xmlns:a16="http://schemas.microsoft.com/office/drawing/2014/main" id="{6A523928-AF5D-4C25-AC10-73905664F7CA}"/>
              </a:ext>
            </a:extLst>
          </xdr:cNvPr>
          <xdr:cNvSpPr/>
        </xdr:nvSpPr>
        <xdr:spPr>
          <a:xfrm>
            <a:off x="4544447" y="424944"/>
            <a:ext cx="1867113" cy="665949"/>
          </a:xfrm>
          <a:prstGeom prst="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fld id="{E7547939-CC24-41BB-B5E8-449703322ADB}" type="TxLink">
              <a:rPr lang="en-US" sz="3000" b="1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12</a:t>
            </a:fld>
            <a:endParaRPr lang="es-PA" sz="3000" b="1">
              <a:solidFill>
                <a:schemeClr val="bg1"/>
              </a:solidFill>
            </a:endParaRPr>
          </a:p>
        </xdr:txBody>
      </xdr:sp>
      <xdr:sp macro="" textlink="">
        <xdr:nvSpPr>
          <xdr:cNvPr id="45" name="CuadroTexto 44">
            <a:extLst>
              <a:ext uri="{FF2B5EF4-FFF2-40B4-BE49-F238E27FC236}">
                <a16:creationId xmlns:a16="http://schemas.microsoft.com/office/drawing/2014/main" id="{C6DC5C10-26C0-46C2-A46D-9B46713CB189}"/>
              </a:ext>
            </a:extLst>
          </xdr:cNvPr>
          <xdr:cNvSpPr txBox="1"/>
        </xdr:nvSpPr>
        <xdr:spPr>
          <a:xfrm>
            <a:off x="4913571" y="851994"/>
            <a:ext cx="1458792" cy="205437"/>
          </a:xfrm>
          <a:prstGeom prst="rect">
            <a:avLst/>
          </a:prstGeom>
          <a:grp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s-PA" sz="1100" b="1">
                <a:solidFill>
                  <a:schemeClr val="bg1"/>
                </a:solidFill>
              </a:rPr>
              <a:t>Aseguramientos</a:t>
            </a:r>
          </a:p>
        </xdr:txBody>
      </xdr:sp>
    </xdr:grpSp>
    <xdr:clientData/>
  </xdr:twoCellAnchor>
  <xdr:twoCellAnchor editAs="oneCell">
    <xdr:from>
      <xdr:col>0</xdr:col>
      <xdr:colOff>136072</xdr:colOff>
      <xdr:row>0</xdr:row>
      <xdr:rowOff>180975</xdr:rowOff>
    </xdr:from>
    <xdr:to>
      <xdr:col>2</xdr:col>
      <xdr:colOff>163286</xdr:colOff>
      <xdr:row>9</xdr:row>
      <xdr:rowOff>62593</xdr:rowOff>
    </xdr:to>
    <xdr:pic>
      <xdr:nvPicPr>
        <xdr:cNvPr id="7" name="Imagen 6">
          <a:extLst>
            <a:ext uri="{FF2B5EF4-FFF2-40B4-BE49-F238E27FC236}">
              <a16:creationId xmlns:a16="http://schemas.microsoft.com/office/drawing/2014/main" id="{96408D1D-A05C-4D23-BDC4-BFA9A5B767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6072" y="180975"/>
          <a:ext cx="1617889" cy="1624693"/>
        </a:xfrm>
        <a:prstGeom prst="rect">
          <a:avLst/>
        </a:prstGeom>
      </xdr:spPr>
    </xdr:pic>
    <xdr:clientData/>
  </xdr:twoCellAnchor>
  <xdr:twoCellAnchor>
    <xdr:from>
      <xdr:col>0</xdr:col>
      <xdr:colOff>221329</xdr:colOff>
      <xdr:row>11</xdr:row>
      <xdr:rowOff>152960</xdr:rowOff>
    </xdr:from>
    <xdr:to>
      <xdr:col>2</xdr:col>
      <xdr:colOff>355799</xdr:colOff>
      <xdr:row>15</xdr:row>
      <xdr:rowOff>125505</xdr:rowOff>
    </xdr:to>
    <xdr:sp macro="" textlink="Graficos!K5">
      <xdr:nvSpPr>
        <xdr:cNvPr id="19" name="Pentágono 11">
          <a:extLst>
            <a:ext uri="{FF2B5EF4-FFF2-40B4-BE49-F238E27FC236}">
              <a16:creationId xmlns:a16="http://schemas.microsoft.com/office/drawing/2014/main" id="{94111223-AAF0-4426-8897-DB6F63060035}"/>
            </a:ext>
          </a:extLst>
        </xdr:cNvPr>
        <xdr:cNvSpPr/>
      </xdr:nvSpPr>
      <xdr:spPr>
        <a:xfrm>
          <a:off x="221329" y="2178984"/>
          <a:ext cx="1775011" cy="689721"/>
        </a:xfrm>
        <a:prstGeom prst="rect">
          <a:avLst/>
        </a:prstGeom>
        <a:solidFill>
          <a:srgbClr val="E94C2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fld id="{CD1AC42B-91A9-49D2-8137-58EA8F90D21A}" type="TxLink">
            <a:rPr lang="en-US" sz="32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10</a:t>
          </a:fld>
          <a:endParaRPr lang="en-US" sz="3000" b="1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0</xdr:col>
      <xdr:colOff>350579</xdr:colOff>
      <xdr:row>14</xdr:row>
      <xdr:rowOff>64869</xdr:rowOff>
    </xdr:from>
    <xdr:to>
      <xdr:col>2</xdr:col>
      <xdr:colOff>160930</xdr:colOff>
      <xdr:row>15</xdr:row>
      <xdr:rowOff>88201</xdr:rowOff>
    </xdr:to>
    <xdr:sp macro="" textlink="">
      <xdr:nvSpPr>
        <xdr:cNvPr id="28" name="CuadroTexto 27">
          <a:extLst>
            <a:ext uri="{FF2B5EF4-FFF2-40B4-BE49-F238E27FC236}">
              <a16:creationId xmlns:a16="http://schemas.microsoft.com/office/drawing/2014/main" id="{B78BC097-44EB-49C5-9715-BB4516287BF8}"/>
            </a:ext>
          </a:extLst>
        </xdr:cNvPr>
        <xdr:cNvSpPr txBox="1"/>
      </xdr:nvSpPr>
      <xdr:spPr>
        <a:xfrm>
          <a:off x="350579" y="2760444"/>
          <a:ext cx="1401026" cy="213832"/>
        </a:xfrm>
        <a:prstGeom prst="rect">
          <a:avLst/>
        </a:prstGeom>
        <a:solidFill>
          <a:srgbClr val="E94C2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pPr algn="ctr"/>
          <a:r>
            <a:rPr lang="es-PA" sz="1100" b="1">
              <a:solidFill>
                <a:schemeClr val="bg1"/>
              </a:solidFill>
            </a:rPr>
            <a:t>HC</a:t>
          </a:r>
          <a:r>
            <a:rPr lang="es-PA" sz="1100" b="1" baseline="0">
              <a:solidFill>
                <a:schemeClr val="bg1"/>
              </a:solidFill>
            </a:rPr>
            <a:t> Activo</a:t>
          </a:r>
          <a:endParaRPr lang="es-PA" sz="1100" b="1">
            <a:solidFill>
              <a:schemeClr val="bg1"/>
            </a:solidFill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135466</xdr:colOff>
      <xdr:row>4</xdr:row>
      <xdr:rowOff>26191</xdr:rowOff>
    </xdr:from>
    <xdr:to>
      <xdr:col>9</xdr:col>
      <xdr:colOff>138113</xdr:colOff>
      <xdr:row>12</xdr:row>
      <xdr:rowOff>28575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" name="Supervisor 3">
              <a:extLst>
                <a:ext uri="{FF2B5EF4-FFF2-40B4-BE49-F238E27FC236}">
                  <a16:creationId xmlns:a16="http://schemas.microsoft.com/office/drawing/2014/main" id="{00000000-0008-0000-0100-000003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Supervisor 3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5555191" y="835816"/>
              <a:ext cx="1825097" cy="1471613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PA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1</xdr:col>
      <xdr:colOff>350044</xdr:colOff>
      <xdr:row>4</xdr:row>
      <xdr:rowOff>15873</xdr:rowOff>
    </xdr:from>
    <xdr:to>
      <xdr:col>3</xdr:col>
      <xdr:colOff>86201</xdr:colOff>
      <xdr:row>11</xdr:row>
      <xdr:rowOff>168273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mes 2">
              <a:extLst>
                <a:ext uri="{FF2B5EF4-FFF2-40B4-BE49-F238E27FC236}">
                  <a16:creationId xmlns:a16="http://schemas.microsoft.com/office/drawing/2014/main" id="{00000000-0008-0000-0100-000005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es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502569" y="825498"/>
              <a:ext cx="1824037" cy="14859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PA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3</xdr:col>
      <xdr:colOff>0</xdr:colOff>
      <xdr:row>62</xdr:row>
      <xdr:rowOff>0</xdr:rowOff>
    </xdr:from>
    <xdr:to>
      <xdr:col>8</xdr:col>
      <xdr:colOff>434023</xdr:colOff>
      <xdr:row>78</xdr:row>
      <xdr:rowOff>0</xdr:rowOff>
    </xdr:to>
    <xdr:pic>
      <xdr:nvPicPr>
        <xdr:cNvPr id="10" name="Imagen 9">
          <a:extLst>
            <a:ext uri="{FF2B5EF4-FFF2-40B4-BE49-F238E27FC236}">
              <a16:creationId xmlns:a16="http://schemas.microsoft.com/office/drawing/2014/main" id="{DD499BC8-D5E2-4641-9797-53F644E319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940969" y="11882438"/>
          <a:ext cx="3048000" cy="30480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</xdr:row>
      <xdr:rowOff>158751</xdr:rowOff>
    </xdr:from>
    <xdr:to>
      <xdr:col>1</xdr:col>
      <xdr:colOff>192790</xdr:colOff>
      <xdr:row>9</xdr:row>
      <xdr:rowOff>171451</xdr:rowOff>
    </xdr:to>
    <xdr:pic>
      <xdr:nvPicPr>
        <xdr:cNvPr id="14" name="Imagen 13">
          <a:extLst>
            <a:ext uri="{FF2B5EF4-FFF2-40B4-BE49-F238E27FC236}">
              <a16:creationId xmlns:a16="http://schemas.microsoft.com/office/drawing/2014/main" id="{7572B5F8-9FA3-4B18-A64A-94A984FF674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587376"/>
          <a:ext cx="1345315" cy="1346200"/>
        </a:xfrm>
        <a:prstGeom prst="rect">
          <a:avLst/>
        </a:prstGeom>
      </xdr:spPr>
    </xdr:pic>
    <xdr:clientData/>
  </xdr:twoCellAnchor>
  <xdr:twoCellAnchor editAs="oneCell">
    <xdr:from>
      <xdr:col>11</xdr:col>
      <xdr:colOff>1200150</xdr:colOff>
      <xdr:row>4</xdr:row>
      <xdr:rowOff>9526</xdr:rowOff>
    </xdr:from>
    <xdr:to>
      <xdr:col>12</xdr:col>
      <xdr:colOff>790575</xdr:colOff>
      <xdr:row>11</xdr:row>
      <xdr:rowOff>161926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6" name="Antigüedad 2">
              <a:extLst>
                <a:ext uri="{FF2B5EF4-FFF2-40B4-BE49-F238E27FC236}">
                  <a16:creationId xmlns:a16="http://schemas.microsoft.com/office/drawing/2014/main" id="{4C69542E-10C2-401C-9C5E-4505F642FC3D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Antigüedad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458325" y="819151"/>
              <a:ext cx="1828800" cy="14859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PA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323849</xdr:colOff>
      <xdr:row>3</xdr:row>
      <xdr:rowOff>83346</xdr:rowOff>
    </xdr:from>
    <xdr:to>
      <xdr:col>10</xdr:col>
      <xdr:colOff>304377</xdr:colOff>
      <xdr:row>11</xdr:row>
      <xdr:rowOff>28574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" name="Supervisor 2">
              <a:extLst>
                <a:ext uri="{FF2B5EF4-FFF2-40B4-BE49-F238E27FC236}">
                  <a16:creationId xmlns:a16="http://schemas.microsoft.com/office/drawing/2014/main" id="{00000000-0008-0000-0200-000003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Supervisor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5772149" y="883446"/>
              <a:ext cx="1819276" cy="1469228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PA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1</xdr:col>
      <xdr:colOff>805656</xdr:colOff>
      <xdr:row>3</xdr:row>
      <xdr:rowOff>83345</xdr:rowOff>
    </xdr:from>
    <xdr:to>
      <xdr:col>2</xdr:col>
      <xdr:colOff>575857</xdr:colOff>
      <xdr:row>11</xdr:row>
      <xdr:rowOff>45245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mes 3">
              <a:extLst>
                <a:ext uri="{FF2B5EF4-FFF2-40B4-BE49-F238E27FC236}">
                  <a16:creationId xmlns:a16="http://schemas.microsoft.com/office/drawing/2014/main" id="{00000000-0008-0000-0200-000005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es 3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767681" y="883445"/>
              <a:ext cx="1838325" cy="14859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PA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0</xdr:colOff>
      <xdr:row>3</xdr:row>
      <xdr:rowOff>0</xdr:rowOff>
    </xdr:from>
    <xdr:to>
      <xdr:col>1</xdr:col>
      <xdr:colOff>428625</xdr:colOff>
      <xdr:row>10</xdr:row>
      <xdr:rowOff>59211</xdr:rowOff>
    </xdr:to>
    <xdr:pic>
      <xdr:nvPicPr>
        <xdr:cNvPr id="9" name="Imagen 8">
          <a:extLst>
            <a:ext uri="{FF2B5EF4-FFF2-40B4-BE49-F238E27FC236}">
              <a16:creationId xmlns:a16="http://schemas.microsoft.com/office/drawing/2014/main" id="{5947D090-4403-46D3-9DDB-615428B506B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800100"/>
          <a:ext cx="1390650" cy="1392711"/>
        </a:xfrm>
        <a:prstGeom prst="rect">
          <a:avLst/>
        </a:prstGeom>
      </xdr:spPr>
    </xdr:pic>
    <xdr:clientData/>
  </xdr:twoCellAnchor>
  <xdr:twoCellAnchor editAs="oneCell">
    <xdr:from>
      <xdr:col>10</xdr:col>
      <xdr:colOff>666750</xdr:colOff>
      <xdr:row>3</xdr:row>
      <xdr:rowOff>95250</xdr:rowOff>
    </xdr:from>
    <xdr:to>
      <xdr:col>12</xdr:col>
      <xdr:colOff>611505</xdr:colOff>
      <xdr:row>11</xdr:row>
      <xdr:rowOff>9525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Antigüedad 1">
              <a:extLst>
                <a:ext uri="{FF2B5EF4-FFF2-40B4-BE49-F238E27FC236}">
                  <a16:creationId xmlns:a16="http://schemas.microsoft.com/office/drawing/2014/main" id="{7F1C636C-7926-42F6-85CA-13FA08E316FC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Antigüedad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7658100" y="895350"/>
              <a:ext cx="1828800" cy="143827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PA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279400</xdr:colOff>
      <xdr:row>3</xdr:row>
      <xdr:rowOff>111125</xdr:rowOff>
    </xdr:from>
    <xdr:to>
      <xdr:col>8</xdr:col>
      <xdr:colOff>427513</xdr:colOff>
      <xdr:row>8</xdr:row>
      <xdr:rowOff>202406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" name="Supervisor 1">
              <a:extLst>
                <a:ext uri="{FF2B5EF4-FFF2-40B4-BE49-F238E27FC236}">
                  <a16:creationId xmlns:a16="http://schemas.microsoft.com/office/drawing/2014/main" id="{00000000-0008-0000-0300-000003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Supervisor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6156325" y="1044575"/>
              <a:ext cx="1918493" cy="1710531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PA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9</xdr:col>
      <xdr:colOff>481170</xdr:colOff>
      <xdr:row>3</xdr:row>
      <xdr:rowOff>122556</xdr:rowOff>
    </xdr:from>
    <xdr:to>
      <xdr:col>12</xdr:col>
      <xdr:colOff>710089</xdr:colOff>
      <xdr:row>6</xdr:row>
      <xdr:rowOff>235268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Antigüedad">
              <a:extLst>
                <a:ext uri="{FF2B5EF4-FFF2-40B4-BE49-F238E27FC236}">
                  <a16:creationId xmlns:a16="http://schemas.microsoft.com/office/drawing/2014/main" id="{00000000-0008-0000-0300-000005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Antigüedad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7141050" y="1044576"/>
              <a:ext cx="1863409" cy="1072832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MX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2</xdr:col>
      <xdr:colOff>441801</xdr:colOff>
      <xdr:row>3</xdr:row>
      <xdr:rowOff>58419</xdr:rowOff>
    </xdr:from>
    <xdr:to>
      <xdr:col>4</xdr:col>
      <xdr:colOff>207646</xdr:colOff>
      <xdr:row>8</xdr:row>
      <xdr:rowOff>145733</xdr:rowOff>
    </xdr:to>
    <mc:AlternateContent xmlns:mc="http://schemas.openxmlformats.org/markup-compatibility/2006">
      <mc:Choice xmlns:a14="http://schemas.microsoft.com/office/drawing/2010/main" Requires="a14">
        <xdr:graphicFrame macro="">
          <xdr:nvGraphicFramePr>
            <xdr:cNvPr id="6" name="mes 1">
              <a:extLst>
                <a:ext uri="{FF2B5EF4-FFF2-40B4-BE49-F238E27FC236}">
                  <a16:creationId xmlns:a16="http://schemas.microsoft.com/office/drawing/2014/main" id="{00000000-0008-0000-0300-000006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es 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661251" y="985519"/>
              <a:ext cx="1270795" cy="1706564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PA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0</xdr:colOff>
      <xdr:row>3</xdr:row>
      <xdr:rowOff>0</xdr:rowOff>
    </xdr:from>
    <xdr:to>
      <xdr:col>0</xdr:col>
      <xdr:colOff>1606286</xdr:colOff>
      <xdr:row>8</xdr:row>
      <xdr:rowOff>1324</xdr:rowOff>
    </xdr:to>
    <xdr:pic>
      <xdr:nvPicPr>
        <xdr:cNvPr id="10" name="Imagen 9">
          <a:extLst>
            <a:ext uri="{FF2B5EF4-FFF2-40B4-BE49-F238E27FC236}">
              <a16:creationId xmlns:a16="http://schemas.microsoft.com/office/drawing/2014/main" id="{97034DB3-7BC1-48D3-B439-FD1022ABD15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642938"/>
          <a:ext cx="1606286" cy="1608667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2953181</xdr:colOff>
      <xdr:row>3</xdr:row>
      <xdr:rowOff>107634</xdr:rowOff>
    </xdr:from>
    <xdr:to>
      <xdr:col>1</xdr:col>
      <xdr:colOff>4528661</xdr:colOff>
      <xdr:row>11</xdr:row>
      <xdr:rowOff>71912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" name="Supervisor">
              <a:extLst>
                <a:ext uri="{FF2B5EF4-FFF2-40B4-BE49-F238E27FC236}">
                  <a16:creationId xmlns:a16="http://schemas.microsoft.com/office/drawing/2014/main" id="{00000000-0008-0000-0400-000003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Supervisor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859961" y="740094"/>
              <a:ext cx="1872660" cy="1427318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MX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1</xdr:col>
      <xdr:colOff>752475</xdr:colOff>
      <xdr:row>3</xdr:row>
      <xdr:rowOff>127794</xdr:rowOff>
    </xdr:from>
    <xdr:to>
      <xdr:col>1</xdr:col>
      <xdr:colOff>2581275</xdr:colOff>
      <xdr:row>11</xdr:row>
      <xdr:rowOff>77788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6" name="mes">
              <a:extLst>
                <a:ext uri="{FF2B5EF4-FFF2-40B4-BE49-F238E27FC236}">
                  <a16:creationId xmlns:a16="http://schemas.microsoft.com/office/drawing/2014/main" id="{00000000-0008-0000-0400-000006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es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638300" y="775494"/>
              <a:ext cx="1828800" cy="1473994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PA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0</xdr:colOff>
      <xdr:row>3</xdr:row>
      <xdr:rowOff>0</xdr:rowOff>
    </xdr:from>
    <xdr:to>
      <xdr:col>1</xdr:col>
      <xdr:colOff>535501</xdr:colOff>
      <xdr:row>10</xdr:row>
      <xdr:rowOff>85725</xdr:rowOff>
    </xdr:to>
    <xdr:pic>
      <xdr:nvPicPr>
        <xdr:cNvPr id="10" name="Imagen 9">
          <a:extLst>
            <a:ext uri="{FF2B5EF4-FFF2-40B4-BE49-F238E27FC236}">
              <a16:creationId xmlns:a16="http://schemas.microsoft.com/office/drawing/2014/main" id="{8AA13A10-3310-43EF-A988-DE7B7C8E31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647700"/>
          <a:ext cx="1421326" cy="1419225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264160</xdr:colOff>
      <xdr:row>6</xdr:row>
      <xdr:rowOff>20956</xdr:rowOff>
    </xdr:from>
    <xdr:to>
      <xdr:col>6</xdr:col>
      <xdr:colOff>109220</xdr:colOff>
      <xdr:row>11</xdr:row>
      <xdr:rowOff>137160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mes 4">
              <a:extLst>
                <a:ext uri="{FF2B5EF4-FFF2-40B4-BE49-F238E27FC236}">
                  <a16:creationId xmlns:a16="http://schemas.microsoft.com/office/drawing/2014/main" id="{00000000-0008-0000-0600-000004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es 4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64160" y="1118236"/>
              <a:ext cx="3456940" cy="1030604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MX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Shanyda Botello" refreshedDate="46230.639595486115" createdVersion="8" refreshedVersion="7" minRefreshableVersion="3" recordCount="33" xr:uid="{00000000-000A-0000-FFFF-FFFF43020000}">
  <cacheSource type="worksheet">
    <worksheetSource name="Data"/>
  </cacheSource>
  <cacheFields count="321">
    <cacheField name="Nombre del Agente:" numFmtId="0">
      <sharedItems count="15">
        <s v="Max Heurtematte  "/>
        <s v="Mitxely Naar"/>
        <s v="Gina Batista"/>
        <s v="Evelyn Torres"/>
        <s v="Astrid Carolina Camaño"/>
        <s v="Yaelin Bethancourt"/>
        <s v="David Gonzalez"/>
        <s v="Anabel González Torres"/>
        <s v="Yasmara Tejeira Hernández"/>
        <s v="Génesis Deniss Batista"/>
        <s v="Katherine Julibeth Arroyo Gutierrez"/>
        <s v="Abdiel Hernández"/>
        <s v="Edgar Alberto Marín Reyes"/>
        <s v="Jose Luis Reyes Pitti" u="1"/>
        <s v="Jesus Henriquez Grant Parks" u="1"/>
      </sharedItems>
    </cacheField>
    <cacheField name="ID Transacción:" numFmtId="0">
      <sharedItems containsSemiMixedTypes="0" containsString="0" containsNumber="1" containsInteger="1" minValue="61203994" maxValue="69932373"/>
    </cacheField>
    <cacheField name="Fecha:" numFmtId="14">
      <sharedItems containsSemiMixedTypes="0" containsNonDate="0" containsDate="1" containsString="0" minDate="2026-06-19T00:00:00" maxDate="2026-07-14T00:00:00"/>
    </cacheField>
    <cacheField name="Campaña:" numFmtId="0">
      <sharedItems/>
    </cacheField>
    <cacheField name="Supervisor" numFmtId="0">
      <sharedItems containsBlank="1" count="26">
        <s v="Maycol Lima"/>
        <s v="Lizeth González Mendoza"/>
        <s v="Miliceth Ortega"/>
        <s v="Nallelis Bolivar Manjarres " u="1"/>
        <m u="1"/>
        <s v="Bryan Ahumada" u="1"/>
        <s v="Luis Jimenez" u="1"/>
        <s v="Tania Jarquin" u="1"/>
        <s v="Luisa Paniagua" u="1"/>
        <s v="Caritina Fruto" u="1"/>
        <s v="Yainer Diaz" u="1"/>
        <s v="Ladys Saltar" u="1"/>
        <s v="Miguel Amador" u="1"/>
        <s v="Jaqueline Chavarría" u="1"/>
        <s v="Kiara Santoya" u="1"/>
        <s v="Yesica Sarmiento" u="1"/>
        <s v="Maria Castañeda" u="1"/>
        <s v="Jose Puyol" u="1"/>
        <s v="Joselyn Alvarez" u="1"/>
        <s v="Jonathan Rene Ortega de la Cruz" u="1"/>
        <s v="Hilary Almendarez" u="1"/>
        <s v="Kathlyn Carrillo" u="1"/>
        <s v="Gabriela" u="1"/>
        <s v="Roberto Casis" u="1"/>
        <s v="Manuel García" u="1"/>
        <s v="Leydi Acero" u="1"/>
      </sharedItems>
    </cacheField>
    <cacheField name="Proceso" numFmtId="0">
      <sharedItems containsBlank="1" count="2">
        <s v="Outbound"/>
        <m u="1"/>
      </sharedItems>
    </cacheField>
    <cacheField name="Auditor" numFmtId="0">
      <sharedItems/>
    </cacheField>
    <cacheField name="Semana" numFmtId="0">
      <sharedItems/>
    </cacheField>
    <cacheField name="Tipo de Muestra" numFmtId="14">
      <sharedItems/>
    </cacheField>
    <cacheField name="¿El agente realiza despedida corporativa? " numFmtId="0">
      <sharedItems/>
    </cacheField>
    <cacheField name="¿El agente personaliza la interacción? " numFmtId="0">
      <sharedItems/>
    </cacheField>
    <cacheField name="¿El agente cumple con la identificación formal y profesional? " numFmtId="0">
      <sharedItems/>
    </cacheField>
    <cacheField name="¿El agente demuestra escucha activa durante la gestión? " numFmtId="0">
      <sharedItems/>
    </cacheField>
    <cacheField name="¿El agente evita interrumpir al cliente? " numFmtId="0">
      <sharedItems/>
    </cacheField>
    <cacheField name="¿El agente se comunica con claridad y estructura? " numFmtId="0">
      <sharedItems/>
    </cacheField>
    <cacheField name="¿El agente parafrasea para confirmar entendimiento? " numFmtId="0">
      <sharedItems/>
    </cacheField>
    <cacheField name="¿El agente muestra entusiasmo genuino? " numFmtId="0">
      <sharedItems/>
    </cacheField>
    <cacheField name="¿El agente adapta su comunicación al cliente? " numFmtId="0">
      <sharedItems/>
    </cacheField>
    <cacheField name="¿El agente transmite confianza durante la llamada? " numFmtId="0">
      <sharedItems/>
    </cacheField>
    <cacheField name="¿El agente utiliza el plural corporativo correctamente? " numFmtId="0">
      <sharedItems/>
    </cacheField>
    <cacheField name="¿El agente gestiona bien el tiempo de la interacción? " numFmtId="0">
      <sharedItems/>
    </cacheField>
    <cacheField name="¿El agente informa correctamente sobre los centros de pago? " numFmtId="0">
      <sharedItems/>
    </cacheField>
    <cacheField name="¿El agente comunica claramente el precio mensual más impuestos? " numFmtId="0">
      <sharedItems/>
    </cacheField>
    <cacheField name="¿El agente informa sobre cargos adicionales relacionados? " numFmtId="0">
      <sharedItems/>
    </cacheField>
    <cacheField name="¿El agente explica el ciclo de facturación adecuadamente? " numFmtId="0">
      <sharedItems/>
    </cacheField>
    <cacheField name="¿El agente presenta correctamente los beneficios del producto? " numFmtId="0">
      <sharedItems/>
    </cacheField>
    <cacheField name="¿El agente comunica beneficios emocionales al cliente? " numFmtId="0">
      <sharedItems/>
    </cacheField>
    <cacheField name="¿El agente realiza un resumen comercial adecuado? " numFmtId="0">
      <sharedItems/>
    </cacheField>
    <cacheField name="¿El agente detalla correctamente los tiempos operativos? " numFmtId="0">
      <sharedItems/>
    </cacheField>
    <cacheField name="¿El agente explica los términos y condiciones del servicio? " numFmtId="0">
      <sharedItems/>
    </cacheField>
    <cacheField name="¿El agente identifica correctamente la solicitud del cliente? " numFmtId="0">
      <sharedItems/>
    </cacheField>
    <cacheField name="¿El agente evita activar un servicio diferente al solicitado? " numFmtId="0">
      <sharedItems/>
    </cacheField>
    <cacheField name="¿El agente utiliza correctamente la herramienta de activación? " numFmtId="0">
      <sharedItems/>
    </cacheField>
    <cacheField name="¿El agente configura adecuadamente el producto contratado? " numFmtId="0">
      <sharedItems/>
    </cacheField>
    <cacheField name="¿El agente mantiene respeto y cordialidad en toda la interacción? " numFmtId="0">
      <sharedItems/>
    </cacheField>
    <cacheField name="¿El agente utiliza un lenguaje adecuado y profesional? " numFmtId="0">
      <sharedItems/>
    </cacheField>
    <cacheField name="¿El agente verifica correctamente la cobertura? " numFmtId="0">
      <sharedItems/>
    </cacheField>
    <cacheField name="¿El agente solicita la documentación requerida? " numFmtId="0">
      <sharedItems/>
    </cacheField>
    <cacheField name="¿El agente adjunta correctamente la documentación al sistema? " numFmtId="0">
      <sharedItems/>
    </cacheField>
    <cacheField name="¿El agente identifica cuentas malas cuando corresponde? " numFmtId="0">
      <sharedItems/>
    </cacheField>
    <cacheField name="¿El agente realiza la verificación APC según procedimiento? " numFmtId="0">
      <sharedItems/>
    </cacheField>
    <cacheField name="¿El agente aplica las políticas comerciales de forma correcta? " numFmtId="0">
      <sharedItems/>
    </cacheField>
    <cacheField name="¿El agente agenda citas o gestiones cuando es necesario? " numFmtId="0">
      <sharedItems/>
    </cacheField>
    <cacheField name="¿El agente ofrece adecuadamente un producto adicional? " numFmtId="0">
      <sharedItems/>
    </cacheField>
    <cacheField name="¿El agente realiza venta cruzada cuando corresponde? " numFmtId="0">
      <sharedItems/>
    </cacheField>
    <cacheField name="¿El agente indaga o sondea adecuadamente las necesidades del cliente? " numFmtId="0">
      <sharedItems/>
    </cacheField>
    <cacheField name="¿El agente solicita y gestiona referidos cuando aplica?" numFmtId="0">
      <sharedItems/>
    </cacheField>
    <cacheField name="¿El agente realiza seguimiento adecuado al caso o solicitud? " numFmtId="0">
      <sharedItems/>
    </cacheField>
    <cacheField name="¿El agente maneja correctamente las objeciones del cliente? " numFmtId="0">
      <sharedItems/>
    </cacheField>
    <cacheField name="¿El agente gestiona la oferta según la campaña vigente? " numFmtId="0">
      <sharedItems/>
    </cacheField>
    <cacheField name="¿El agente solicita coordenadas cuando es necesario? " numFmtId="0">
      <sharedItems/>
    </cacheField>
    <cacheField name="¿El agente gestiona la recepción de documentos por WhatsApp o correo? " numFmtId="0">
      <sharedItems/>
    </cacheField>
    <cacheField name="¿El agente maneja adecuadamente llamadas en conferencia? " numFmtId="0">
      <sharedItems/>
    </cacheField>
    <cacheField name="¿El agente registra correctamente todas las interacciones? " numFmtId="0">
      <sharedItems/>
    </cacheField>
    <cacheField name="¿El agente confirma la titularidad del cliente adecuadamente? " numFmtId="0">
      <sharedItems/>
    </cacheField>
    <cacheField name="¿El agente evita la omisión de alertas importantes? " numFmtId="0">
      <sharedItems/>
    </cacheField>
    <cacheField name="¿El agente mantiene conducta ética durante la interacción? " numFmtId="0">
      <sharedItems/>
    </cacheField>
    <cacheField name="¿El agente evita compartir información sensible? " numFmtId="0">
      <sharedItems/>
    </cacheField>
    <cacheField name="Observaciones" numFmtId="0">
      <sharedItems containsNonDate="0" containsString="0" containsBlank="1"/>
    </cacheField>
    <cacheField name="Resultado auditoria" numFmtId="14">
      <sharedItems/>
    </cacheField>
    <cacheField name="Acepta Oferta" numFmtId="0">
      <sharedItems containsNonDate="0" containsString="0" containsBlank="1"/>
    </cacheField>
    <cacheField name="Motivo de no aceptacion" numFmtId="0">
      <sharedItems containsNonDate="0" containsString="0" containsBlank="1"/>
    </cacheField>
    <cacheField name="¿El agente cumple con la identificación formal y profesional?2" numFmtId="0">
      <sharedItems containsSemiMixedTypes="0" containsString="0" containsNumber="1" containsInteger="1" minValue="1" maxValue="1"/>
    </cacheField>
    <cacheField name="¿El agente personaliza la interacción?3" numFmtId="0">
      <sharedItems containsSemiMixedTypes="0" containsString="0" containsNumber="1" containsInteger="1" minValue="1" maxValue="1"/>
    </cacheField>
    <cacheField name="¿El agente realiza despedida corporativa?4" numFmtId="0">
      <sharedItems containsSemiMixedTypes="0" containsString="0" containsNumber="1" containsInteger="1" minValue="1" maxValue="1"/>
    </cacheField>
    <cacheField name="¿El agente demuestra escucha activa durante la gestión?5" numFmtId="0">
      <sharedItems containsSemiMixedTypes="0" containsString="0" containsNumber="1" containsInteger="1" minValue="1" maxValue="1"/>
    </cacheField>
    <cacheField name="¿El agente evita interrumpir al cliente?6" numFmtId="0">
      <sharedItems containsSemiMixedTypes="0" containsString="0" containsNumber="1" containsInteger="1" minValue="1" maxValue="1"/>
    </cacheField>
    <cacheField name="¿El agente se comunica con claridad y estructura?7" numFmtId="0">
      <sharedItems containsSemiMixedTypes="0" containsString="0" containsNumber="1" containsInteger="1" minValue="1" maxValue="1"/>
    </cacheField>
    <cacheField name="¿El agente parafrasea para confirmar entendimiento?8" numFmtId="0">
      <sharedItems containsSemiMixedTypes="0" containsString="0" containsNumber="1" containsInteger="1" minValue="1" maxValue="1"/>
    </cacheField>
    <cacheField name="¿El agente adapta su comunicación al cliente?9" numFmtId="0">
      <sharedItems containsSemiMixedTypes="0" containsString="0" containsNumber="1" containsInteger="1" minValue="0" maxValue="1"/>
    </cacheField>
    <cacheField name="¿El agente muestra entusiasmo genuino?10" numFmtId="0">
      <sharedItems containsSemiMixedTypes="0" containsString="0" containsNumber="1" containsInteger="1" minValue="1" maxValue="1"/>
    </cacheField>
    <cacheField name="¿El agente transmite confianza durante la llamada?11" numFmtId="0">
      <sharedItems containsSemiMixedTypes="0" containsString="0" containsNumber="1" containsInteger="1" minValue="1" maxValue="1"/>
    </cacheField>
    <cacheField name="¿El agente utiliza el plural corporativo correctamente?12" numFmtId="0">
      <sharedItems containsSemiMixedTypes="0" containsString="0" containsNumber="1" containsInteger="1" minValue="1" maxValue="1"/>
    </cacheField>
    <cacheField name="¿El agente mantiene control de la conversación?13" numFmtId="0">
      <sharedItems containsSemiMixedTypes="0" containsString="0" containsNumber="1" containsInteger="1" minValue="1" maxValue="1"/>
    </cacheField>
    <cacheField name="¿El agente informa correctamente sobre los centros de pago?15" numFmtId="0">
      <sharedItems containsSemiMixedTypes="0" containsString="0" containsNumber="1" containsInteger="1" minValue="1" maxValue="1"/>
    </cacheField>
    <cacheField name="¿El agente comunica claramente el precio mensual más impuestos?16" numFmtId="0">
      <sharedItems containsSemiMixedTypes="0" containsString="0" containsNumber="1" containsInteger="1" minValue="1" maxValue="1"/>
    </cacheField>
    <cacheField name="¿El agente informa sobre cargos adicionales relacionados?17" numFmtId="0">
      <sharedItems containsSemiMixedTypes="0" containsString="0" containsNumber="1" containsInteger="1" minValue="0" maxValue="0"/>
    </cacheField>
    <cacheField name="¿El agente explica el ciclo de facturación adecuadamente?18" numFmtId="0">
      <sharedItems containsSemiMixedTypes="0" containsString="0" containsNumber="1" containsInteger="1" minValue="0" maxValue="0"/>
    </cacheField>
    <cacheField name="¿El agente presenta correctamente los beneficios del producto?19" numFmtId="0">
      <sharedItems containsSemiMixedTypes="0" containsString="0" containsNumber="1" containsInteger="1" minValue="0" maxValue="0"/>
    </cacheField>
    <cacheField name="¿El agente comunica beneficios emocionales al cliente?20" numFmtId="0">
      <sharedItems containsSemiMixedTypes="0" containsString="0" containsNumber="1" containsInteger="1" minValue="0" maxValue="0"/>
    </cacheField>
    <cacheField name="¿El agente realiza un resumen comercial adecuado?21" numFmtId="0">
      <sharedItems containsSemiMixedTypes="0" containsString="0" containsNumber="1" containsInteger="1" minValue="0" maxValue="0"/>
    </cacheField>
    <cacheField name="¿El agente detalla correctamente los tiempos operativos?22" numFmtId="0">
      <sharedItems containsSemiMixedTypes="0" containsString="0" containsNumber="1" containsInteger="1" minValue="0" maxValue="0"/>
    </cacheField>
    <cacheField name="¿El agente formaliza correctamente el acuerdo de venta?23" numFmtId="0">
      <sharedItems containsSemiMixedTypes="0" containsString="0" containsNumber="1" containsInteger="1" minValue="0" maxValue="0"/>
    </cacheField>
    <cacheField name="¿El agente explica los términos y condiciones del servicio?24" numFmtId="0">
      <sharedItems containsSemiMixedTypes="0" containsString="0" containsNumber="1" containsInteger="1" minValue="0" maxValue="0"/>
    </cacheField>
    <cacheField name="¿El agente identifica correctamente la solicitud del cliente?25" numFmtId="0">
      <sharedItems containsSemiMixedTypes="0" containsString="0" containsNumber="1" containsInteger="1" minValue="0" maxValue="0"/>
    </cacheField>
    <cacheField name="¿El agente evita activar un servicio diferente al solicitado?26" numFmtId="0">
      <sharedItems containsSemiMixedTypes="0" containsString="0" containsNumber="1" containsInteger="1" minValue="0" maxValue="0"/>
    </cacheField>
    <cacheField name="¿El agente utiliza correctamente la herramienta de activación?27" numFmtId="0">
      <sharedItems containsSemiMixedTypes="0" containsString="0" containsNumber="1" containsInteger="1" minValue="0" maxValue="0"/>
    </cacheField>
    <cacheField name="¿El agente configura adecuadamente el producto contratado?28" numFmtId="0">
      <sharedItems containsSemiMixedTypes="0" containsString="0" containsNumber="1" containsInteger="1" minValue="0" maxValue="0"/>
    </cacheField>
    <cacheField name="¿El agente mantiene respeto y cordialidad en toda la interacción?29" numFmtId="0">
      <sharedItems containsSemiMixedTypes="0" containsString="0" containsNumber="1" containsInteger="1" minValue="0" maxValue="0"/>
    </cacheField>
    <cacheField name="¿El agente utiliza un lenguaje adecuado y profesional?30" numFmtId="0">
      <sharedItems containsSemiMixedTypes="0" containsString="0" containsNumber="1" containsInteger="1" minValue="0" maxValue="0"/>
    </cacheField>
    <cacheField name="¿El agente verifica correctamente la cobertura?31" numFmtId="0">
      <sharedItems containsSemiMixedTypes="0" containsString="0" containsNumber="1" containsInteger="1" minValue="0" maxValue="0"/>
    </cacheField>
    <cacheField name="¿El agente solicita la documentación requerida?32" numFmtId="0">
      <sharedItems containsSemiMixedTypes="0" containsString="0" containsNumber="1" containsInteger="1" minValue="0" maxValue="0"/>
    </cacheField>
    <cacheField name="¿El agente adjunta correctamente la documentación al sistema?33" numFmtId="0">
      <sharedItems containsSemiMixedTypes="0" containsString="0" containsNumber="1" containsInteger="1" minValue="0" maxValue="0"/>
    </cacheField>
    <cacheField name="¿El agente identifica cuentas malas cuando corresponde?34" numFmtId="0">
      <sharedItems containsSemiMixedTypes="0" containsString="0" containsNumber="1" containsInteger="1" minValue="0" maxValue="0"/>
    </cacheField>
    <cacheField name="¿El agente realiza la verificación APC según procedimiento?35" numFmtId="0">
      <sharedItems containsSemiMixedTypes="0" containsString="0" containsNumber="1" containsInteger="1" minValue="0" maxValue="0"/>
    </cacheField>
    <cacheField name="¿El agente aplica las políticas comerciales de forma correcta?36" numFmtId="0">
      <sharedItems containsSemiMixedTypes="0" containsString="0" containsNumber="1" containsInteger="1" minValue="0" maxValue="0"/>
    </cacheField>
    <cacheField name="¿El agente ofrece adecuadamente un producto adicional?38" numFmtId="0">
      <sharedItems containsSemiMixedTypes="0" containsString="0" containsNumber="1" containsInteger="1" minValue="0" maxValue="0"/>
    </cacheField>
    <cacheField name="¿El agente realiza venta cruzada cuando corresponde?39" numFmtId="0">
      <sharedItems containsSemiMixedTypes="0" containsString="0" containsNumber="1" containsInteger="1" minValue="0" maxValue="0"/>
    </cacheField>
    <cacheField name="¿El agente indaga o sondea adecuadamente las necesidades del cliente?40" numFmtId="0">
      <sharedItems containsSemiMixedTypes="0" containsString="0" containsNumber="1" containsInteger="1" minValue="0" maxValue="0"/>
    </cacheField>
    <cacheField name="El agente solicita y gestiona referidos cuando aplica?41" numFmtId="0">
      <sharedItems containsSemiMixedTypes="0" containsString="0" containsNumber="1" containsInteger="1" minValue="0" maxValue="0"/>
    </cacheField>
    <cacheField name="¿El agente realiza seguimiento adecuado al caso o solicitud?42" numFmtId="0">
      <sharedItems containsSemiMixedTypes="0" containsString="0" containsNumber="1" containsInteger="1" minValue="0" maxValue="0"/>
    </cacheField>
    <cacheField name="¿El agente maneja correctamente las objeciones del cliente?43" numFmtId="0">
      <sharedItems containsSemiMixedTypes="0" containsString="0" containsNumber="1" containsInteger="1" minValue="0" maxValue="0"/>
    </cacheField>
    <cacheField name="¿El agente gestiona la oferta según la campaña vigente?44" numFmtId="0">
      <sharedItems containsSemiMixedTypes="0" containsString="0" containsNumber="1" containsInteger="1" minValue="0" maxValue="0"/>
    </cacheField>
    <cacheField name="¿El agente solicita coordenadas cuando es necesario?45" numFmtId="0">
      <sharedItems containsSemiMixedTypes="0" containsString="0" containsNumber="1" containsInteger="1" minValue="0" maxValue="0"/>
    </cacheField>
    <cacheField name="¿El agente gestiona la recepción de documentos por WhatsApp o correo?46" numFmtId="0">
      <sharedItems containsSemiMixedTypes="0" containsString="0" containsNumber="1" containsInteger="1" minValue="0" maxValue="0"/>
    </cacheField>
    <cacheField name="¿El agente maneja adecuadamente llamadas en conferencia?47" numFmtId="0">
      <sharedItems containsSemiMixedTypes="0" containsString="0" containsNumber="1" containsInteger="1" minValue="0" maxValue="0"/>
    </cacheField>
    <cacheField name="¿El agente registra correctamente todas las interacciones?48" numFmtId="0">
      <sharedItems containsSemiMixedTypes="0" containsString="0" containsNumber="1" containsInteger="1" minValue="0" maxValue="0"/>
    </cacheField>
    <cacheField name="¿El agente confirma la titularidad del cliente adecuadamente?49" numFmtId="0">
      <sharedItems containsSemiMixedTypes="0" containsString="0" containsNumber="1" containsInteger="1" minValue="0" maxValue="0"/>
    </cacheField>
    <cacheField name="¿El agente evita la omisión de alertas importantes?50" numFmtId="0">
      <sharedItems containsSemiMixedTypes="0" containsString="0" containsNumber="1" containsInteger="1" minValue="0" maxValue="0"/>
    </cacheField>
    <cacheField name="¿El agente mantiene conducta ética durante la interacción?51" numFmtId="0">
      <sharedItems containsSemiMixedTypes="0" containsString="0" containsNumber="1" containsInteger="1" minValue="0" maxValue="0"/>
    </cacheField>
    <cacheField name="¿El agente evita compartir información sensible?52" numFmtId="0">
      <sharedItems containsSemiMixedTypes="0" containsString="0" containsNumber="1" containsInteger="1" minValue="1" maxValue="1"/>
    </cacheField>
    <cacheField name="¿El agente cumple con la identificación formal y profesional?3" numFmtId="10">
      <sharedItems containsSemiMixedTypes="0" containsString="0" containsNumber="1" minValue="0.15" maxValue="0.15"/>
    </cacheField>
    <cacheField name="¿El agente personaliza la interacción?4" numFmtId="10">
      <sharedItems containsSemiMixedTypes="0" containsString="0" containsNumber="1" minValue="0.15" maxValue="0.15"/>
    </cacheField>
    <cacheField name="¿El agente realiza despedida corporativa?5" numFmtId="10">
      <sharedItems containsSemiMixedTypes="0" containsString="0" containsNumber="1" minValue="0.15" maxValue="0.15"/>
    </cacheField>
    <cacheField name="Apertura y cierre corporativo Score" numFmtId="10">
      <sharedItems containsSemiMixedTypes="0" containsString="0" containsNumber="1" minValue="0.15" maxValue="0.15"/>
    </cacheField>
    <cacheField name="¿El agente demuestra escucha activa durante la gestión?6" numFmtId="10">
      <sharedItems containsSemiMixedTypes="0" containsString="0" containsNumber="1" minValue="0.3" maxValue="0.3"/>
    </cacheField>
    <cacheField name="¿El agente evita interrumpir al cliente?7" numFmtId="10">
      <sharedItems containsSemiMixedTypes="0" containsString="0" containsNumber="1" minValue="0.3" maxValue="0.3"/>
    </cacheField>
    <cacheField name="¿El agente se comunica con claridad y estructura?8" numFmtId="10">
      <sharedItems containsSemiMixedTypes="0" containsString="0" containsNumber="1" minValue="0.3" maxValue="0.3"/>
    </cacheField>
    <cacheField name="¿El agente parafrasea para confirmar entendimiento?9" numFmtId="10">
      <sharedItems containsSemiMixedTypes="0" containsString="0" containsNumber="1" minValue="0.3" maxValue="0.3"/>
    </cacheField>
    <cacheField name="Comunicación comercial Score" numFmtId="10">
      <sharedItems containsSemiMixedTypes="0" containsString="0" containsNumber="1" minValue="0.3" maxValue="0.3"/>
    </cacheField>
    <cacheField name="¿El agente adapta su comunicación al cliente?11" numFmtId="10">
      <sharedItems containsSemiMixedTypes="0" containsString="0" containsNumber="1" minValue="0" maxValue="0.3"/>
    </cacheField>
    <cacheField name="¿El agente muestra entusiasmo genuino?12" numFmtId="10">
      <sharedItems containsSemiMixedTypes="0" containsString="0" containsNumber="1" minValue="0.3" maxValue="0.3"/>
    </cacheField>
    <cacheField name="¿El agente transmite confianza durante la llamada?13" numFmtId="10">
      <sharedItems containsSemiMixedTypes="0" containsString="0" containsNumber="1" minValue="0.3" maxValue="0.3"/>
    </cacheField>
    <cacheField name="¿El agente utiliza el plural corporativo correctamente?14" numFmtId="10">
      <sharedItems containsSemiMixedTypes="0" containsString="0" containsNumber="1" minValue="0.3" maxValue="0.3"/>
    </cacheField>
    <cacheField name="Inteligencia emocional en venta Score" numFmtId="10">
      <sharedItems containsSemiMixedTypes="0" containsString="0" containsNumber="1" minValue="0" maxValue="0.3"/>
    </cacheField>
    <cacheField name="¿El agente mantiene control de la conversación?16" numFmtId="10">
      <sharedItems containsSemiMixedTypes="0" containsString="0" containsNumber="1" minValue="0.25" maxValue="0.25"/>
    </cacheField>
    <cacheField name="Profesionalismo y control de la llamada Score" numFmtId="10">
      <sharedItems containsSemiMixedTypes="0" containsString="0" containsNumber="1" minValue="0.25" maxValue="0.25"/>
    </cacheField>
    <cacheField name="SCORE PENC" numFmtId="10">
      <sharedItems containsSemiMixedTypes="0" containsString="0" containsNumber="1" minValue="0.7" maxValue="1"/>
    </cacheField>
    <cacheField name="¿El agente informa correctamente sobre los centros de pago?19" numFmtId="10">
      <sharedItems containsSemiMixedTypes="0" containsString="0" containsNumber="1" containsInteger="1" minValue="1" maxValue="1"/>
    </cacheField>
    <cacheField name="¿El agente comunica claramente el precio mensual más impuestos?20" numFmtId="10">
      <sharedItems containsSemiMixedTypes="0" containsString="0" containsNumber="1" containsInteger="1" minValue="1" maxValue="1"/>
    </cacheField>
    <cacheField name="¿El agente informa sobre cargos adicionales relacionados?21" numFmtId="10">
      <sharedItems containsSemiMixedTypes="0" containsString="0" containsNumber="1" containsInteger="1" minValue="0" maxValue="1"/>
    </cacheField>
    <cacheField name="¿El agente explica el ciclo de facturación adecuadamente?22" numFmtId="10">
      <sharedItems containsSemiMixedTypes="0" containsString="0" containsNumber="1" containsInteger="1" minValue="0" maxValue="1"/>
    </cacheField>
    <cacheField name="Facturación" numFmtId="10">
      <sharedItems containsSemiMixedTypes="0" containsString="0" containsNumber="1" containsInteger="1" minValue="0" maxValue="1"/>
    </cacheField>
    <cacheField name="¿El agente presenta correctamente los beneficios del producto?23" numFmtId="10">
      <sharedItems containsSemiMixedTypes="0" containsString="0" containsNumber="1" containsInteger="1" minValue="1" maxValue="1"/>
    </cacheField>
    <cacheField name="¿El agente comunica beneficios emocionales al cliente?24" numFmtId="10">
      <sharedItems containsSemiMixedTypes="0" containsString="0" containsNumber="1" containsInteger="1" minValue="1" maxValue="1"/>
    </cacheField>
    <cacheField name="Presentación de valor del producto2" numFmtId="10">
      <sharedItems containsSemiMixedTypes="0" containsString="0" containsNumber="1" containsInteger="1" minValue="1" maxValue="1"/>
    </cacheField>
    <cacheField name="¿El agente realiza un resumen comercial adecuado?25" numFmtId="10">
      <sharedItems containsSemiMixedTypes="0" containsString="0" containsNumber="1" containsInteger="1" minValue="1" maxValue="1"/>
    </cacheField>
    <cacheField name="¿El agente detalla correctamente los tiempos operativos?26" numFmtId="10">
      <sharedItems containsSemiMixedTypes="0" containsString="0" containsNumber="1" containsInteger="1" minValue="1" maxValue="1"/>
    </cacheField>
    <cacheField name="¿El agente formaliza correctamente el acuerdo de venta?27" numFmtId="10">
      <sharedItems containsSemiMixedTypes="0" containsString="0" containsNumber="1" containsInteger="1" minValue="1" maxValue="1"/>
    </cacheField>
    <cacheField name="Confirmación Operativa 2" numFmtId="10">
      <sharedItems containsSemiMixedTypes="0" containsString="0" containsNumber="1" containsInteger="1" minValue="1" maxValue="1"/>
    </cacheField>
    <cacheField name="¿El agente explica los términos y condiciones del servicio?28" numFmtId="10">
      <sharedItems containsSemiMixedTypes="0" containsString="0" containsNumber="1" containsInteger="1" minValue="1" maxValue="1"/>
    </cacheField>
    <cacheField name="Terminos y condiciones2" numFmtId="10">
      <sharedItems containsSemiMixedTypes="0" containsString="0" containsNumber="1" containsInteger="1" minValue="1" maxValue="1"/>
    </cacheField>
    <cacheField name="¿El agente identifica correctamente la solicitud del cliente?29" numFmtId="10">
      <sharedItems containsSemiMixedTypes="0" containsString="0" containsNumber="1" containsInteger="1" minValue="1" maxValue="1"/>
    </cacheField>
    <cacheField name="Derivación erronea" numFmtId="10">
      <sharedItems containsSemiMixedTypes="0" containsString="0" containsNumber="1" containsInteger="1" minValue="1" maxValue="1"/>
    </cacheField>
    <cacheField name="¿El agente evita activar un servicio diferente al solicitado?30" numFmtId="10">
      <sharedItems containsSemiMixedTypes="0" containsString="0" containsNumber="1" containsInteger="1" minValue="1" maxValue="1"/>
    </cacheField>
    <cacheField name="¿El agente utiliza correctamente la herramienta de activación?31" numFmtId="10">
      <sharedItems containsSemiMixedTypes="0" containsString="0" containsNumber="1" containsInteger="1" minValue="1" maxValue="1"/>
    </cacheField>
    <cacheField name="¿El agente configura adecuadamente el producto contratado?32" numFmtId="10">
      <sharedItems containsSemiMixedTypes="0" containsString="0" containsNumber="1" containsInteger="1" minValue="0" maxValue="1"/>
    </cacheField>
    <cacheField name="Activación errada2" numFmtId="10">
      <sharedItems containsSemiMixedTypes="0" containsString="0" containsNumber="1" containsInteger="1" minValue="0" maxValue="1"/>
    </cacheField>
    <cacheField name="¿El agente mantiene respeto y cordialidad en toda la interacción?33" numFmtId="10">
      <sharedItems containsSemiMixedTypes="0" containsString="0" containsNumber="1" containsInteger="1" minValue="0" maxValue="1"/>
    </cacheField>
    <cacheField name="¿El agente utiliza un lenguaje adecuado y profesional?34" numFmtId="10">
      <sharedItems containsSemiMixedTypes="0" containsString="0" containsNumber="1" containsInteger="1" minValue="1" maxValue="1"/>
    </cacheField>
    <cacheField name="Trato profesional2" numFmtId="10">
      <sharedItems containsSemiMixedTypes="0" containsString="0" containsNumber="1" containsInteger="1" minValue="0" maxValue="1"/>
    </cacheField>
    <cacheField name="¿El agente verifica correctamente la cobertura?35" numFmtId="10">
      <sharedItems containsSemiMixedTypes="0" containsString="0" containsNumber="1" containsInteger="1" minValue="1" maxValue="1"/>
    </cacheField>
    <cacheField name="¿El agente solicita la documentación requerida?36" numFmtId="10">
      <sharedItems containsSemiMixedTypes="0" containsString="0" containsNumber="1" containsInteger="1" minValue="1" maxValue="1"/>
    </cacheField>
    <cacheField name="¿El agente adjunta correctamente la documentación al sistema?37" numFmtId="10">
      <sharedItems containsSemiMixedTypes="0" containsString="0" containsNumber="1" containsInteger="1" minValue="1" maxValue="1"/>
    </cacheField>
    <cacheField name="¿El agente identifica cuentas malas cuando corresponde?38" numFmtId="10">
      <sharedItems containsSemiMixedTypes="0" containsString="0" containsNumber="1" containsInteger="1" minValue="1" maxValue="1"/>
    </cacheField>
    <cacheField name="¿El agente realiza la verificación APC según procedimiento?39" numFmtId="10">
      <sharedItems containsSemiMixedTypes="0" containsString="0" containsNumber="1" containsInteger="1" minValue="1" maxValue="1"/>
    </cacheField>
    <cacheField name="¿El agente agenda citas o gestiones cuando es necesario?41" numFmtId="10">
      <sharedItems containsSemiMixedTypes="0" containsString="0" containsNumber="1" containsInteger="1" minValue="1" maxValue="1"/>
    </cacheField>
    <cacheField name="Politicas de activación" numFmtId="10">
      <sharedItems containsSemiMixedTypes="0" containsString="0" containsNumber="1" containsInteger="1" minValue="1" maxValue="1"/>
    </cacheField>
    <cacheField name="PECUF" numFmtId="10">
      <sharedItems containsSemiMixedTypes="0" containsString="0" containsNumber="1" containsInteger="1" minValue="0" maxValue="1"/>
    </cacheField>
    <cacheField name="¿El agente ofrece adecuadamente un producto adicional?42" numFmtId="10">
      <sharedItems containsSemiMixedTypes="0" containsString="0" containsNumber="1" containsInteger="1" minValue="1" maxValue="1"/>
    </cacheField>
    <cacheField name="¿El agente realiza venta cruzada cuando corresponde?43" numFmtId="10">
      <sharedItems containsSemiMixedTypes="0" containsString="0" containsNumber="1" containsInteger="1" minValue="0" maxValue="1"/>
    </cacheField>
    <cacheField name="¿El agente indaga o sondea adecuadamente las necesidades del cliente?44" numFmtId="10">
      <sharedItems containsSemiMixedTypes="0" containsString="0" containsNumber="1" containsInteger="1" minValue="0" maxValue="1"/>
    </cacheField>
    <cacheField name="El agente solicita y gestiona referidos cuando aplica?45" numFmtId="10">
      <sharedItems containsSemiMixedTypes="0" containsString="0" containsNumber="1" containsInteger="1" minValue="1" maxValue="1"/>
    </cacheField>
    <cacheField name="¿El agente realiza seguimiento adecuado al caso o solicitud?46" numFmtId="10">
      <sharedItems containsSemiMixedTypes="0" containsString="0" containsNumber="1" containsInteger="1" minValue="0" maxValue="1"/>
    </cacheField>
    <cacheField name="¿El agente maneja correctamente las objeciones del cliente?47" numFmtId="10">
      <sharedItems containsSemiMixedTypes="0" containsString="0" containsNumber="1" containsInteger="1" minValue="0" maxValue="1"/>
    </cacheField>
    <cacheField name="Identificación de oportunidad comercial" numFmtId="10">
      <sharedItems containsSemiMixedTypes="0" containsString="0" containsNumber="1" containsInteger="1" minValue="0" maxValue="1"/>
    </cacheField>
    <cacheField name="¿El agente gestiona la oferta según la campaña vigente?48" numFmtId="10">
      <sharedItems containsSemiMixedTypes="0" containsString="0" containsNumber="1" containsInteger="1" minValue="1" maxValue="1"/>
    </cacheField>
    <cacheField name="Adherencia a la oferta2" numFmtId="10">
      <sharedItems containsSemiMixedTypes="0" containsString="0" containsNumber="1" containsInteger="1" minValue="1" maxValue="1"/>
    </cacheField>
    <cacheField name="¿El agente solicita coordenadas cuando es necesario?49" numFmtId="10">
      <sharedItems containsSemiMixedTypes="0" containsString="0" containsNumber="1" containsInteger="1" minValue="1" maxValue="1"/>
    </cacheField>
    <cacheField name="¿El agente gestiona la recepción de documentos por WhatsApp o correo?50" numFmtId="10">
      <sharedItems containsSemiMixedTypes="0" containsString="0" containsNumber="1" containsInteger="1" minValue="0" maxValue="1"/>
    </cacheField>
    <cacheField name="¿El agente maneja adecuadamente llamadas en conferencia?51" numFmtId="10">
      <sharedItems containsSemiMixedTypes="0" containsString="0" containsNumber="1" containsInteger="1" minValue="1" maxValue="1"/>
    </cacheField>
    <cacheField name="Utilización herramientas de apoyo2" numFmtId="10">
      <sharedItems containsSemiMixedTypes="0" containsString="0" containsNumber="1" containsInteger="1" minValue="0" maxValue="1"/>
    </cacheField>
    <cacheField name="¿El agente registra correctamente todas las interacciones?52" numFmtId="10">
      <sharedItems containsSemiMixedTypes="0" containsString="0" containsNumber="1" containsInteger="1" minValue="1" maxValue="1"/>
    </cacheField>
    <cacheField name="Registro en CRM2" numFmtId="10">
      <sharedItems containsSemiMixedTypes="0" containsString="0" containsNumber="1" containsInteger="1" minValue="1" maxValue="1"/>
    </cacheField>
    <cacheField name="PECNE2" numFmtId="10">
      <sharedItems containsSemiMixedTypes="0" containsString="0" containsNumber="1" containsInteger="1" minValue="0" maxValue="1"/>
    </cacheField>
    <cacheField name="¿El agente confirma la titularidad del cliente adecuadamente?53" numFmtId="0">
      <sharedItems containsSemiMixedTypes="0" containsString="0" containsNumber="1" containsInteger="1" minValue="1" maxValue="1"/>
    </cacheField>
    <cacheField name="Titularidad" numFmtId="10">
      <sharedItems containsSemiMixedTypes="0" containsString="0" containsNumber="1" containsInteger="1" minValue="1" maxValue="1"/>
    </cacheField>
    <cacheField name="¿El agente evita la omisión de alertas importantes?54" numFmtId="0">
      <sharedItems containsSemiMixedTypes="0" containsString="0" containsNumber="1" containsInteger="1" minValue="1" maxValue="1"/>
    </cacheField>
    <cacheField name="¿El agente mantiene conducta ética durante la interacción?55" numFmtId="0">
      <sharedItems containsSemiMixedTypes="0" containsString="0" containsNumber="1" containsInteger="1" minValue="1" maxValue="1"/>
    </cacheField>
    <cacheField name="Fraude" numFmtId="10">
      <sharedItems containsSemiMixedTypes="0" containsString="0" containsNumber="1" containsInteger="1" minValue="1" maxValue="1"/>
    </cacheField>
    <cacheField name="¿El agente evita compartir información sensible?56" numFmtId="0">
      <sharedItems containsSemiMixedTypes="0" containsString="0" containsNumber="1" containsInteger="1" minValue="1" maxValue="1"/>
    </cacheField>
    <cacheField name="Protección de datos y privacidad" numFmtId="10">
      <sharedItems containsSemiMixedTypes="0" containsString="0" containsNumber="1" containsInteger="1" minValue="1" maxValue="1"/>
    </cacheField>
    <cacheField name="PECCUM" numFmtId="10">
      <sharedItems containsSemiMixedTypes="0" containsString="0" containsNumber="1" containsInteger="1" minValue="1" maxValue="1"/>
    </cacheField>
    <cacheField name="PESO PENC" numFmtId="10">
      <sharedItems containsSemiMixedTypes="0" containsString="0" containsNumber="1" minValue="6.9999999999999993E-2" maxValue="0.1"/>
    </cacheField>
    <cacheField name="PESO PECUF" numFmtId="10">
      <sharedItems containsSemiMixedTypes="0" containsString="0" containsNumber="1" minValue="0" maxValue="0.3"/>
    </cacheField>
    <cacheField name="PESO PECNE" numFmtId="164">
      <sharedItems containsSemiMixedTypes="0" containsString="0" containsNumber="1" minValue="0" maxValue="0.3"/>
    </cacheField>
    <cacheField name="PESO PECCUM" numFmtId="164">
      <sharedItems containsSemiMixedTypes="0" containsString="0" containsNumber="1" minValue="0.3" maxValue="0.3"/>
    </cacheField>
    <cacheField name="SCORE CALIDAD" numFmtId="10">
      <sharedItems containsSemiMixedTypes="0" containsString="0" containsNumber="1" minValue="0.4" maxValue="1"/>
    </cacheField>
    <cacheField name="Muestra" numFmtId="0">
      <sharedItems containsSemiMixedTypes="0" containsString="0" containsNumber="1" containsInteger="1" minValue="1" maxValue="1"/>
    </cacheField>
    <cacheField name="Muestra Critica" numFmtId="0">
      <sharedItems containsSemiMixedTypes="0" containsString="0" containsNumber="1" containsInteger="1" minValue="0" maxValue="1"/>
    </cacheField>
    <cacheField name="¿El agente cumple con la identificación formal y profesional?4" numFmtId="0">
      <sharedItems/>
    </cacheField>
    <cacheField name="¿El agente personaliza la interacción?5" numFmtId="0">
      <sharedItems/>
    </cacheField>
    <cacheField name="¿El agente realiza despedida corporativa?6" numFmtId="0">
      <sharedItems/>
    </cacheField>
    <cacheField name="¿El agente demuestra escucha activa durante la gestión?7" numFmtId="1">
      <sharedItems containsNonDate="0" containsString="0" containsBlank="1"/>
    </cacheField>
    <cacheField name="¿El agente evita interrumpir al cliente?8" numFmtId="1">
      <sharedItems containsNonDate="0" containsString="0" containsBlank="1"/>
    </cacheField>
    <cacheField name="¿El agente se comunica con claridad y estructura?9" numFmtId="0">
      <sharedItems/>
    </cacheField>
    <cacheField name="¿El agente parafrasea para confirmar entendimiento?10" numFmtId="0">
      <sharedItems/>
    </cacheField>
    <cacheField name="¿El agente adapta su comunicación al cliente?12" numFmtId="0">
      <sharedItems/>
    </cacheField>
    <cacheField name="¿El agente muestra entusiasmo genuino?13" numFmtId="0">
      <sharedItems/>
    </cacheField>
    <cacheField name="¿El agente transmite confianza durante la llamada?14" numFmtId="0">
      <sharedItems/>
    </cacheField>
    <cacheField name="¿El agente utiliza el plural corporativo correctamente?15" numFmtId="0">
      <sharedItems/>
    </cacheField>
    <cacheField name="¿El agente mantiene control de la conversación?17" numFmtId="0">
      <sharedItems/>
    </cacheField>
    <cacheField name="¿El agente gestiona bien el tiempo de la interacción?18" numFmtId="0">
      <sharedItems/>
    </cacheField>
    <cacheField name="¿El agente informa correctamente sobre los centros de pago?20" numFmtId="0">
      <sharedItems/>
    </cacheField>
    <cacheField name="¿El agente comunica claramente el precio mensual más impuestos?21" numFmtId="0">
      <sharedItems/>
    </cacheField>
    <cacheField name="¿El agente informa sobre cargos adicionales relacionados?22" numFmtId="0">
      <sharedItems/>
    </cacheField>
    <cacheField name="¿El agente explica el ciclo de facturación adecuadamente?23" numFmtId="0">
      <sharedItems/>
    </cacheField>
    <cacheField name="¿El agente presenta correctamente los beneficios del producto?24" numFmtId="0">
      <sharedItems/>
    </cacheField>
    <cacheField name="¿El agente comunica beneficios emocionales al cliente?25" numFmtId="0">
      <sharedItems/>
    </cacheField>
    <cacheField name="¿El agente realiza un resumen comercial adecuado?26" numFmtId="0">
      <sharedItems/>
    </cacheField>
    <cacheField name="¿El agente detalla correctamente los tiempos operativos?27" numFmtId="0">
      <sharedItems/>
    </cacheField>
    <cacheField name="¿El agente formaliza correctamente el acuerdo de venta?28" numFmtId="0">
      <sharedItems/>
    </cacheField>
    <cacheField name="¿El agente explica los términos y condiciones del servicio?29" numFmtId="0">
      <sharedItems/>
    </cacheField>
    <cacheField name="¿El agente identifica correctamente la solicitud del cliente?30" numFmtId="0">
      <sharedItems/>
    </cacheField>
    <cacheField name="¿El agente evita activar un servicio diferente al solicitado?31" numFmtId="0">
      <sharedItems/>
    </cacheField>
    <cacheField name="¿El agente utiliza correctamente la herramienta de activación?32" numFmtId="0">
      <sharedItems/>
    </cacheField>
    <cacheField name="¿El agente configura adecuadamente el producto contratado?33" numFmtId="0">
      <sharedItems/>
    </cacheField>
    <cacheField name="¿El agente mantiene respeto y cordialidad en toda la interacción?34" numFmtId="0">
      <sharedItems/>
    </cacheField>
    <cacheField name="¿El agente utiliza un lenguaje adecuado y profesional?35" numFmtId="0">
      <sharedItems/>
    </cacheField>
    <cacheField name="¿El agente verifica correctamente la cobertura?36" numFmtId="0">
      <sharedItems/>
    </cacheField>
    <cacheField name="¿El agente solicita la documentación requerida?37" numFmtId="0">
      <sharedItems/>
    </cacheField>
    <cacheField name="¿El agente adjunta correctamente la documentación al sistema?38" numFmtId="0">
      <sharedItems/>
    </cacheField>
    <cacheField name="¿El agente identifica cuentas malas cuando corresponde?39" numFmtId="0">
      <sharedItems/>
    </cacheField>
    <cacheField name="¿El agente realiza la verificación APC según procedimiento?40" numFmtId="0">
      <sharedItems/>
    </cacheField>
    <cacheField name="¿El agente aplica las políticas comerciales de forma correcta?41" numFmtId="0">
      <sharedItems/>
    </cacheField>
    <cacheField name="¿El agente agenda citas o gestiones cuando es necesario?42" numFmtId="0">
      <sharedItems/>
    </cacheField>
    <cacheField name="¿El agente ofrece adecuadamente un producto adicional?43" numFmtId="0">
      <sharedItems/>
    </cacheField>
    <cacheField name="¿El agente realiza venta cruzada cuando corresponde?44" numFmtId="0">
      <sharedItems/>
    </cacheField>
    <cacheField name="¿El agente indaga o sondea adecuadamente las necesidades del cliente?45" numFmtId="0">
      <sharedItems/>
    </cacheField>
    <cacheField name="El agente solicita y gestiona referidos cuando aplica?46" numFmtId="0">
      <sharedItems/>
    </cacheField>
    <cacheField name="¿El agente realiza seguimiento adecuado al caso o solicitud?47" numFmtId="0">
      <sharedItems/>
    </cacheField>
    <cacheField name="¿El agente maneja correctamente las objeciones del cliente?48" numFmtId="0">
      <sharedItems/>
    </cacheField>
    <cacheField name="¿El agente gestiona la oferta según la campaña vigente?49" numFmtId="0">
      <sharedItems/>
    </cacheField>
    <cacheField name="¿El agente solicita coordenadas cuando es necesario?50" numFmtId="0">
      <sharedItems/>
    </cacheField>
    <cacheField name="¿El agente gestiona la recepción de documentos por WhatsApp o correo?51" numFmtId="0">
      <sharedItems/>
    </cacheField>
    <cacheField name="¿El agente maneja adecuadamente llamadas en conferencia?52" numFmtId="0">
      <sharedItems/>
    </cacheField>
    <cacheField name="¿El agente registra correctamente todas las interacciones?53" numFmtId="0">
      <sharedItems/>
    </cacheField>
    <cacheField name="¿El agente confirma la titularidad del cliente adecuadamente?54" numFmtId="0">
      <sharedItems/>
    </cacheField>
    <cacheField name="¿El agente evita la omisión de alertas importantes?55" numFmtId="0">
      <sharedItems/>
    </cacheField>
    <cacheField name="¿El agente mantiene conducta ética durante la interacción?56" numFmtId="0">
      <sharedItems/>
    </cacheField>
    <cacheField name="¿El agente evita compartir información sensible?57" numFmtId="0">
      <sharedItems/>
    </cacheField>
    <cacheField name="agent key" numFmtId="0">
      <sharedItems/>
    </cacheField>
    <cacheField name="agent count" numFmtId="0">
      <sharedItems containsSemiMixedTypes="0" containsString="0" containsNumber="1" containsInteger="1" minValue="1" maxValue="3"/>
    </cacheField>
    <cacheField name="agent unico" numFmtId="0">
      <sharedItems containsSemiMixedTypes="0" containsString="0" containsNumber="1" containsInteger="1" minValue="0" maxValue="1"/>
    </cacheField>
    <cacheField name="agente critico  key" numFmtId="0">
      <sharedItems containsMixedTypes="1" containsNumber="1" containsInteger="1" minValue="1" maxValue="1"/>
    </cacheField>
    <cacheField name="agent critico count" numFmtId="0">
      <sharedItems containsMixedTypes="1" containsNumber="1" containsInteger="1" minValue="26" maxValue="26"/>
    </cacheField>
    <cacheField name="agent critico unico" numFmtId="0">
      <sharedItems containsSemiMixedTypes="0" containsString="0" containsNumber="1" containsInteger="1" minValue="0" maxValue="0"/>
    </cacheField>
    <cacheField name="mes" numFmtId="0">
      <sharedItems count="14">
        <s v="jun-26"/>
        <s v="jul-26"/>
        <s v="No Critica" u="1"/>
        <s v="jul-aa" u="1"/>
        <s v="jun-aa" u="1"/>
        <s v="may-26" u="1"/>
        <s v="Critica" u="1"/>
        <s v="abr-26" u="1"/>
        <s v="feb-25" u="1"/>
        <s v="may-yy" u="1"/>
        <s v="feb-26" u="1"/>
        <s v="mar-25" u="1"/>
        <s v="mar-26" u="1"/>
        <s v="ene-26" u="1"/>
      </sharedItems>
    </cacheField>
    <cacheField name=" Precisión Error No Crítico" numFmtId="0">
      <sharedItems containsNonDate="0" containsString="0" containsBlank="1"/>
    </cacheField>
    <cacheField name=" Precisión Error Crítico Usuario Final" numFmtId="0">
      <sharedItems containsNonDate="0" containsString="0" containsBlank="1"/>
    </cacheField>
    <cacheField name=" Precisión Error Crítico Negocio" numFmtId="0">
      <sharedItems containsNonDate="0" containsString="0" containsBlank="1"/>
    </cacheField>
    <cacheField name=" Precisión Error Crítico Cumplimiento" numFmtId="0">
      <sharedItems containsNonDate="0" containsString="0" containsBlank="1"/>
    </cacheField>
    <cacheField name="Antigüedad" numFmtId="0">
      <sharedItems containsMixedTypes="1" containsNumber="1" containsInteger="1" minValue="0" maxValue="0" count="2">
        <n v="0"/>
        <s v="1 a 30 dias"/>
      </sharedItems>
    </cacheField>
    <cacheField name="% de Muestras Críticas" numFmtId="0" formula="#NAME?/#NAME?" databaseField="0"/>
    <cacheField name="Campo1" numFmtId="0" formula="'agente critico  key'/'agent critico unico'" databaseField="0"/>
    <cacheField name="% Agentes con M. Criticas" numFmtId="0" formula="#NAME?/#NAME?" databaseField="0"/>
    <cacheField name="Preparación" numFmtId="0" formula="#NAME?/#NAME?" databaseField="0"/>
    <cacheField name="Saludo Corporativo" numFmtId="0" formula="#NAME?/#NAME?" databaseField="0"/>
    <cacheField name="Indaga/Sondea " numFmtId="0" formula="#NAME?/#NAME?" databaseField="0"/>
    <cacheField name="Escucha Activa / Lectura Comprensiva " numFmtId="0" formula="#NAME?/#NAME?" databaseField="0"/>
    <cacheField name="Amabilidad y cordialidad " numFmtId="0" formula="#NAME?/#NAME?" databaseField="0"/>
    <cacheField name="Plural Corporativo " numFmtId="0" formula="#NAME?/#NAME?" databaseField="0"/>
    <cacheField name="Ortografía y gramática " numFmtId="0" formula="#NAME?/#NAME?" databaseField="0"/>
    <cacheField name="Manejo del Silencio y Tiempo de Espera " numFmtId="0" formula="#NAME?/#NAME?" databaseField="0"/>
    <cacheField name="Lenguaje Apropiado (Mulitellas - otros idiomas - etc) " numFmtId="0" formula="#NAME?/#NAME?" databaseField="0"/>
    <cacheField name="Expresión y dicción clara, precisa (solo llamadas) " numFmtId="0" formula="#NAME?/#NAME?" databaseField="0"/>
    <cacheField name="Modulación y velocidad adecuada (solo llamadas) " numFmtId="0" formula="#NAME?/#NAME?" databaseField="0"/>
    <cacheField name="Seguridad de si mismo durante el manejo de la transacción " numFmtId="0" formula="#NAME?/#NAME?" databaseField="0"/>
    <cacheField name="Recepción de interacción (solo escritas)" numFmtId="0" formula="#NAME?/#NAME?" databaseField="0"/>
    <cacheField name="Despedida Corporativa " numFmtId="0" formula="#NAME?/#NAME?" databaseField="0"/>
    <cacheField name="Conocimiento de productos, servicios y promociones " numFmtId="0" formula="#NAME?/#NAME?" databaseField="0"/>
    <cacheField name="Brinda información correcta " numFmtId="0" formula="#NAME?/#NAME?" databaseField="0"/>
    <cacheField name="Conocimiento de los Sistemas (habilidad y precisión de Búsqueda) " numFmtId="0" formula="#NAME?/#NAME?" databaseField="0"/>
    <cacheField name="Manejo correcto Procedimientos y Políticas (afecta al Usuario Final) " numFmtId="0" formula="#NAME?/#NAME?" databaseField="0"/>
    <cacheField name="Manejo correcto Procedimientos y Políticas (afecta al Negocio) " numFmtId="0" formula="#NAME?/#NAME?" databaseField="0"/>
    <cacheField name="Manejo de las Objecciones y capacidad de negociación (asesoramiento) " numFmtId="0" formula="#NAME?/#NAME?" databaseField="0"/>
    <cacheField name="Registro y/o tipificación correcta de la transacción " numFmtId="0" formula="#NAME?/#NAME?" databaseField="0"/>
    <cacheField name="Registro y/o tipificación correcta del escalamiento" numFmtId="0" formula="#NAME?/#NAME?" databaseField="0"/>
    <cacheField name="Uso adeacuado del PAD de Retención cobros " numFmtId="0" formula="#NAME?/#NAME?" databaseField="0"/>
    <cacheField name="Creación y programación de las ordenes de trabajo " numFmtId="0" formula="#NAME?/#NAME?" databaseField="0"/>
    <cacheField name="Confirmar datos (validación de datos de seguridad) " numFmtId="0" formula="#NAME?/#NAME?" databaseField="0"/>
    <cacheField name="Situación Ilegal, ética y profesionalismo " numFmtId="0" formula="#NAME?/#NAME?" databaseField="0"/>
    <cacheField name="¿Preparado para recibir la interacción?" numFmtId="0" formula="#NAME?/Muestra" databaseField="0"/>
    <cacheField name="¿Cumple con presentación y saludo corporativo?" numFmtId="0" formula="#NAME?/Muestra" databaseField="0"/>
    <cacheField name="¿Personaliza la interacción?" numFmtId="0" formula="#NAME?/Muestra" databaseField="0"/>
    <cacheField name="¿Emplea escucha | lectura activa durante a interacción?" numFmtId="0" formula="#NAME?/Muestra" databaseField="0"/>
    <cacheField name="¿Utiliza plural corporativo?" numFmtId="0" formula="#NAME?/Muestra" databaseField="0"/>
    <cacheField name="¿Es amable y cordial durante la interacción?" numFmtId="0" formula="#NAME?/Muestra" databaseField="0"/>
    <cacheField name="¿Utiliza lenguaje apropiado durante la interacción?" numFmtId="0" formula="#NAME?/Muestra" databaseField="0"/>
    <cacheField name=" ¿Cumple con las normas de expresión, dicción, ortografía y gramática?" numFmtId="0" formula="#NAME?/Muestra" databaseField="0"/>
    <cacheField name="¿Realiza modulación y velocidad adecuada durante la interacción?" numFmtId="0" formula="#NAME?/Muestra" databaseField="0"/>
    <cacheField name="¿Realiza manejo del silencio y tiempo de espera?" numFmtId="0" formula="#NAME?/Muestra" databaseField="0"/>
    <cacheField name="¿Cumple con la despedida corporativa?" numFmtId="0" formula="#NAME?/Muestra" databaseField="0"/>
    <cacheField name="¿Realiza las preguntas pertinentes para comprender las necesidades del cliente?" numFmtId="0" formula="#NAME?/Muestra" databaseField="0"/>
    <cacheField name="¿Reformula las preguntas cuando las respuestas ofrecidas por el cliente no son claras?" numFmtId="0" formula="#NAME?/Muestra" databaseField="0"/>
    <cacheField name="¿Explica los detalles y características relevante de forma correcta y completa?" numFmtId="0" formula="#NAME?/Muestra" databaseField="0"/>
    <cacheField name="¿Debe informa los días disponibles para pagar según el ciclo de facturación?" numFmtId="0" formula="#NAME?/Muestra" databaseField="0"/>
    <cacheField name="¿Explica recepción de facturas electrónicas ?" numFmtId="0" formula="#NAME?/Muestra" databaseField="0"/>
    <cacheField name="¿Transfiere o refiere a los clientes a otras áreas para asuntos no relacionados con ventas?" numFmtId="0" formula="#NAME?/Muestra" databaseField="0"/>
    <cacheField name="¿Finaliza la interacción cuando confirma que no hay consultas pendientes?" numFmtId="0" formula="#NAME?/Muestra" databaseField="0"/>
    <cacheField name="¿Mantiene la compostura durante la conversación?" numFmtId="0" formula="#NAME?/Muestra" databaseField="0"/>
    <cacheField name="¿Indaga e identifica oportunidades para actualizar o complementar nuevos servicios?" numFmtId="0" formula="#NAME?/Muestra" databaseField="0"/>
    <cacheField name="¿Verifica cobertura y oferta servicios según disponibilidad?" numFmtId="0" formula="#NAME?/Muestra" databaseField="0"/>
    <cacheField name="¿Utiliza ofertas comerciales vigentes?" numFmtId="0" formula="#NAME?/Muestra" databaseField="0"/>
    <cacheField name="¿Entrega una oferta a la vez de forma escalonada?" numFmtId="0" formula="#NAME?/Muestra" databaseField="0"/>
    <cacheField name="¿Maneja las objeciones presentadas por el cliente?" numFmtId="0" formula="#NAME?/Muestra" databaseField="0"/>
    <cacheField name="¿Resalta los beneficios de FMC (venta cruzada)?" numFmtId="0" formula="#NAME?/Muestra" databaseField="0"/>
    <cacheField name="¿Ejerce habilidades comerciales para cierre en primer contacto?" numFmtId="0" formula="#NAME?/Muestra" databaseField="0"/>
    <cacheField name="¿Acuerda segundo contacto en caso de no lograr cierre de venta?" numFmtId="0" formula="#NAME?/Muestra" databaseField="0"/>
    <cacheField name="¿Informa los requisitos y siguientes pasos necesarios para completar la venta?" numFmtId="0" formula="#NAME?/Muestra" databaseField="0"/>
    <cacheField name="¿Utiliza manejo aprobado para cuentas malas con el fin de lograr el cierre de la venta?" numFmtId="0" formula="#NAME?/Muestra" databaseField="0"/>
    <cacheField name="¿Solicita información de referidos en primer contacto?" numFmtId="0" formula="#NAME?/Muestra" databaseField="0"/>
    <cacheField name="¿Permanece en la línea de manera justificada?" numFmtId="0" formula="#NAME?/Muestra" databaseField="0"/>
    <cacheField name="¿Convierte un comentario negativo en una oportunidad positiva para el negocio?" numFmtId="0" formula="#NAME?/Muestra" databaseField="0"/>
    <cacheField name="¿Cumple con las regulaciones que afectan el producto o servicio que se vende?" numFmtId="0" formula="#NAME?/Muestra" databaseField="0"/>
    <cacheField name="¿Proporciona información clara y completa sobre los términos y condiciones del contrato?" numFmtId="0" formula="#NAME?/Muestra" databaseField="0"/>
    <cacheField name="¿Obteniene el consentimiento informado del titular?" numFmtId="0" formula="#NAME?/Muestra" databaseField="0"/>
    <cacheField name="¿Se abstiene de hacer afirmaciones falsas o engañosas sobre el producto o servicio?" numFmtId="0" formula="#NAME?/Muestra" databaseField="0"/>
    <cacheField name="¿Se abstiene de incitar acciones fraudulentas?" numFmtId="0" formula="#NAME?/Muestra" databaseField="0"/>
    <cacheField name="¿Confirma titularidad o RL para realizar cambios en cuentas existentes?" numFmtId="0" formula="#NAME?/Muestra" databaseField="0"/>
    <cacheField name="% M. Criticas" numFmtId="0" formula="'Muestra Critica'/Muestra" databaseField="0"/>
  </cacheFields>
  <extLst>
    <ext xmlns:x14="http://schemas.microsoft.com/office/spreadsheetml/2009/9/main" uri="{725AE2AE-9491-48be-B2B4-4EB974FC3084}">
      <x14:pivotCacheDefinition pivotCacheId="2142520812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3">
  <r>
    <x v="0"/>
    <n v="64049752"/>
    <d v="2026-06-19T00:00:00"/>
    <s v="Pre2Pos"/>
    <x v="0"/>
    <x v="0"/>
    <s v="Ingris Quintero"/>
    <s v="Semana 25"/>
    <s v="Critica"/>
    <s v="Si"/>
    <s v="Si"/>
    <s v="Si"/>
    <s v="Si"/>
    <s v="Si"/>
    <s v="Si"/>
    <s v="Si"/>
    <s v="Si"/>
    <s v="Si"/>
    <s v="Si"/>
    <s v="Si"/>
    <s v="Si"/>
    <s v="Si"/>
    <s v="Si"/>
    <s v="Si"/>
    <s v="Si"/>
    <s v="Si"/>
    <s v="Si"/>
    <s v="Si"/>
    <s v="Si"/>
    <s v="Si"/>
    <s v="Si"/>
    <s v="Si"/>
    <s v="Si"/>
    <s v="Si"/>
    <s v="Si"/>
    <s v="Si"/>
    <s v="Si"/>
    <s v="Si"/>
    <s v="Si"/>
    <s v="Si"/>
    <s v="Si"/>
    <s v="Si"/>
    <s v="Si"/>
    <s v="Si"/>
    <s v="Si"/>
    <s v="No"/>
    <s v="Si"/>
    <s v="Si"/>
    <s v="No"/>
    <s v="Si"/>
    <s v="Si"/>
    <s v="Si"/>
    <s v="Si"/>
    <s v="Si"/>
    <s v="Si"/>
    <s v="Si"/>
    <s v="Si"/>
    <s v="Si"/>
    <m/>
    <s v="Critica"/>
    <m/>
    <m/>
    <n v="1"/>
    <n v="1"/>
    <n v="1"/>
    <n v="1"/>
    <n v="1"/>
    <n v="1"/>
    <n v="1"/>
    <n v="1"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"/>
    <n v="0.15"/>
    <n v="0.15"/>
    <n v="0.15"/>
    <n v="0.15"/>
    <n v="0.3"/>
    <n v="0.3"/>
    <n v="0.3"/>
    <n v="0.3"/>
    <n v="0.3"/>
    <n v="0.3"/>
    <n v="0.3"/>
    <n v="0.3"/>
    <n v="0.3"/>
    <n v="0.3"/>
    <n v="0.25"/>
    <n v="0.25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"/>
    <n v="1"/>
    <n v="1"/>
    <n v="0"/>
    <n v="0"/>
    <n v="1"/>
    <n v="1"/>
    <n v="1"/>
    <n v="1"/>
    <n v="1"/>
    <n v="1"/>
    <n v="1"/>
    <n v="1"/>
    <n v="0"/>
    <n v="1"/>
    <n v="1"/>
    <n v="1"/>
    <n v="1"/>
    <n v="1"/>
    <n v="1"/>
    <n v="1"/>
    <n v="1"/>
    <n v="0.1"/>
    <n v="0.3"/>
    <n v="0"/>
    <n v="0.3"/>
    <n v="0.7"/>
    <n v="1"/>
    <n v="1"/>
    <s v=""/>
    <s v=""/>
    <s v=""/>
    <m/>
    <m/>
    <s v=""/>
    <s v=""/>
    <s v=""/>
    <s v=""/>
    <s v=""/>
    <s v=""/>
    <s v=""/>
    <e v="#REF!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e v="#REF!"/>
    <s v=""/>
    <s v=""/>
    <s v="¿El agente indaga o sondea adecuadamente las necesidades del cliente? "/>
    <s v=""/>
    <s v=""/>
    <s v="¿El agente maneja correctamente las objeciones del cliente? "/>
    <s v=""/>
    <s v=""/>
    <s v=""/>
    <s v=""/>
    <s v=""/>
    <s v=""/>
    <s v=""/>
    <s v=""/>
    <s v=""/>
    <s v="Max Heurtematte   Outbound jun-26"/>
    <n v="3"/>
    <n v="1"/>
    <n v="1"/>
    <n v="26"/>
    <n v="0"/>
    <x v="0"/>
    <m/>
    <m/>
    <m/>
    <m/>
    <x v="0"/>
  </r>
  <r>
    <x v="1"/>
    <n v="61203994"/>
    <d v="2026-06-19T00:00:00"/>
    <s v="Pre2Pos"/>
    <x v="0"/>
    <x v="0"/>
    <s v="Ingris Quintero"/>
    <s v="Semana 25"/>
    <s v="Critica"/>
    <s v="Si"/>
    <s v="Si"/>
    <s v="Si"/>
    <s v="Si"/>
    <s v="Si"/>
    <s v="Si"/>
    <s v="Si"/>
    <s v="Si"/>
    <s v="Si"/>
    <s v="Si"/>
    <s v="Si"/>
    <s v="Si"/>
    <s v="Si"/>
    <s v="Si"/>
    <s v="Si"/>
    <s v="Si"/>
    <s v="Si"/>
    <s v="Si"/>
    <s v="Si"/>
    <s v="Si"/>
    <s v="Si"/>
    <s v="Si"/>
    <s v="Si"/>
    <s v="Si"/>
    <s v="Si"/>
    <s v="Si"/>
    <s v="No"/>
    <s v="Si"/>
    <s v="Si"/>
    <s v="Si"/>
    <s v="Si"/>
    <s v="Si"/>
    <s v="Si"/>
    <s v="Si"/>
    <s v="Si"/>
    <s v="Si"/>
    <s v="Si"/>
    <s v="Si"/>
    <s v="Si"/>
    <s v="Si"/>
    <s v="Si"/>
    <s v="Si"/>
    <s v="Si"/>
    <s v="Si"/>
    <s v="Si"/>
    <s v="Si"/>
    <s v="Si"/>
    <s v="Si"/>
    <s v="Si"/>
    <m/>
    <s v="Critica"/>
    <m/>
    <m/>
    <n v="1"/>
    <n v="1"/>
    <n v="1"/>
    <n v="1"/>
    <n v="1"/>
    <n v="1"/>
    <n v="1"/>
    <n v="1"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"/>
    <n v="0.15"/>
    <n v="0.15"/>
    <n v="0.15"/>
    <n v="0.15"/>
    <n v="0.3"/>
    <n v="0.3"/>
    <n v="0.3"/>
    <n v="0.3"/>
    <n v="0.3"/>
    <n v="0.3"/>
    <n v="0.3"/>
    <n v="0.3"/>
    <n v="0.3"/>
    <n v="0.3"/>
    <n v="0.25"/>
    <n v="0.25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"/>
    <n v="0"/>
    <n v="1"/>
    <n v="1"/>
    <n v="1"/>
    <n v="1"/>
    <n v="1"/>
    <n v="1"/>
    <n v="1"/>
    <n v="1"/>
    <n v="1"/>
    <n v="1"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.1"/>
    <n v="0"/>
    <n v="0.3"/>
    <n v="0.3"/>
    <n v="0.7"/>
    <n v="1"/>
    <n v="1"/>
    <s v=""/>
    <s v=""/>
    <s v=""/>
    <m/>
    <m/>
    <s v=""/>
    <s v=""/>
    <s v=""/>
    <s v=""/>
    <s v=""/>
    <s v=""/>
    <s v=""/>
    <e v="#REF!"/>
    <s v=""/>
    <s v=""/>
    <s v=""/>
    <s v=""/>
    <s v=""/>
    <s v=""/>
    <s v=""/>
    <s v=""/>
    <s v=""/>
    <s v=""/>
    <s v=""/>
    <s v=""/>
    <s v=""/>
    <s v=""/>
    <s v="¿El agente utiliza un lenguaje adecuado y profesional? "/>
    <s v=""/>
    <s v=""/>
    <s v=""/>
    <s v=""/>
    <s v=""/>
    <s v=""/>
    <s v=""/>
    <e v="#REF!"/>
    <s v=""/>
    <s v=""/>
    <s v=""/>
    <s v=""/>
    <s v=""/>
    <s v=""/>
    <s v=""/>
    <s v=""/>
    <s v=""/>
    <s v=""/>
    <s v=""/>
    <s v=""/>
    <s v=""/>
    <s v=""/>
    <s v=""/>
    <s v="Mitxely Naar Outbound jun-26"/>
    <n v="3"/>
    <n v="1"/>
    <n v="1"/>
    <n v="26"/>
    <n v="0"/>
    <x v="0"/>
    <m/>
    <m/>
    <m/>
    <m/>
    <x v="0"/>
  </r>
  <r>
    <x v="2"/>
    <n v="64005069"/>
    <d v="2026-06-19T00:00:00"/>
    <s v="Pre2Pos"/>
    <x v="0"/>
    <x v="0"/>
    <s v="Ingris Quintero"/>
    <s v="Semana 25"/>
    <s v="No Critica"/>
    <s v="Si"/>
    <s v="Si"/>
    <s v="Si"/>
    <s v="Si"/>
    <s v="Si"/>
    <s v="Si"/>
    <s v="Si"/>
    <s v="Si"/>
    <s v="Si"/>
    <s v="Si"/>
    <s v="Si"/>
    <s v="Si"/>
    <s v="Si"/>
    <s v="Si"/>
    <s v="Si"/>
    <s v="Si"/>
    <s v="Si"/>
    <s v="Si"/>
    <s v="Si"/>
    <s v="Si"/>
    <s v="Si"/>
    <s v="Si"/>
    <s v="Si"/>
    <s v="Si"/>
    <s v="Si"/>
    <s v="Si"/>
    <s v="Si"/>
    <s v="Si"/>
    <s v="Si"/>
    <s v="Si"/>
    <s v="Si"/>
    <s v="Si"/>
    <s v="Si"/>
    <s v="Si"/>
    <s v="Si"/>
    <s v="Si"/>
    <s v="Si"/>
    <s v="Si"/>
    <s v="Si"/>
    <s v="Si"/>
    <s v="Si"/>
    <s v="Si"/>
    <s v="Si"/>
    <s v="Si"/>
    <s v="Si"/>
    <s v="Si"/>
    <s v="Si"/>
    <s v="Si"/>
    <s v="Si"/>
    <m/>
    <s v="No Critica"/>
    <m/>
    <m/>
    <n v="1"/>
    <n v="1"/>
    <n v="1"/>
    <n v="1"/>
    <n v="1"/>
    <n v="1"/>
    <n v="1"/>
    <n v="1"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"/>
    <n v="0.15"/>
    <n v="0.15"/>
    <n v="0.15"/>
    <n v="0.15"/>
    <n v="0.3"/>
    <n v="0.3"/>
    <n v="0.3"/>
    <n v="0.3"/>
    <n v="0.3"/>
    <n v="0.3"/>
    <n v="0.3"/>
    <n v="0.3"/>
    <n v="0.3"/>
    <n v="0.3"/>
    <n v="0.25"/>
    <n v="0.25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.1"/>
    <n v="0.3"/>
    <n v="0.3"/>
    <n v="0.3"/>
    <n v="1"/>
    <n v="1"/>
    <n v="0"/>
    <s v=""/>
    <s v=""/>
    <s v=""/>
    <m/>
    <m/>
    <s v=""/>
    <s v=""/>
    <s v=""/>
    <s v=""/>
    <s v=""/>
    <s v=""/>
    <s v=""/>
    <e v="#REF!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e v="#REF!"/>
    <s v=""/>
    <s v=""/>
    <s v=""/>
    <s v=""/>
    <s v=""/>
    <s v=""/>
    <s v=""/>
    <s v=""/>
    <s v=""/>
    <s v=""/>
    <s v=""/>
    <s v=""/>
    <s v=""/>
    <s v=""/>
    <s v=""/>
    <s v="Gina Batista Outbound jun-26"/>
    <n v="3"/>
    <n v="1"/>
    <s v=""/>
    <s v=""/>
    <n v="0"/>
    <x v="0"/>
    <m/>
    <m/>
    <m/>
    <m/>
    <x v="0"/>
  </r>
  <r>
    <x v="3"/>
    <n v="69181791"/>
    <d v="2026-06-19T00:00:00"/>
    <s v="Pre2Pos"/>
    <x v="0"/>
    <x v="0"/>
    <s v="Ingris Quintero"/>
    <s v="Semana 25"/>
    <s v="Critica"/>
    <s v="Si"/>
    <s v="Si"/>
    <s v="Si"/>
    <s v="Si"/>
    <s v="Si"/>
    <s v="Si"/>
    <s v="Si"/>
    <s v="Si"/>
    <s v="Si"/>
    <s v="Si"/>
    <s v="Si"/>
    <s v="Si"/>
    <s v="Si"/>
    <s v="Si"/>
    <s v="Si"/>
    <s v="Si"/>
    <s v="Si"/>
    <s v="Si"/>
    <s v="Si"/>
    <s v="Si"/>
    <s v="Si"/>
    <s v="Si"/>
    <s v="Si"/>
    <s v="Si"/>
    <s v="Si"/>
    <s v="Si"/>
    <s v="Si"/>
    <s v="Si"/>
    <s v="Si"/>
    <s v="Si"/>
    <s v="Si"/>
    <s v="Si"/>
    <s v="Si"/>
    <s v="Si"/>
    <s v="Si"/>
    <s v="No"/>
    <s v="Si"/>
    <s v="Si"/>
    <s v="Si"/>
    <s v="Si"/>
    <s v="Si"/>
    <s v="Si"/>
    <s v="Si"/>
    <s v="Si"/>
    <s v="Si"/>
    <s v="Si"/>
    <s v="Si"/>
    <s v="Si"/>
    <s v="Si"/>
    <m/>
    <s v="Critica"/>
    <m/>
    <m/>
    <n v="1"/>
    <n v="1"/>
    <n v="1"/>
    <n v="1"/>
    <n v="1"/>
    <n v="1"/>
    <n v="1"/>
    <n v="1"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"/>
    <n v="0.15"/>
    <n v="0.15"/>
    <n v="0.15"/>
    <n v="0.15"/>
    <n v="0.3"/>
    <n v="0.3"/>
    <n v="0.3"/>
    <n v="0.3"/>
    <n v="0.3"/>
    <n v="0.3"/>
    <n v="0.3"/>
    <n v="0.3"/>
    <n v="0.3"/>
    <n v="0.3"/>
    <n v="0.25"/>
    <n v="0.25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"/>
    <n v="1"/>
    <n v="1"/>
    <n v="1"/>
    <n v="1"/>
    <n v="0"/>
    <n v="1"/>
    <n v="1"/>
    <n v="1"/>
    <n v="1"/>
    <n v="1"/>
    <n v="1"/>
    <n v="1"/>
    <n v="1"/>
    <n v="0"/>
    <n v="1"/>
    <n v="1"/>
    <n v="1"/>
    <n v="1"/>
    <n v="1"/>
    <n v="1"/>
    <n v="1"/>
    <n v="1"/>
    <n v="0.1"/>
    <n v="0.3"/>
    <n v="0"/>
    <n v="0.3"/>
    <n v="0.7"/>
    <n v="1"/>
    <n v="1"/>
    <s v=""/>
    <s v=""/>
    <s v=""/>
    <m/>
    <m/>
    <s v=""/>
    <s v=""/>
    <s v=""/>
    <s v=""/>
    <s v=""/>
    <s v=""/>
    <s v=""/>
    <e v="#REF!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e v="#REF!"/>
    <s v=""/>
    <s v="¿El agente realiza venta cruzada cuando corresponde? "/>
    <s v=""/>
    <s v=""/>
    <s v=""/>
    <s v=""/>
    <s v=""/>
    <s v=""/>
    <s v=""/>
    <s v=""/>
    <s v=""/>
    <s v=""/>
    <s v=""/>
    <s v=""/>
    <s v=""/>
    <s v="Evelyn Torres Outbound jun-26"/>
    <n v="3"/>
    <n v="1"/>
    <n v="1"/>
    <n v="26"/>
    <n v="0"/>
    <x v="0"/>
    <m/>
    <m/>
    <m/>
    <m/>
    <x v="0"/>
  </r>
  <r>
    <x v="4"/>
    <n v="67398612"/>
    <d v="2026-06-19T00:00:00"/>
    <s v="Pre2Pos"/>
    <x v="0"/>
    <x v="0"/>
    <s v="Ingris Quintero"/>
    <s v="Semana 25"/>
    <s v="Critica"/>
    <s v="Si"/>
    <s v="Si"/>
    <s v="Si"/>
    <s v="Si"/>
    <s v="Si"/>
    <s v="Si"/>
    <s v="Si"/>
    <s v="Si"/>
    <s v="Si"/>
    <s v="Si"/>
    <s v="Si"/>
    <s v="Si"/>
    <s v="Si"/>
    <s v="Si"/>
    <s v="Si"/>
    <s v="Si"/>
    <s v="Si"/>
    <s v="Si"/>
    <s v="Si"/>
    <s v="Si"/>
    <s v="Si"/>
    <s v="Si"/>
    <s v="Si"/>
    <s v="Si"/>
    <s v="Si"/>
    <s v="Si"/>
    <s v="Si"/>
    <s v="Si"/>
    <s v="Si"/>
    <s v="Si"/>
    <s v="Si"/>
    <s v="Si"/>
    <s v="Si"/>
    <s v="Si"/>
    <s v="Si"/>
    <s v="No"/>
    <s v="Si"/>
    <s v="Si"/>
    <s v="Si"/>
    <s v="Si"/>
    <s v="Si"/>
    <s v="Si"/>
    <s v="Si"/>
    <s v="Si"/>
    <s v="Si"/>
    <s v="Si"/>
    <s v="Si"/>
    <s v="Si"/>
    <s v="Si"/>
    <m/>
    <s v="Critica"/>
    <m/>
    <m/>
    <n v="1"/>
    <n v="1"/>
    <n v="1"/>
    <n v="1"/>
    <n v="1"/>
    <n v="1"/>
    <n v="1"/>
    <n v="1"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"/>
    <n v="0.15"/>
    <n v="0.15"/>
    <n v="0.15"/>
    <n v="0.15"/>
    <n v="0.3"/>
    <n v="0.3"/>
    <n v="0.3"/>
    <n v="0.3"/>
    <n v="0.3"/>
    <n v="0.3"/>
    <n v="0.3"/>
    <n v="0.3"/>
    <n v="0.3"/>
    <n v="0.3"/>
    <n v="0.25"/>
    <n v="0.25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"/>
    <n v="1"/>
    <n v="1"/>
    <n v="1"/>
    <n v="1"/>
    <n v="0"/>
    <n v="1"/>
    <n v="1"/>
    <n v="1"/>
    <n v="1"/>
    <n v="1"/>
    <n v="1"/>
    <n v="1"/>
    <n v="1"/>
    <n v="0"/>
    <n v="1"/>
    <n v="1"/>
    <n v="1"/>
    <n v="1"/>
    <n v="1"/>
    <n v="1"/>
    <n v="1"/>
    <n v="1"/>
    <n v="0.1"/>
    <n v="0.3"/>
    <n v="0"/>
    <n v="0.3"/>
    <n v="0.7"/>
    <n v="1"/>
    <n v="1"/>
    <s v=""/>
    <s v=""/>
    <s v=""/>
    <m/>
    <m/>
    <s v=""/>
    <s v=""/>
    <s v=""/>
    <s v=""/>
    <s v=""/>
    <s v=""/>
    <s v=""/>
    <e v="#REF!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e v="#REF!"/>
    <s v=""/>
    <s v="¿El agente realiza venta cruzada cuando corresponde? "/>
    <s v=""/>
    <s v=""/>
    <s v=""/>
    <s v=""/>
    <s v=""/>
    <s v=""/>
    <s v=""/>
    <s v=""/>
    <s v=""/>
    <s v=""/>
    <s v=""/>
    <s v=""/>
    <s v=""/>
    <s v="Astrid Carolina Camaño Outbound jun-26"/>
    <n v="3"/>
    <n v="1"/>
    <n v="1"/>
    <n v="26"/>
    <n v="0"/>
    <x v="0"/>
    <m/>
    <m/>
    <m/>
    <m/>
    <x v="0"/>
  </r>
  <r>
    <x v="5"/>
    <n v="63760517"/>
    <d v="2026-06-19T00:00:00"/>
    <s v="Pre2Pos"/>
    <x v="1"/>
    <x v="0"/>
    <s v="Ingris Quintero"/>
    <s v="Semana 25"/>
    <s v="Critica"/>
    <s v="Si"/>
    <s v="Si"/>
    <s v="Si"/>
    <s v="Si"/>
    <s v="Si"/>
    <s v="Si"/>
    <s v="Si"/>
    <s v="Si"/>
    <s v="Si"/>
    <s v="Si"/>
    <s v="Si"/>
    <s v="Si"/>
    <s v="Si"/>
    <s v="Si"/>
    <s v="Si"/>
    <s v="Si"/>
    <s v="Si"/>
    <s v="Si"/>
    <s v="Si"/>
    <s v="Si"/>
    <s v="Si"/>
    <s v="Si"/>
    <s v="Si"/>
    <s v="Si"/>
    <s v="Si"/>
    <s v="Si"/>
    <s v="Si"/>
    <s v="Si"/>
    <s v="Si"/>
    <s v="Si"/>
    <s v="Si"/>
    <s v="Si"/>
    <s v="Si"/>
    <s v="Si"/>
    <s v="Si"/>
    <s v="No"/>
    <s v="Si"/>
    <s v="Si"/>
    <s v="No"/>
    <s v="Si"/>
    <s v="Si"/>
    <s v="Si"/>
    <s v="Si"/>
    <s v="Si"/>
    <s v="Si"/>
    <s v="Si"/>
    <s v="Si"/>
    <s v="Si"/>
    <s v="Si"/>
    <m/>
    <s v="Critica"/>
    <m/>
    <m/>
    <n v="1"/>
    <n v="1"/>
    <n v="1"/>
    <n v="1"/>
    <n v="1"/>
    <n v="1"/>
    <n v="1"/>
    <n v="1"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"/>
    <n v="0.15"/>
    <n v="0.15"/>
    <n v="0.15"/>
    <n v="0.15"/>
    <n v="0.3"/>
    <n v="0.3"/>
    <n v="0.3"/>
    <n v="0.3"/>
    <n v="0.3"/>
    <n v="0.3"/>
    <n v="0.3"/>
    <n v="0.3"/>
    <n v="0.3"/>
    <n v="0.3"/>
    <n v="0.25"/>
    <n v="0.25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"/>
    <n v="1"/>
    <n v="1"/>
    <n v="0"/>
    <n v="1"/>
    <n v="0"/>
    <n v="1"/>
    <n v="1"/>
    <n v="1"/>
    <n v="1"/>
    <n v="1"/>
    <n v="1"/>
    <n v="1"/>
    <n v="1"/>
    <n v="0"/>
    <n v="1"/>
    <n v="1"/>
    <n v="1"/>
    <n v="1"/>
    <n v="1"/>
    <n v="1"/>
    <n v="1"/>
    <n v="1"/>
    <n v="0.1"/>
    <n v="0.3"/>
    <n v="0"/>
    <n v="0.3"/>
    <n v="0.7"/>
    <n v="1"/>
    <n v="1"/>
    <s v=""/>
    <s v=""/>
    <s v=""/>
    <m/>
    <m/>
    <s v=""/>
    <s v=""/>
    <s v=""/>
    <s v=""/>
    <s v=""/>
    <s v=""/>
    <s v=""/>
    <e v="#REF!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e v="#REF!"/>
    <s v=""/>
    <s v="¿El agente realiza venta cruzada cuando corresponde? "/>
    <s v=""/>
    <s v=""/>
    <s v="¿El agente realiza seguimiento adecuado al caso o solicitud? "/>
    <s v=""/>
    <s v=""/>
    <s v=""/>
    <s v=""/>
    <s v=""/>
    <s v=""/>
    <s v=""/>
    <s v=""/>
    <s v=""/>
    <s v=""/>
    <s v="Yaelin Bethancourt Outbound jun-26"/>
    <n v="3"/>
    <n v="1"/>
    <n v="1"/>
    <n v="26"/>
    <n v="0"/>
    <x v="0"/>
    <m/>
    <m/>
    <m/>
    <m/>
    <x v="0"/>
  </r>
  <r>
    <x v="6"/>
    <n v="63359341"/>
    <d v="2026-06-19T00:00:00"/>
    <s v="Pre2Pos"/>
    <x v="1"/>
    <x v="0"/>
    <s v="Ingris Quintero"/>
    <s v="Semana 25"/>
    <s v="No Critica"/>
    <s v="Si"/>
    <s v="Si"/>
    <s v="Si"/>
    <s v="Si"/>
    <s v="Si"/>
    <s v="Si"/>
    <s v="Si"/>
    <s v="Si"/>
    <s v="Si"/>
    <s v="Si"/>
    <s v="Si"/>
    <s v="Si"/>
    <s v="Si"/>
    <s v="Si"/>
    <s v="Si"/>
    <s v="Si"/>
    <s v="Si"/>
    <s v="Si"/>
    <s v="Si"/>
    <s v="Si"/>
    <s v="Si"/>
    <s v="Si"/>
    <s v="Si"/>
    <s v="Si"/>
    <s v="Si"/>
    <s v="Si"/>
    <s v="Si"/>
    <s v="Si"/>
    <s v="Si"/>
    <s v="Si"/>
    <s v="Si"/>
    <s v="Si"/>
    <s v="Si"/>
    <s v="Si"/>
    <s v="Si"/>
    <s v="Si"/>
    <s v="Si"/>
    <s v="Si"/>
    <s v="Si"/>
    <s v="Si"/>
    <s v="Si"/>
    <s v="Si"/>
    <s v="Si"/>
    <s v="Si"/>
    <s v="Si"/>
    <s v="Si"/>
    <s v="Si"/>
    <s v="Si"/>
    <s v="Si"/>
    <m/>
    <s v="No Critica"/>
    <m/>
    <m/>
    <n v="1"/>
    <n v="1"/>
    <n v="1"/>
    <n v="1"/>
    <n v="1"/>
    <n v="1"/>
    <n v="1"/>
    <n v="1"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"/>
    <n v="0.15"/>
    <n v="0.15"/>
    <n v="0.15"/>
    <n v="0.15"/>
    <n v="0.3"/>
    <n v="0.3"/>
    <n v="0.3"/>
    <n v="0.3"/>
    <n v="0.3"/>
    <n v="0.3"/>
    <n v="0.3"/>
    <n v="0.3"/>
    <n v="0.3"/>
    <n v="0.3"/>
    <n v="0.25"/>
    <n v="0.25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.1"/>
    <n v="0.3"/>
    <n v="0.3"/>
    <n v="0.3"/>
    <n v="1"/>
    <n v="1"/>
    <n v="0"/>
    <s v=""/>
    <s v=""/>
    <s v=""/>
    <m/>
    <m/>
    <s v=""/>
    <s v=""/>
    <s v=""/>
    <s v=""/>
    <s v=""/>
    <s v=""/>
    <s v=""/>
    <e v="#REF!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e v="#REF!"/>
    <s v=""/>
    <s v=""/>
    <s v=""/>
    <s v=""/>
    <s v=""/>
    <s v=""/>
    <s v=""/>
    <s v=""/>
    <s v=""/>
    <s v=""/>
    <s v=""/>
    <s v=""/>
    <s v=""/>
    <s v=""/>
    <s v=""/>
    <s v="David Gonzalez Outbound jun-26"/>
    <n v="3"/>
    <n v="1"/>
    <s v=""/>
    <s v=""/>
    <n v="0"/>
    <x v="0"/>
    <m/>
    <m/>
    <m/>
    <m/>
    <x v="0"/>
  </r>
  <r>
    <x v="0"/>
    <n v="62726270"/>
    <d v="2026-06-20T00:00:00"/>
    <s v="Pre2Pos"/>
    <x v="0"/>
    <x v="0"/>
    <s v="Ingris Quintero"/>
    <s v="Semana 25"/>
    <s v="Critica"/>
    <s v="Si"/>
    <s v="Si"/>
    <s v="Si"/>
    <s v="Si"/>
    <s v="Si"/>
    <s v="Si"/>
    <s v="Si"/>
    <s v="Si"/>
    <s v="Si"/>
    <s v="Si"/>
    <s v="Si"/>
    <s v="Si"/>
    <s v="Si"/>
    <s v="Si"/>
    <s v="Si"/>
    <s v="Si"/>
    <s v="Si"/>
    <s v="Si"/>
    <s v="Si"/>
    <s v="Si"/>
    <s v="Si"/>
    <s v="Si"/>
    <s v="Si"/>
    <s v="Si"/>
    <s v="Si"/>
    <s v="Si"/>
    <s v="Si"/>
    <s v="Si"/>
    <s v="Si"/>
    <s v="Si"/>
    <s v="Si"/>
    <s v="Si"/>
    <s v="Si"/>
    <s v="Si"/>
    <s v="Si"/>
    <s v="Si"/>
    <s v="Si"/>
    <s v="Si"/>
    <s v="Si"/>
    <s v="No"/>
    <s v="Si"/>
    <s v="Si"/>
    <s v="Si"/>
    <s v="Si"/>
    <s v="Si"/>
    <s v="Si"/>
    <s v="Si"/>
    <s v="Si"/>
    <s v="Si"/>
    <m/>
    <s v="Critica"/>
    <m/>
    <m/>
    <n v="1"/>
    <n v="1"/>
    <n v="1"/>
    <n v="1"/>
    <n v="1"/>
    <n v="1"/>
    <n v="1"/>
    <n v="1"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"/>
    <n v="0.15"/>
    <n v="0.15"/>
    <n v="0.15"/>
    <n v="0.15"/>
    <n v="0.3"/>
    <n v="0.3"/>
    <n v="0.3"/>
    <n v="0.3"/>
    <n v="0.3"/>
    <n v="0.3"/>
    <n v="0.3"/>
    <n v="0.3"/>
    <n v="0.3"/>
    <n v="0.3"/>
    <n v="0.25"/>
    <n v="0.25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"/>
    <n v="0"/>
    <n v="1"/>
    <n v="1"/>
    <n v="1"/>
    <n v="1"/>
    <n v="1"/>
    <n v="1"/>
    <n v="1"/>
    <n v="1"/>
    <n v="0"/>
    <n v="1"/>
    <n v="1"/>
    <n v="1"/>
    <n v="1"/>
    <n v="1"/>
    <n v="1"/>
    <n v="1"/>
    <n v="1"/>
    <n v="0.1"/>
    <n v="0.3"/>
    <n v="0"/>
    <n v="0.3"/>
    <n v="0.7"/>
    <n v="1"/>
    <n v="1"/>
    <s v=""/>
    <s v=""/>
    <s v=""/>
    <m/>
    <m/>
    <s v=""/>
    <s v=""/>
    <s v=""/>
    <s v=""/>
    <s v=""/>
    <s v=""/>
    <s v=""/>
    <e v="#REF!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e v="#REF!"/>
    <s v=""/>
    <s v=""/>
    <s v=""/>
    <s v=""/>
    <s v=""/>
    <s v="¿El agente maneja correctamente las objeciones del cliente? "/>
    <s v=""/>
    <s v=""/>
    <s v=""/>
    <s v=""/>
    <s v=""/>
    <s v=""/>
    <s v=""/>
    <s v=""/>
    <s v=""/>
    <s v="Max Heurtematte   Outbound jun-26"/>
    <n v="2"/>
    <n v="0"/>
    <n v="1"/>
    <n v="26"/>
    <n v="0"/>
    <x v="0"/>
    <m/>
    <m/>
    <m/>
    <m/>
    <x v="0"/>
  </r>
  <r>
    <x v="1"/>
    <n v="63480018"/>
    <d v="2026-06-20T00:00:00"/>
    <s v="Pre2Pos"/>
    <x v="0"/>
    <x v="0"/>
    <s v="Ingris Quintero"/>
    <s v="Semana 25"/>
    <s v="Critica"/>
    <s v="Si"/>
    <s v="Si"/>
    <s v="Si"/>
    <s v="Si"/>
    <s v="Si"/>
    <s v="Si"/>
    <s v="Si"/>
    <s v="Si"/>
    <s v="Si"/>
    <s v="Si"/>
    <s v="Si"/>
    <s v="Si"/>
    <s v="Si"/>
    <s v="Si"/>
    <s v="Si"/>
    <s v="Si"/>
    <s v="No"/>
    <s v="Si"/>
    <s v="Si"/>
    <s v="Si"/>
    <s v="Si"/>
    <s v="Si"/>
    <s v="Si"/>
    <s v="Si"/>
    <s v="Si"/>
    <s v="Si"/>
    <s v="Si"/>
    <s v="Si"/>
    <s v="Si"/>
    <s v="Si"/>
    <s v="Si"/>
    <s v="Si"/>
    <s v="Si"/>
    <s v="Si"/>
    <s v="Si"/>
    <s v="Si"/>
    <s v="Si"/>
    <s v="Si"/>
    <s v="Si"/>
    <s v="Si"/>
    <s v="Si"/>
    <s v="Si"/>
    <s v="Si"/>
    <s v="Si"/>
    <s v="Si"/>
    <s v="Si"/>
    <s v="Si"/>
    <s v="Si"/>
    <s v="Si"/>
    <m/>
    <s v="Critica"/>
    <m/>
    <m/>
    <n v="1"/>
    <n v="1"/>
    <n v="1"/>
    <n v="1"/>
    <n v="1"/>
    <n v="1"/>
    <n v="1"/>
    <n v="1"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"/>
    <n v="0.15"/>
    <n v="0.15"/>
    <n v="0.15"/>
    <n v="0.15"/>
    <n v="0.3"/>
    <n v="0.3"/>
    <n v="0.3"/>
    <n v="0.3"/>
    <n v="0.3"/>
    <n v="0.3"/>
    <n v="0.3"/>
    <n v="0.3"/>
    <n v="0.3"/>
    <n v="0.3"/>
    <n v="0.25"/>
    <n v="0.25"/>
    <n v="1"/>
    <n v="1"/>
    <n v="1"/>
    <n v="1"/>
    <n v="0"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.1"/>
    <n v="0"/>
    <n v="0.3"/>
    <n v="0.3"/>
    <n v="0.7"/>
    <n v="1"/>
    <n v="1"/>
    <s v=""/>
    <s v=""/>
    <s v=""/>
    <m/>
    <m/>
    <s v=""/>
    <s v=""/>
    <s v=""/>
    <s v=""/>
    <s v=""/>
    <s v=""/>
    <s v=""/>
    <e v="#REF!"/>
    <s v=""/>
    <s v=""/>
    <s v=""/>
    <s v=""/>
    <s v="¿El agente presenta correctamente los beneficios del producto? "/>
    <s v=""/>
    <s v=""/>
    <s v=""/>
    <s v=""/>
    <s v=""/>
    <s v=""/>
    <s v=""/>
    <s v=""/>
    <s v=""/>
    <s v=""/>
    <s v=""/>
    <s v=""/>
    <s v=""/>
    <s v=""/>
    <s v=""/>
    <s v=""/>
    <s v=""/>
    <e v="#REF!"/>
    <s v=""/>
    <s v=""/>
    <s v=""/>
    <s v=""/>
    <s v=""/>
    <s v=""/>
    <s v=""/>
    <s v=""/>
    <s v=""/>
    <s v=""/>
    <s v=""/>
    <s v=""/>
    <s v=""/>
    <s v=""/>
    <s v=""/>
    <s v="Mitxely Naar Outbound jun-26"/>
    <n v="2"/>
    <n v="0"/>
    <n v="1"/>
    <n v="26"/>
    <n v="0"/>
    <x v="0"/>
    <m/>
    <m/>
    <m/>
    <m/>
    <x v="0"/>
  </r>
  <r>
    <x v="2"/>
    <n v="65554064"/>
    <d v="2026-06-20T00:00:00"/>
    <s v="Pre2Pos"/>
    <x v="0"/>
    <x v="0"/>
    <s v="Ingris Quintero"/>
    <s v="Semana 25"/>
    <s v="Critica"/>
    <s v="Si"/>
    <s v="Si"/>
    <s v="Si"/>
    <s v="Si"/>
    <s v="Si"/>
    <s v="Si"/>
    <s v="Si"/>
    <s v="Si"/>
    <s v="Si"/>
    <s v="Si"/>
    <s v="Si"/>
    <s v="Si"/>
    <s v="Si"/>
    <s v="Si"/>
    <s v="Si"/>
    <s v="Si"/>
    <s v="Si"/>
    <s v="Si"/>
    <s v="Si"/>
    <s v="Si"/>
    <s v="Si"/>
    <s v="Si"/>
    <s v="Si"/>
    <s v="Si"/>
    <s v="Si"/>
    <s v="Si"/>
    <s v="Si"/>
    <s v="Si"/>
    <s v="Si"/>
    <s v="Si"/>
    <s v="Si"/>
    <s v="Si"/>
    <s v="Si"/>
    <s v="Si"/>
    <s v="Si"/>
    <s v="Si"/>
    <s v="Si"/>
    <s v="Si"/>
    <s v="Si"/>
    <s v="No"/>
    <s v="Si"/>
    <s v="Si"/>
    <s v="Si"/>
    <s v="Si"/>
    <s v="Si"/>
    <s v="Si"/>
    <s v="Si"/>
    <s v="Si"/>
    <s v="Si"/>
    <m/>
    <s v="Critica"/>
    <m/>
    <m/>
    <n v="1"/>
    <n v="1"/>
    <n v="1"/>
    <n v="1"/>
    <n v="1"/>
    <n v="1"/>
    <n v="1"/>
    <n v="1"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"/>
    <n v="0.15"/>
    <n v="0.15"/>
    <n v="0.15"/>
    <n v="0.15"/>
    <n v="0.3"/>
    <n v="0.3"/>
    <n v="0.3"/>
    <n v="0.3"/>
    <n v="0.3"/>
    <n v="0.3"/>
    <n v="0.3"/>
    <n v="0.3"/>
    <n v="0.3"/>
    <n v="0.3"/>
    <n v="0.25"/>
    <n v="0.25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"/>
    <n v="0"/>
    <n v="1"/>
    <n v="1"/>
    <n v="1"/>
    <n v="1"/>
    <n v="1"/>
    <n v="1"/>
    <n v="1"/>
    <n v="1"/>
    <n v="0"/>
    <n v="1"/>
    <n v="1"/>
    <n v="1"/>
    <n v="1"/>
    <n v="1"/>
    <n v="1"/>
    <n v="1"/>
    <n v="1"/>
    <n v="0.1"/>
    <n v="0.3"/>
    <n v="0"/>
    <n v="0.3"/>
    <n v="0.7"/>
    <n v="1"/>
    <n v="1"/>
    <s v=""/>
    <s v=""/>
    <s v=""/>
    <m/>
    <m/>
    <s v=""/>
    <s v=""/>
    <s v=""/>
    <s v=""/>
    <s v=""/>
    <s v=""/>
    <s v=""/>
    <e v="#REF!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e v="#REF!"/>
    <s v=""/>
    <s v=""/>
    <s v=""/>
    <s v=""/>
    <s v=""/>
    <s v="¿El agente maneja correctamente las objeciones del cliente? "/>
    <s v=""/>
    <s v=""/>
    <s v=""/>
    <s v=""/>
    <s v=""/>
    <s v=""/>
    <s v=""/>
    <s v=""/>
    <s v=""/>
    <s v="Gina Batista Outbound jun-26"/>
    <n v="2"/>
    <n v="0"/>
    <n v="1"/>
    <n v="26"/>
    <n v="0"/>
    <x v="0"/>
    <m/>
    <m/>
    <m/>
    <m/>
    <x v="0"/>
  </r>
  <r>
    <x v="4"/>
    <n v="67559170"/>
    <d v="2026-06-20T00:00:00"/>
    <s v="Pre2Pos"/>
    <x v="1"/>
    <x v="0"/>
    <s v="Ingris Quintero"/>
    <s v="Semana 25"/>
    <s v="No Critica"/>
    <s v="Si"/>
    <s v="Si"/>
    <s v="Si"/>
    <s v="Si"/>
    <s v="Si"/>
    <s v="Si"/>
    <s v="Si"/>
    <s v="Si"/>
    <s v="Si"/>
    <s v="Si"/>
    <s v="Si"/>
    <s v="Si"/>
    <s v="Si"/>
    <s v="Si"/>
    <s v="Si"/>
    <s v="Si"/>
    <s v="Si"/>
    <s v="Si"/>
    <s v="Si"/>
    <s v="Si"/>
    <s v="Si"/>
    <s v="Si"/>
    <s v="Si"/>
    <s v="Si"/>
    <s v="Si"/>
    <s v="Si"/>
    <s v="Si"/>
    <s v="Si"/>
    <s v="Si"/>
    <s v="Si"/>
    <s v="Si"/>
    <s v="Si"/>
    <s v="Si"/>
    <s v="Si"/>
    <s v="Si"/>
    <s v="Si"/>
    <s v="Si"/>
    <s v="Si"/>
    <s v="Si"/>
    <s v="Si"/>
    <s v="Si"/>
    <s v="Si"/>
    <s v="Si"/>
    <s v="Si"/>
    <s v="Si"/>
    <s v="Si"/>
    <s v="Si"/>
    <s v="Si"/>
    <s v="Si"/>
    <m/>
    <s v="No Critica"/>
    <m/>
    <m/>
    <n v="1"/>
    <n v="1"/>
    <n v="1"/>
    <n v="1"/>
    <n v="1"/>
    <n v="1"/>
    <n v="1"/>
    <n v="1"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"/>
    <n v="0.15"/>
    <n v="0.15"/>
    <n v="0.15"/>
    <n v="0.15"/>
    <n v="0.3"/>
    <n v="0.3"/>
    <n v="0.3"/>
    <n v="0.3"/>
    <n v="0.3"/>
    <n v="0.3"/>
    <n v="0.3"/>
    <n v="0.3"/>
    <n v="0.3"/>
    <n v="0.3"/>
    <n v="0.25"/>
    <n v="0.25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.1"/>
    <n v="0.3"/>
    <n v="0.3"/>
    <n v="0.3"/>
    <n v="1"/>
    <n v="1"/>
    <n v="0"/>
    <s v=""/>
    <s v=""/>
    <s v=""/>
    <m/>
    <m/>
    <s v=""/>
    <s v=""/>
    <s v=""/>
    <s v=""/>
    <s v=""/>
    <s v=""/>
    <s v=""/>
    <e v="#REF!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e v="#REF!"/>
    <s v=""/>
    <s v=""/>
    <s v=""/>
    <s v=""/>
    <s v=""/>
    <s v=""/>
    <s v=""/>
    <s v=""/>
    <s v=""/>
    <s v=""/>
    <s v=""/>
    <s v=""/>
    <s v=""/>
    <s v=""/>
    <s v=""/>
    <s v="Astrid Carolina Camaño Outbound jun-26"/>
    <n v="2"/>
    <n v="0"/>
    <s v=""/>
    <s v=""/>
    <n v="0"/>
    <x v="0"/>
    <m/>
    <m/>
    <m/>
    <m/>
    <x v="0"/>
  </r>
  <r>
    <x v="6"/>
    <n v="65497231"/>
    <d v="2026-06-20T00:00:00"/>
    <s v="Pre2Pos"/>
    <x v="1"/>
    <x v="0"/>
    <s v="Ingris Quintero"/>
    <s v="Semana 25"/>
    <s v="Critica"/>
    <s v="Si"/>
    <s v="Si"/>
    <s v="Si"/>
    <s v="Si"/>
    <s v="Si"/>
    <s v="Si"/>
    <s v="Si"/>
    <s v="Si"/>
    <s v="Si"/>
    <s v="Si"/>
    <s v="Si"/>
    <s v="Si"/>
    <s v="Si"/>
    <s v="Si"/>
    <s v="Si"/>
    <s v="No"/>
    <s v="No"/>
    <s v="Si"/>
    <s v="Si"/>
    <s v="Si"/>
    <s v="Si"/>
    <s v="Si"/>
    <s v="Si"/>
    <s v="Si"/>
    <s v="Si"/>
    <s v="Si"/>
    <s v="Si"/>
    <s v="Si"/>
    <s v="Si"/>
    <s v="Si"/>
    <s v="Si"/>
    <s v="Si"/>
    <s v="Si"/>
    <s v="Si"/>
    <s v="Si"/>
    <s v="Si"/>
    <s v="Si"/>
    <s v="Si"/>
    <s v="Si"/>
    <s v="Si"/>
    <s v="Si"/>
    <s v="Si"/>
    <s v="Si"/>
    <s v="Si"/>
    <s v="Si"/>
    <s v="Si"/>
    <s v="Si"/>
    <s v="Si"/>
    <s v="Si"/>
    <m/>
    <s v="Critica"/>
    <m/>
    <m/>
    <n v="1"/>
    <n v="1"/>
    <n v="1"/>
    <n v="1"/>
    <n v="1"/>
    <n v="1"/>
    <n v="1"/>
    <n v="1"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"/>
    <n v="0.15"/>
    <n v="0.15"/>
    <n v="0.15"/>
    <n v="0.15"/>
    <n v="0.3"/>
    <n v="0.3"/>
    <n v="0.3"/>
    <n v="0.3"/>
    <n v="0.3"/>
    <n v="0.3"/>
    <n v="0.3"/>
    <n v="0.3"/>
    <n v="0.3"/>
    <n v="0.3"/>
    <n v="0.25"/>
    <n v="0.25"/>
    <n v="1"/>
    <n v="1"/>
    <n v="1"/>
    <n v="0"/>
    <n v="0"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.1"/>
    <n v="0"/>
    <n v="0.3"/>
    <n v="0.3"/>
    <n v="0.7"/>
    <n v="1"/>
    <n v="1"/>
    <s v=""/>
    <s v=""/>
    <s v=""/>
    <m/>
    <m/>
    <s v=""/>
    <s v=""/>
    <s v=""/>
    <s v=""/>
    <s v=""/>
    <s v=""/>
    <s v=""/>
    <e v="#REF!"/>
    <s v=""/>
    <s v=""/>
    <s v=""/>
    <s v="¿El agente explica el ciclo de facturación adecuadamente? "/>
    <s v="¿El agente presenta correctamente los beneficios del producto? "/>
    <s v=""/>
    <s v=""/>
    <s v=""/>
    <s v=""/>
    <s v=""/>
    <s v=""/>
    <s v=""/>
    <s v=""/>
    <s v=""/>
    <s v=""/>
    <s v=""/>
    <s v=""/>
    <s v=""/>
    <s v=""/>
    <s v=""/>
    <s v=""/>
    <s v=""/>
    <e v="#REF!"/>
    <s v=""/>
    <s v=""/>
    <s v=""/>
    <s v=""/>
    <s v=""/>
    <s v=""/>
    <s v=""/>
    <s v=""/>
    <s v=""/>
    <s v=""/>
    <s v=""/>
    <s v=""/>
    <s v=""/>
    <s v=""/>
    <s v=""/>
    <s v="David Gonzalez Outbound jun-26"/>
    <n v="2"/>
    <n v="0"/>
    <n v="1"/>
    <n v="26"/>
    <n v="0"/>
    <x v="0"/>
    <m/>
    <m/>
    <m/>
    <m/>
    <x v="0"/>
  </r>
  <r>
    <x v="5"/>
    <n v="67480734"/>
    <d v="2026-06-20T00:00:00"/>
    <s v="Pre2Pos"/>
    <x v="1"/>
    <x v="0"/>
    <s v="Ingris Quintero"/>
    <s v="Semana 25"/>
    <s v="Critica"/>
    <s v="Si"/>
    <s v="Si"/>
    <s v="Si"/>
    <s v="Si"/>
    <s v="Si"/>
    <s v="Si"/>
    <s v="Si"/>
    <s v="Si"/>
    <s v="Si"/>
    <s v="Si"/>
    <s v="Si"/>
    <s v="Si"/>
    <s v="Si"/>
    <s v="Si"/>
    <s v="Si"/>
    <s v="Si"/>
    <s v="Si"/>
    <s v="Si"/>
    <s v="Si"/>
    <s v="Si"/>
    <s v="Si"/>
    <s v="Si"/>
    <s v="Si"/>
    <s v="Si"/>
    <s v="Si"/>
    <s v="Si"/>
    <s v="Si"/>
    <s v="Si"/>
    <s v="Si"/>
    <s v="Si"/>
    <s v="Si"/>
    <s v="Si"/>
    <s v="Si"/>
    <s v="Si"/>
    <s v="Si"/>
    <s v="Si"/>
    <s v="Si"/>
    <s v="Si"/>
    <s v="Si"/>
    <s v="No"/>
    <s v="Si"/>
    <s v="Si"/>
    <s v="Si"/>
    <s v="Si"/>
    <s v="Si"/>
    <s v="Si"/>
    <s v="Si"/>
    <s v="Si"/>
    <s v="Si"/>
    <m/>
    <s v="Critica"/>
    <m/>
    <m/>
    <n v="1"/>
    <n v="1"/>
    <n v="1"/>
    <n v="1"/>
    <n v="1"/>
    <n v="1"/>
    <n v="1"/>
    <n v="1"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"/>
    <n v="0.15"/>
    <n v="0.15"/>
    <n v="0.15"/>
    <n v="0.15"/>
    <n v="0.3"/>
    <n v="0.3"/>
    <n v="0.3"/>
    <n v="0.3"/>
    <n v="0.3"/>
    <n v="0.3"/>
    <n v="0.3"/>
    <n v="0.3"/>
    <n v="0.3"/>
    <n v="0.3"/>
    <n v="0.25"/>
    <n v="0.25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"/>
    <n v="0"/>
    <n v="1"/>
    <n v="1"/>
    <n v="1"/>
    <n v="1"/>
    <n v="1"/>
    <n v="1"/>
    <n v="1"/>
    <n v="1"/>
    <n v="0"/>
    <n v="1"/>
    <n v="1"/>
    <n v="1"/>
    <n v="1"/>
    <n v="1"/>
    <n v="1"/>
    <n v="1"/>
    <n v="1"/>
    <n v="0.1"/>
    <n v="0.3"/>
    <n v="0"/>
    <n v="0.3"/>
    <n v="0.7"/>
    <n v="1"/>
    <n v="1"/>
    <s v=""/>
    <s v=""/>
    <s v=""/>
    <m/>
    <m/>
    <s v=""/>
    <s v=""/>
    <s v=""/>
    <s v=""/>
    <s v=""/>
    <s v=""/>
    <s v=""/>
    <e v="#REF!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e v="#REF!"/>
    <s v=""/>
    <s v=""/>
    <s v=""/>
    <s v=""/>
    <s v=""/>
    <s v="¿El agente maneja correctamente las objeciones del cliente? "/>
    <s v=""/>
    <s v=""/>
    <s v=""/>
    <s v=""/>
    <s v=""/>
    <s v=""/>
    <s v=""/>
    <s v=""/>
    <s v=""/>
    <s v="Yaelin Bethancourt Outbound jun-26"/>
    <n v="2"/>
    <n v="0"/>
    <n v="1"/>
    <n v="26"/>
    <n v="0"/>
    <x v="0"/>
    <m/>
    <m/>
    <m/>
    <m/>
    <x v="0"/>
  </r>
  <r>
    <x v="0"/>
    <n v="67480734"/>
    <d v="2026-06-21T00:00:00"/>
    <s v="Pre2Pos"/>
    <x v="0"/>
    <x v="0"/>
    <s v="Ingris Quintero"/>
    <s v="Semana 25"/>
    <s v="No Critica"/>
    <s v="Si"/>
    <s v="Si"/>
    <s v="Si"/>
    <s v="Si"/>
    <s v="Si"/>
    <s v="Si"/>
    <s v="Si"/>
    <s v="Si"/>
    <s v="Si"/>
    <s v="Si"/>
    <s v="Si"/>
    <s v="Si"/>
    <s v="Si"/>
    <s v="Si"/>
    <s v="Si"/>
    <s v="Si"/>
    <s v="Si"/>
    <s v="Si"/>
    <s v="Si"/>
    <s v="Si"/>
    <s v="Si"/>
    <s v="Si"/>
    <s v="Si"/>
    <s v="Si"/>
    <s v="Si"/>
    <s v="Si"/>
    <s v="Si"/>
    <s v="Si"/>
    <s v="Si"/>
    <s v="Si"/>
    <s v="Si"/>
    <s v="Si"/>
    <s v="Si"/>
    <s v="Si"/>
    <s v="Si"/>
    <s v="Si"/>
    <s v="Si"/>
    <s v="Si"/>
    <s v="Si"/>
    <s v="Si"/>
    <s v="Si"/>
    <s v="Si"/>
    <s v="Si"/>
    <s v="Si"/>
    <s v="Si"/>
    <s v="Si"/>
    <s v="Si"/>
    <s v="Si"/>
    <s v="Si"/>
    <m/>
    <s v="No Critica"/>
    <m/>
    <m/>
    <n v="1"/>
    <n v="1"/>
    <n v="1"/>
    <n v="1"/>
    <n v="1"/>
    <n v="1"/>
    <n v="1"/>
    <n v="1"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"/>
    <n v="0.15"/>
    <n v="0.15"/>
    <n v="0.15"/>
    <n v="0.15"/>
    <n v="0.3"/>
    <n v="0.3"/>
    <n v="0.3"/>
    <n v="0.3"/>
    <n v="0.3"/>
    <n v="0.3"/>
    <n v="0.3"/>
    <n v="0.3"/>
    <n v="0.3"/>
    <n v="0.3"/>
    <n v="0.25"/>
    <n v="0.25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.1"/>
    <n v="0.3"/>
    <n v="0.3"/>
    <n v="0.3"/>
    <n v="1"/>
    <n v="1"/>
    <n v="0"/>
    <s v=""/>
    <s v=""/>
    <s v=""/>
    <m/>
    <m/>
    <s v=""/>
    <s v=""/>
    <s v=""/>
    <s v=""/>
    <s v=""/>
    <s v=""/>
    <s v=""/>
    <e v="#REF!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e v="#REF!"/>
    <s v=""/>
    <s v=""/>
    <s v=""/>
    <s v=""/>
    <s v=""/>
    <s v=""/>
    <s v=""/>
    <s v=""/>
    <s v=""/>
    <s v=""/>
    <s v=""/>
    <s v=""/>
    <s v=""/>
    <s v=""/>
    <s v=""/>
    <s v="Max Heurtematte   Outbound jun-26"/>
    <n v="1"/>
    <n v="0"/>
    <s v=""/>
    <s v=""/>
    <n v="0"/>
    <x v="0"/>
    <m/>
    <m/>
    <m/>
    <m/>
    <x v="0"/>
  </r>
  <r>
    <x v="1"/>
    <n v="68810422"/>
    <d v="2026-06-21T00:00:00"/>
    <s v="Pre2Pos"/>
    <x v="0"/>
    <x v="0"/>
    <s v="Ingris Quintero"/>
    <s v="Semana 25"/>
    <s v="Critica"/>
    <s v="Si"/>
    <s v="Si"/>
    <s v="Si"/>
    <s v="Si"/>
    <s v="Si"/>
    <s v="Si"/>
    <s v="Si"/>
    <s v="Si"/>
    <s v="Si"/>
    <s v="Si"/>
    <s v="Si"/>
    <s v="Si"/>
    <s v="Si"/>
    <s v="Si"/>
    <s v="Si"/>
    <s v="Si"/>
    <s v="Si"/>
    <s v="Si"/>
    <s v="Si"/>
    <s v="Si"/>
    <s v="Si"/>
    <s v="Si"/>
    <s v="Si"/>
    <s v="Si"/>
    <s v="Si"/>
    <s v="Si"/>
    <s v="Si"/>
    <s v="Si"/>
    <s v="Si"/>
    <s v="Si"/>
    <s v="Si"/>
    <s v="Si"/>
    <s v="Si"/>
    <s v="Si"/>
    <s v="Si"/>
    <s v="No"/>
    <s v="Si"/>
    <s v="Si"/>
    <s v="Si"/>
    <s v="Si"/>
    <s v="Si"/>
    <s v="Si"/>
    <s v="Si"/>
    <s v="Si"/>
    <s v="Si"/>
    <s v="Si"/>
    <s v="Si"/>
    <s v="Si"/>
    <s v="Si"/>
    <m/>
    <s v="Critica"/>
    <m/>
    <m/>
    <n v="1"/>
    <n v="1"/>
    <n v="1"/>
    <n v="1"/>
    <n v="1"/>
    <n v="1"/>
    <n v="1"/>
    <n v="1"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"/>
    <n v="0.15"/>
    <n v="0.15"/>
    <n v="0.15"/>
    <n v="0.15"/>
    <n v="0.3"/>
    <n v="0.3"/>
    <n v="0.3"/>
    <n v="0.3"/>
    <n v="0.3"/>
    <n v="0.3"/>
    <n v="0.3"/>
    <n v="0.3"/>
    <n v="0.3"/>
    <n v="0.3"/>
    <n v="0.25"/>
    <n v="0.25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"/>
    <n v="1"/>
    <n v="1"/>
    <n v="1"/>
    <n v="1"/>
    <n v="0"/>
    <n v="1"/>
    <n v="1"/>
    <n v="1"/>
    <n v="1"/>
    <n v="1"/>
    <n v="1"/>
    <n v="1"/>
    <n v="1"/>
    <n v="0"/>
    <n v="1"/>
    <n v="1"/>
    <n v="1"/>
    <n v="1"/>
    <n v="1"/>
    <n v="1"/>
    <n v="1"/>
    <n v="1"/>
    <n v="0.1"/>
    <n v="0.3"/>
    <n v="0"/>
    <n v="0.3"/>
    <n v="0.7"/>
    <n v="1"/>
    <n v="1"/>
    <s v=""/>
    <s v=""/>
    <s v=""/>
    <m/>
    <m/>
    <s v=""/>
    <s v=""/>
    <s v=""/>
    <s v=""/>
    <s v=""/>
    <s v=""/>
    <s v=""/>
    <e v="#REF!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e v="#REF!"/>
    <s v=""/>
    <s v="¿El agente realiza venta cruzada cuando corresponde? "/>
    <s v=""/>
    <s v=""/>
    <s v=""/>
    <s v=""/>
    <s v=""/>
    <s v=""/>
    <s v=""/>
    <s v=""/>
    <s v=""/>
    <s v=""/>
    <s v=""/>
    <s v=""/>
    <s v=""/>
    <s v="Mitxely Naar Outbound jun-26"/>
    <n v="1"/>
    <n v="0"/>
    <n v="1"/>
    <n v="26"/>
    <n v="0"/>
    <x v="0"/>
    <m/>
    <m/>
    <m/>
    <m/>
    <x v="0"/>
  </r>
  <r>
    <x v="3"/>
    <n v="69932373"/>
    <d v="2026-06-21T00:00:00"/>
    <s v="Pre2Pos"/>
    <x v="0"/>
    <x v="0"/>
    <s v="Ingris Quintero"/>
    <s v="Semana 25"/>
    <s v="Critica"/>
    <s v="Si"/>
    <s v="Si"/>
    <s v="Si"/>
    <s v="Si"/>
    <s v="Si"/>
    <s v="Si"/>
    <s v="Si"/>
    <s v="Si"/>
    <s v="Si"/>
    <s v="Si"/>
    <s v="Si"/>
    <s v="Si"/>
    <s v="Si"/>
    <s v="Si"/>
    <s v="Si"/>
    <s v="Si"/>
    <s v="Si"/>
    <s v="Si"/>
    <s v="Si"/>
    <s v="Si"/>
    <s v="Si"/>
    <s v="Si"/>
    <s v="Si"/>
    <s v="Si"/>
    <s v="Si"/>
    <s v="Si"/>
    <s v="Si"/>
    <s v="Si"/>
    <s v="Si"/>
    <s v="Si"/>
    <s v="Si"/>
    <s v="Si"/>
    <s v="Si"/>
    <s v="Si"/>
    <s v="Si"/>
    <s v="Si"/>
    <s v="Si"/>
    <s v="Si"/>
    <s v="Si"/>
    <s v="No"/>
    <s v="Si"/>
    <s v="Si"/>
    <s v="Si"/>
    <s v="Si"/>
    <s v="Si"/>
    <s v="Si"/>
    <s v="Si"/>
    <s v="Si"/>
    <s v="Si"/>
    <m/>
    <s v="Critica"/>
    <m/>
    <m/>
    <n v="1"/>
    <n v="1"/>
    <n v="1"/>
    <n v="1"/>
    <n v="1"/>
    <n v="1"/>
    <n v="1"/>
    <n v="1"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"/>
    <n v="0.15"/>
    <n v="0.15"/>
    <n v="0.15"/>
    <n v="0.15"/>
    <n v="0.3"/>
    <n v="0.3"/>
    <n v="0.3"/>
    <n v="0.3"/>
    <n v="0.3"/>
    <n v="0.3"/>
    <n v="0.3"/>
    <n v="0.3"/>
    <n v="0.3"/>
    <n v="0.3"/>
    <n v="0.25"/>
    <n v="0.25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"/>
    <n v="0"/>
    <n v="1"/>
    <n v="1"/>
    <n v="1"/>
    <n v="1"/>
    <n v="1"/>
    <n v="1"/>
    <n v="1"/>
    <n v="1"/>
    <n v="0"/>
    <n v="1"/>
    <n v="1"/>
    <n v="1"/>
    <n v="1"/>
    <n v="1"/>
    <n v="1"/>
    <n v="1"/>
    <n v="1"/>
    <n v="0.1"/>
    <n v="0.3"/>
    <n v="0"/>
    <n v="0.3"/>
    <n v="0.7"/>
    <n v="1"/>
    <n v="1"/>
    <s v=""/>
    <s v=""/>
    <s v=""/>
    <m/>
    <m/>
    <s v=""/>
    <s v=""/>
    <s v=""/>
    <s v=""/>
    <s v=""/>
    <s v=""/>
    <s v=""/>
    <e v="#REF!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e v="#REF!"/>
    <s v=""/>
    <s v=""/>
    <s v=""/>
    <s v=""/>
    <s v=""/>
    <s v="¿El agente maneja correctamente las objeciones del cliente? "/>
    <s v=""/>
    <s v=""/>
    <s v=""/>
    <s v=""/>
    <s v=""/>
    <s v=""/>
    <s v=""/>
    <s v=""/>
    <s v=""/>
    <s v="Evelyn Torres Outbound jun-26"/>
    <n v="2"/>
    <n v="0"/>
    <n v="1"/>
    <n v="26"/>
    <n v="0"/>
    <x v="0"/>
    <m/>
    <m/>
    <m/>
    <m/>
    <x v="0"/>
  </r>
  <r>
    <x v="4"/>
    <n v="69696560"/>
    <d v="2026-06-21T00:00:00"/>
    <s v="Pre2Pos"/>
    <x v="0"/>
    <x v="0"/>
    <s v="Ingris Quintero"/>
    <s v="Semana 25"/>
    <s v="Critica"/>
    <s v="Si"/>
    <s v="Si"/>
    <s v="Si"/>
    <s v="Si"/>
    <s v="Si"/>
    <s v="Si"/>
    <s v="Si"/>
    <s v="Si"/>
    <s v="Si"/>
    <s v="Si"/>
    <s v="Si"/>
    <s v="Si"/>
    <s v="Si"/>
    <s v="Si"/>
    <s v="Si"/>
    <s v="Si"/>
    <s v="Si"/>
    <s v="Si"/>
    <s v="Si"/>
    <s v="Si"/>
    <s v="Si"/>
    <s v="Si"/>
    <s v="Si"/>
    <s v="Si"/>
    <s v="Si"/>
    <s v="Si"/>
    <s v="Si"/>
    <s v="Si"/>
    <s v="Si"/>
    <s v="Si"/>
    <s v="Si"/>
    <s v="Si"/>
    <s v="Si"/>
    <s v="Si"/>
    <s v="Si"/>
    <s v="Si"/>
    <s v="Si"/>
    <s v="Si"/>
    <s v="Si"/>
    <s v="No"/>
    <s v="Si"/>
    <s v="Si"/>
    <s v="Si"/>
    <s v="Si"/>
    <s v="Si"/>
    <s v="Si"/>
    <s v="Si"/>
    <s v="Si"/>
    <s v="Si"/>
    <m/>
    <s v="Critica"/>
    <m/>
    <m/>
    <n v="1"/>
    <n v="1"/>
    <n v="1"/>
    <n v="1"/>
    <n v="1"/>
    <n v="1"/>
    <n v="1"/>
    <n v="1"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"/>
    <n v="0.15"/>
    <n v="0.15"/>
    <n v="0.15"/>
    <n v="0.15"/>
    <n v="0.3"/>
    <n v="0.3"/>
    <n v="0.3"/>
    <n v="0.3"/>
    <n v="0.3"/>
    <n v="0.3"/>
    <n v="0.3"/>
    <n v="0.3"/>
    <n v="0.3"/>
    <n v="0.3"/>
    <n v="0.25"/>
    <n v="0.25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"/>
    <n v="0"/>
    <n v="1"/>
    <n v="1"/>
    <n v="1"/>
    <n v="1"/>
    <n v="1"/>
    <n v="1"/>
    <n v="1"/>
    <n v="1"/>
    <n v="0"/>
    <n v="1"/>
    <n v="1"/>
    <n v="1"/>
    <n v="1"/>
    <n v="1"/>
    <n v="1"/>
    <n v="1"/>
    <n v="1"/>
    <n v="0.1"/>
    <n v="0.3"/>
    <n v="0"/>
    <n v="0.3"/>
    <n v="0.7"/>
    <n v="1"/>
    <n v="1"/>
    <s v=""/>
    <s v=""/>
    <s v=""/>
    <m/>
    <m/>
    <s v=""/>
    <s v=""/>
    <s v=""/>
    <s v=""/>
    <s v=""/>
    <s v=""/>
    <s v=""/>
    <e v="#REF!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e v="#REF!"/>
    <s v=""/>
    <s v=""/>
    <s v=""/>
    <s v=""/>
    <s v=""/>
    <s v="¿El agente maneja correctamente las objeciones del cliente? "/>
    <s v=""/>
    <s v=""/>
    <s v=""/>
    <s v=""/>
    <s v=""/>
    <s v=""/>
    <s v=""/>
    <s v=""/>
    <s v=""/>
    <s v="Astrid Carolina Camaño Outbound jun-26"/>
    <n v="1"/>
    <n v="0"/>
    <n v="1"/>
    <n v="26"/>
    <n v="0"/>
    <x v="0"/>
    <m/>
    <m/>
    <m/>
    <m/>
    <x v="0"/>
  </r>
  <r>
    <x v="5"/>
    <n v="69696560"/>
    <d v="2026-06-21T00:00:00"/>
    <s v="Pre2Pos"/>
    <x v="0"/>
    <x v="0"/>
    <s v="Ingris Quintero"/>
    <s v="Semana 25"/>
    <s v="Critica"/>
    <s v="Si"/>
    <s v="Si"/>
    <s v="Si"/>
    <s v="Si"/>
    <s v="Si"/>
    <s v="Si"/>
    <s v="Si"/>
    <s v="Si"/>
    <s v="Si"/>
    <s v="Si"/>
    <s v="Si"/>
    <s v="Si"/>
    <s v="Si"/>
    <s v="Si"/>
    <s v="Si"/>
    <s v="Si"/>
    <s v="Si"/>
    <s v="Si"/>
    <s v="Si"/>
    <s v="Si"/>
    <s v="Si"/>
    <s v="Si"/>
    <s v="Si"/>
    <s v="Si"/>
    <s v="Si"/>
    <s v="Si"/>
    <s v="Si"/>
    <s v="Si"/>
    <s v="Si"/>
    <s v="Si"/>
    <s v="Si"/>
    <s v="Si"/>
    <s v="Si"/>
    <s v="Si"/>
    <s v="Si"/>
    <s v="No"/>
    <s v="Si"/>
    <s v="Si"/>
    <s v="Si"/>
    <s v="Si"/>
    <s v="Si"/>
    <s v="Si"/>
    <s v="No"/>
    <s v="Si"/>
    <s v="Si"/>
    <s v="Si"/>
    <s v="Si"/>
    <s v="Si"/>
    <s v="Si"/>
    <m/>
    <s v="Critica"/>
    <m/>
    <m/>
    <n v="1"/>
    <n v="1"/>
    <n v="1"/>
    <n v="1"/>
    <n v="1"/>
    <n v="1"/>
    <n v="1"/>
    <n v="1"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"/>
    <n v="0.15"/>
    <n v="0.15"/>
    <n v="0.15"/>
    <n v="0.15"/>
    <n v="0.3"/>
    <n v="0.3"/>
    <n v="0.3"/>
    <n v="0.3"/>
    <n v="0.3"/>
    <n v="0.3"/>
    <n v="0.3"/>
    <n v="0.3"/>
    <n v="0.3"/>
    <n v="0.3"/>
    <n v="0.25"/>
    <n v="0.25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"/>
    <n v="1"/>
    <n v="1"/>
    <n v="1"/>
    <n v="1"/>
    <n v="0"/>
    <n v="1"/>
    <n v="1"/>
    <n v="1"/>
    <n v="0"/>
    <n v="1"/>
    <n v="0"/>
    <n v="1"/>
    <n v="1"/>
    <n v="0"/>
    <n v="1"/>
    <n v="1"/>
    <n v="1"/>
    <n v="1"/>
    <n v="1"/>
    <n v="1"/>
    <n v="1"/>
    <n v="1"/>
    <n v="0.1"/>
    <n v="0.3"/>
    <n v="0"/>
    <n v="0.3"/>
    <n v="0.7"/>
    <n v="1"/>
    <n v="1"/>
    <s v=""/>
    <s v=""/>
    <s v=""/>
    <m/>
    <m/>
    <s v=""/>
    <s v=""/>
    <s v=""/>
    <s v=""/>
    <s v=""/>
    <s v=""/>
    <s v=""/>
    <e v="#REF!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e v="#REF!"/>
    <s v=""/>
    <s v="¿El agente realiza venta cruzada cuando corresponde? "/>
    <s v=""/>
    <s v=""/>
    <s v=""/>
    <s v=""/>
    <s v=""/>
    <s v=""/>
    <s v="¿El agente gestiona la recepción de documentos por WhatsApp o correo? "/>
    <s v=""/>
    <s v=""/>
    <s v=""/>
    <s v=""/>
    <s v=""/>
    <s v=""/>
    <s v="Yaelin Bethancourt Outbound jun-26"/>
    <n v="1"/>
    <n v="0"/>
    <n v="1"/>
    <n v="26"/>
    <n v="0"/>
    <x v="0"/>
    <m/>
    <m/>
    <m/>
    <m/>
    <x v="0"/>
  </r>
  <r>
    <x v="6"/>
    <n v="69469182"/>
    <d v="2026-06-21T00:00:00"/>
    <s v="Pre2Pos"/>
    <x v="0"/>
    <x v="0"/>
    <s v="Ingris Quintero"/>
    <s v="Semana 25"/>
    <s v="Critica"/>
    <s v="Si"/>
    <s v="Si"/>
    <s v="Si"/>
    <s v="Si"/>
    <s v="Si"/>
    <s v="Si"/>
    <s v="Si"/>
    <s v="Si"/>
    <s v="Si"/>
    <s v="Si"/>
    <s v="Si"/>
    <s v="Si"/>
    <s v="Si"/>
    <s v="Si"/>
    <s v="Si"/>
    <s v="Si"/>
    <s v="Si"/>
    <s v="Si"/>
    <s v="Si"/>
    <s v="Si"/>
    <s v="Si"/>
    <s v="Si"/>
    <s v="Si"/>
    <s v="Si"/>
    <s v="Si"/>
    <s v="Si"/>
    <s v="Si"/>
    <s v="Si"/>
    <s v="Si"/>
    <s v="Si"/>
    <s v="Si"/>
    <s v="Si"/>
    <s v="Si"/>
    <s v="Si"/>
    <s v="Si"/>
    <s v="Si"/>
    <s v="Si"/>
    <s v="Si"/>
    <s v="Si"/>
    <s v="No"/>
    <s v="Si"/>
    <s v="Si"/>
    <s v="Si"/>
    <s v="Si"/>
    <s v="Si"/>
    <s v="Si"/>
    <s v="Si"/>
    <s v="Si"/>
    <s v="Si"/>
    <m/>
    <s v="Critica"/>
    <m/>
    <m/>
    <n v="1"/>
    <n v="1"/>
    <n v="1"/>
    <n v="1"/>
    <n v="1"/>
    <n v="1"/>
    <n v="1"/>
    <n v="1"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"/>
    <n v="0.15"/>
    <n v="0.15"/>
    <n v="0.15"/>
    <n v="0.15"/>
    <n v="0.3"/>
    <n v="0.3"/>
    <n v="0.3"/>
    <n v="0.3"/>
    <n v="0.3"/>
    <n v="0.3"/>
    <n v="0.3"/>
    <n v="0.3"/>
    <n v="0.3"/>
    <n v="0.3"/>
    <n v="0.25"/>
    <n v="0.25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"/>
    <n v="0"/>
    <n v="1"/>
    <n v="1"/>
    <n v="1"/>
    <n v="1"/>
    <n v="1"/>
    <n v="1"/>
    <n v="1"/>
    <n v="1"/>
    <n v="0"/>
    <n v="1"/>
    <n v="1"/>
    <n v="1"/>
    <n v="1"/>
    <n v="1"/>
    <n v="1"/>
    <n v="1"/>
    <n v="1"/>
    <n v="0.1"/>
    <n v="0.3"/>
    <n v="0"/>
    <n v="0.3"/>
    <n v="0.7"/>
    <n v="1"/>
    <n v="1"/>
    <s v=""/>
    <s v=""/>
    <s v=""/>
    <m/>
    <m/>
    <s v=""/>
    <s v=""/>
    <s v=""/>
    <s v=""/>
    <s v=""/>
    <s v=""/>
    <s v=""/>
    <e v="#REF!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e v="#REF!"/>
    <s v=""/>
    <s v=""/>
    <s v=""/>
    <s v=""/>
    <s v=""/>
    <s v="¿El agente maneja correctamente las objeciones del cliente? "/>
    <s v=""/>
    <s v=""/>
    <s v=""/>
    <s v=""/>
    <s v=""/>
    <s v=""/>
    <s v=""/>
    <s v=""/>
    <s v=""/>
    <s v="David Gonzalez Outbound jun-26"/>
    <n v="1"/>
    <n v="0"/>
    <n v="1"/>
    <n v="26"/>
    <n v="0"/>
    <x v="0"/>
    <m/>
    <m/>
    <m/>
    <m/>
    <x v="0"/>
  </r>
  <r>
    <x v="3"/>
    <n v="69181791"/>
    <d v="2026-06-20T00:00:00"/>
    <s v="Pre2Pos"/>
    <x v="0"/>
    <x v="0"/>
    <s v="Ingris Quintero"/>
    <s v="Semana 25"/>
    <s v="Critica"/>
    <s v="Si"/>
    <s v="Si"/>
    <s v="Si"/>
    <s v="Si"/>
    <s v="Si"/>
    <s v="Si"/>
    <s v="Si"/>
    <s v="Si"/>
    <s v="Si"/>
    <s v="Si"/>
    <s v="Si"/>
    <s v="Si"/>
    <s v="Si"/>
    <s v="Si"/>
    <s v="Si"/>
    <s v="Si"/>
    <s v="Si"/>
    <s v="Si"/>
    <s v="Si"/>
    <s v="Si"/>
    <s v="Si"/>
    <s v="Si"/>
    <s v="Si"/>
    <s v="Si"/>
    <s v="Si"/>
    <s v="Si"/>
    <s v="Si"/>
    <s v="Si"/>
    <s v="Si"/>
    <s v="Si"/>
    <s v="Si"/>
    <s v="Si"/>
    <s v="Si"/>
    <s v="Si"/>
    <s v="Si"/>
    <s v="Si"/>
    <s v="Si"/>
    <s v="Si"/>
    <s v="Si"/>
    <s v="No"/>
    <s v="Si"/>
    <s v="Si"/>
    <s v="Si"/>
    <s v="Si"/>
    <s v="Si"/>
    <s v="Si"/>
    <s v="Si"/>
    <s v="Si"/>
    <s v="Si"/>
    <m/>
    <s v="Critica"/>
    <m/>
    <m/>
    <n v="1"/>
    <n v="1"/>
    <n v="1"/>
    <n v="1"/>
    <n v="1"/>
    <n v="1"/>
    <n v="1"/>
    <n v="1"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"/>
    <n v="0.15"/>
    <n v="0.15"/>
    <n v="0.15"/>
    <n v="0.15"/>
    <n v="0.3"/>
    <n v="0.3"/>
    <n v="0.3"/>
    <n v="0.3"/>
    <n v="0.3"/>
    <n v="0.3"/>
    <n v="0.3"/>
    <n v="0.3"/>
    <n v="0.3"/>
    <n v="0.3"/>
    <n v="0.25"/>
    <n v="0.25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"/>
    <n v="0"/>
    <n v="1"/>
    <n v="1"/>
    <n v="1"/>
    <n v="1"/>
    <n v="1"/>
    <n v="1"/>
    <n v="1"/>
    <n v="1"/>
    <n v="0"/>
    <n v="1"/>
    <n v="1"/>
    <n v="1"/>
    <n v="1"/>
    <n v="1"/>
    <n v="1"/>
    <n v="1"/>
    <n v="1"/>
    <n v="0.1"/>
    <n v="0.3"/>
    <n v="0"/>
    <n v="0.3"/>
    <n v="0.7"/>
    <n v="1"/>
    <n v="1"/>
    <s v=""/>
    <s v=""/>
    <s v=""/>
    <m/>
    <m/>
    <s v=""/>
    <s v=""/>
    <s v=""/>
    <s v=""/>
    <s v=""/>
    <s v=""/>
    <s v=""/>
    <e v="#REF!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e v="#REF!"/>
    <s v=""/>
    <s v=""/>
    <s v=""/>
    <s v=""/>
    <s v=""/>
    <s v="¿El agente maneja correctamente las objeciones del cliente? "/>
    <s v=""/>
    <s v=""/>
    <s v=""/>
    <s v=""/>
    <s v=""/>
    <s v=""/>
    <s v=""/>
    <s v=""/>
    <s v=""/>
    <s v="Evelyn Torres Outbound jun-26"/>
    <n v="1"/>
    <n v="0"/>
    <n v="1"/>
    <n v="26"/>
    <n v="0"/>
    <x v="0"/>
    <m/>
    <m/>
    <m/>
    <m/>
    <x v="0"/>
  </r>
  <r>
    <x v="2"/>
    <n v="69617194"/>
    <d v="2026-06-21T00:00:00"/>
    <s v="Pre2Pos"/>
    <x v="0"/>
    <x v="0"/>
    <s v="Ingris Quintero"/>
    <s v="Semana 26"/>
    <s v="Critica"/>
    <s v="Si"/>
    <s v="Si"/>
    <s v="Si"/>
    <s v="Si"/>
    <s v="Si"/>
    <s v="Si"/>
    <s v="Si"/>
    <s v="Si"/>
    <s v="Si"/>
    <s v="Si"/>
    <s v="Si"/>
    <s v="Si"/>
    <s v="Si"/>
    <s v="Si"/>
    <s v="Si"/>
    <s v="Si"/>
    <s v="Si"/>
    <s v="Si"/>
    <s v="Si"/>
    <s v="Si"/>
    <s v="Si"/>
    <s v="Si"/>
    <s v="Si"/>
    <s v="Si"/>
    <s v="Si"/>
    <s v="Si"/>
    <s v="Si"/>
    <s v="Si"/>
    <s v="Si"/>
    <s v="Si"/>
    <s v="Si"/>
    <s v="Si"/>
    <s v="Si"/>
    <s v="Si"/>
    <s v="Si"/>
    <s v="No"/>
    <s v="Si"/>
    <s v="Si"/>
    <s v="Si"/>
    <s v="No"/>
    <s v="Si"/>
    <s v="Si"/>
    <s v="Si"/>
    <s v="Si"/>
    <s v="Si"/>
    <s v="Si"/>
    <s v="Si"/>
    <s v="Si"/>
    <s v="Si"/>
    <m/>
    <s v="Critica"/>
    <m/>
    <m/>
    <n v="1"/>
    <n v="1"/>
    <n v="1"/>
    <n v="1"/>
    <n v="1"/>
    <n v="1"/>
    <n v="1"/>
    <n v="1"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"/>
    <n v="0.15"/>
    <n v="0.15"/>
    <n v="0.15"/>
    <n v="0.15"/>
    <n v="0.3"/>
    <n v="0.3"/>
    <n v="0.3"/>
    <n v="0.3"/>
    <n v="0.3"/>
    <n v="0.3"/>
    <n v="0.3"/>
    <n v="0.3"/>
    <n v="0.3"/>
    <n v="0.3"/>
    <n v="0.25"/>
    <n v="0.25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"/>
    <n v="1"/>
    <n v="1"/>
    <n v="1"/>
    <n v="0"/>
    <n v="0"/>
    <n v="1"/>
    <n v="1"/>
    <n v="1"/>
    <n v="1"/>
    <n v="1"/>
    <n v="1"/>
    <n v="1"/>
    <n v="1"/>
    <n v="0"/>
    <n v="1"/>
    <n v="1"/>
    <n v="1"/>
    <n v="1"/>
    <n v="1"/>
    <n v="1"/>
    <n v="1"/>
    <n v="1"/>
    <n v="0.1"/>
    <n v="0.3"/>
    <n v="0"/>
    <n v="0.3"/>
    <n v="0.7"/>
    <n v="1"/>
    <n v="1"/>
    <s v=""/>
    <s v=""/>
    <s v=""/>
    <m/>
    <m/>
    <s v=""/>
    <s v=""/>
    <s v=""/>
    <s v=""/>
    <s v=""/>
    <s v=""/>
    <s v=""/>
    <e v="#REF!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e v="#REF!"/>
    <s v=""/>
    <s v="¿El agente realiza venta cruzada cuando corresponde? "/>
    <s v=""/>
    <s v=""/>
    <s v=""/>
    <s v="¿El agente maneja correctamente las objeciones del cliente? "/>
    <s v=""/>
    <s v=""/>
    <s v=""/>
    <s v=""/>
    <s v=""/>
    <s v=""/>
    <s v=""/>
    <s v=""/>
    <s v=""/>
    <s v="Gina Batista Outbound jun-26"/>
    <n v="1"/>
    <n v="0"/>
    <n v="1"/>
    <n v="26"/>
    <n v="0"/>
    <x v="0"/>
    <m/>
    <m/>
    <m/>
    <m/>
    <x v="0"/>
  </r>
  <r>
    <x v="7"/>
    <n v="69827826"/>
    <d v="2026-07-13T00:00:00"/>
    <s v="Pre2Pos"/>
    <x v="2"/>
    <x v="0"/>
    <s v="Ingris Quintero"/>
    <s v="Semana 28"/>
    <s v="Critica"/>
    <s v="Si"/>
    <s v="Si"/>
    <s v="Si"/>
    <s v="Si"/>
    <s v="Si"/>
    <s v="Si"/>
    <s v="Si"/>
    <s v="Si"/>
    <s v="Si"/>
    <s v="Si"/>
    <s v="Si"/>
    <s v="Si"/>
    <s v="Si"/>
    <s v="Si"/>
    <s v="Si"/>
    <s v="Si"/>
    <s v="Si"/>
    <s v="Si"/>
    <s v="Si"/>
    <s v="Si"/>
    <s v="Si"/>
    <s v="Si"/>
    <s v="Si"/>
    <s v="Si"/>
    <s v="Si"/>
    <s v="Si"/>
    <s v="Si"/>
    <s v="Si"/>
    <s v="Si"/>
    <s v="Si"/>
    <s v="Si"/>
    <s v="Si"/>
    <s v="Si"/>
    <s v="Si"/>
    <s v="Si"/>
    <s v="Si"/>
    <s v="Si"/>
    <s v="Si"/>
    <s v="Si"/>
    <s v="No"/>
    <s v="Si"/>
    <s v="Si"/>
    <s v="Si"/>
    <s v="Si"/>
    <s v="Si"/>
    <s v="Si"/>
    <s v="Si"/>
    <s v="Si"/>
    <s v="Si"/>
    <m/>
    <s v="Critica"/>
    <m/>
    <m/>
    <n v="1"/>
    <n v="1"/>
    <n v="1"/>
    <n v="1"/>
    <n v="1"/>
    <n v="1"/>
    <n v="1"/>
    <n v="1"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"/>
    <n v="0.15"/>
    <n v="0.15"/>
    <n v="0.15"/>
    <n v="0.15"/>
    <n v="0.3"/>
    <n v="0.3"/>
    <n v="0.3"/>
    <n v="0.3"/>
    <n v="0.3"/>
    <n v="0.3"/>
    <n v="0.3"/>
    <n v="0.3"/>
    <n v="0.3"/>
    <n v="0.3"/>
    <n v="0.25"/>
    <n v="0.25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"/>
    <n v="0"/>
    <n v="1"/>
    <n v="1"/>
    <n v="1"/>
    <n v="1"/>
    <n v="1"/>
    <n v="1"/>
    <n v="1"/>
    <n v="1"/>
    <n v="0"/>
    <n v="1"/>
    <n v="1"/>
    <n v="1"/>
    <n v="1"/>
    <n v="1"/>
    <n v="1"/>
    <n v="1"/>
    <n v="1"/>
    <n v="0.1"/>
    <n v="0.3"/>
    <n v="0"/>
    <n v="0.3"/>
    <n v="0.7"/>
    <n v="1"/>
    <n v="1"/>
    <s v=""/>
    <s v=""/>
    <s v=""/>
    <m/>
    <m/>
    <s v=""/>
    <s v=""/>
    <s v=""/>
    <s v=""/>
    <s v=""/>
    <s v=""/>
    <s v=""/>
    <e v="#REF!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e v="#REF!"/>
    <s v=""/>
    <s v=""/>
    <s v=""/>
    <s v=""/>
    <s v=""/>
    <s v="¿El agente maneja correctamente las objeciones del cliente? "/>
    <s v=""/>
    <s v=""/>
    <s v=""/>
    <s v=""/>
    <s v=""/>
    <s v=""/>
    <s v=""/>
    <s v=""/>
    <s v=""/>
    <s v="Anabel González Torres Outbound jul-26"/>
    <n v="2"/>
    <n v="1"/>
    <n v="1"/>
    <n v="26"/>
    <n v="0"/>
    <x v="1"/>
    <m/>
    <m/>
    <m/>
    <m/>
    <x v="1"/>
  </r>
  <r>
    <x v="7"/>
    <n v="66756702"/>
    <d v="2026-07-13T00:00:00"/>
    <s v="Pre2Pos"/>
    <x v="2"/>
    <x v="0"/>
    <s v="Ingris Quintero"/>
    <s v="Semana 28"/>
    <s v="No Critica"/>
    <s v="Si"/>
    <s v="Si"/>
    <s v="Si"/>
    <s v="Si"/>
    <s v="Si"/>
    <s v="Si"/>
    <s v="Si"/>
    <s v="Si"/>
    <s v="Si"/>
    <s v="Si"/>
    <s v="Si"/>
    <s v="Si"/>
    <s v="Si"/>
    <s v="Si"/>
    <s v="Si"/>
    <s v="Si"/>
    <s v="Si"/>
    <s v="Si"/>
    <s v="Si"/>
    <s v="Si"/>
    <s v="Si"/>
    <s v="Si"/>
    <s v="Si"/>
    <s v="Si"/>
    <s v="Si"/>
    <s v="Si"/>
    <s v="Si"/>
    <s v="Si"/>
    <s v="Si"/>
    <s v="Si"/>
    <s v="Si"/>
    <s v="Si"/>
    <s v="Si"/>
    <s v="Si"/>
    <s v="Si"/>
    <s v="Si"/>
    <s v="Si"/>
    <s v="Si"/>
    <s v="Si"/>
    <s v="Si"/>
    <s v="Si"/>
    <s v="Si"/>
    <s v="Si"/>
    <s v="Si"/>
    <s v="Si"/>
    <s v="Si"/>
    <s v="Si"/>
    <s v="Si"/>
    <s v="Si"/>
    <m/>
    <s v="No Critica"/>
    <m/>
    <m/>
    <n v="1"/>
    <n v="1"/>
    <n v="1"/>
    <n v="1"/>
    <n v="1"/>
    <n v="1"/>
    <n v="1"/>
    <n v="1"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"/>
    <n v="0.15"/>
    <n v="0.15"/>
    <n v="0.15"/>
    <n v="0.15"/>
    <n v="0.3"/>
    <n v="0.3"/>
    <n v="0.3"/>
    <n v="0.3"/>
    <n v="0.3"/>
    <n v="0.3"/>
    <n v="0.3"/>
    <n v="0.3"/>
    <n v="0.3"/>
    <n v="0.3"/>
    <n v="0.25"/>
    <n v="0.25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.1"/>
    <n v="0.3"/>
    <n v="0.3"/>
    <n v="0.3"/>
    <n v="1"/>
    <n v="1"/>
    <n v="0"/>
    <s v=""/>
    <s v=""/>
    <s v=""/>
    <m/>
    <m/>
    <s v=""/>
    <s v=""/>
    <s v=""/>
    <s v=""/>
    <s v=""/>
    <s v=""/>
    <s v=""/>
    <e v="#REF!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e v="#REF!"/>
    <s v=""/>
    <s v=""/>
    <s v=""/>
    <s v=""/>
    <s v=""/>
    <s v=""/>
    <s v=""/>
    <s v=""/>
    <s v=""/>
    <s v=""/>
    <s v=""/>
    <s v=""/>
    <s v=""/>
    <s v=""/>
    <s v=""/>
    <s v="Anabel González Torres Outbound jul-26"/>
    <n v="1"/>
    <n v="0"/>
    <s v=""/>
    <s v=""/>
    <n v="0"/>
    <x v="1"/>
    <m/>
    <m/>
    <m/>
    <m/>
    <x v="1"/>
  </r>
  <r>
    <x v="8"/>
    <n v="66739727"/>
    <d v="2026-07-13T00:00:00"/>
    <s v="Pre2Pos"/>
    <x v="2"/>
    <x v="0"/>
    <s v="Ingris Quintero"/>
    <s v="Semana 28"/>
    <s v="Critica"/>
    <s v="Si"/>
    <s v="Si"/>
    <s v="Si"/>
    <s v="Si"/>
    <s v="Si"/>
    <s v="Si"/>
    <s v="Si"/>
    <s v="Si"/>
    <s v="Si"/>
    <s v="Si"/>
    <s v="Si"/>
    <s v="Si"/>
    <s v="Si"/>
    <s v="Si"/>
    <s v="Si"/>
    <s v="Si"/>
    <s v="Si"/>
    <s v="Si"/>
    <s v="Si"/>
    <s v="Si"/>
    <s v="Si"/>
    <s v="Si"/>
    <s v="Si"/>
    <s v="Si"/>
    <s v="Si"/>
    <s v="Si"/>
    <s v="Si"/>
    <s v="Si"/>
    <s v="Si"/>
    <s v="Si"/>
    <s v="Si"/>
    <s v="Si"/>
    <s v="Si"/>
    <s v="Si"/>
    <s v="Si"/>
    <s v="Si"/>
    <s v="Si"/>
    <s v="Si"/>
    <s v="No"/>
    <s v="No"/>
    <s v="Si"/>
    <s v="Si"/>
    <s v="Si"/>
    <s v="Si"/>
    <s v="Si"/>
    <s v="Si"/>
    <s v="Si"/>
    <s v="Si"/>
    <s v="Si"/>
    <m/>
    <s v="Critica"/>
    <m/>
    <m/>
    <n v="1"/>
    <n v="1"/>
    <n v="1"/>
    <n v="1"/>
    <n v="1"/>
    <n v="1"/>
    <n v="1"/>
    <n v="1"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"/>
    <n v="0.15"/>
    <n v="0.15"/>
    <n v="0.15"/>
    <n v="0.15"/>
    <n v="0.3"/>
    <n v="0.3"/>
    <n v="0.3"/>
    <n v="0.3"/>
    <n v="0.3"/>
    <n v="0.3"/>
    <n v="0.3"/>
    <n v="0.3"/>
    <n v="0.3"/>
    <n v="0.3"/>
    <n v="0.25"/>
    <n v="0.25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"/>
    <n v="0"/>
    <n v="0"/>
    <n v="1"/>
    <n v="1"/>
    <n v="1"/>
    <n v="1"/>
    <n v="1"/>
    <n v="1"/>
    <n v="1"/>
    <n v="1"/>
    <n v="0"/>
    <n v="1"/>
    <n v="1"/>
    <n v="1"/>
    <n v="1"/>
    <n v="1"/>
    <n v="1"/>
    <n v="1"/>
    <n v="1"/>
    <n v="0.1"/>
    <n v="0.3"/>
    <n v="0"/>
    <n v="0.3"/>
    <n v="0.7"/>
    <n v="1"/>
    <n v="1"/>
    <s v=""/>
    <s v=""/>
    <s v=""/>
    <m/>
    <m/>
    <s v=""/>
    <s v=""/>
    <s v=""/>
    <s v=""/>
    <s v=""/>
    <s v=""/>
    <s v=""/>
    <e v="#REF!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e v="#REF!"/>
    <s v=""/>
    <s v=""/>
    <s v=""/>
    <s v=""/>
    <s v="¿El agente realiza seguimiento adecuado al caso o solicitud? "/>
    <s v="¿El agente maneja correctamente las objeciones del cliente? "/>
    <s v=""/>
    <s v=""/>
    <s v=""/>
    <s v=""/>
    <s v=""/>
    <s v=""/>
    <s v=""/>
    <s v=""/>
    <s v=""/>
    <s v="Yasmara Tejeira Hernández Outbound jul-26"/>
    <n v="2"/>
    <n v="1"/>
    <n v="1"/>
    <n v="26"/>
    <n v="0"/>
    <x v="1"/>
    <m/>
    <m/>
    <m/>
    <m/>
    <x v="1"/>
  </r>
  <r>
    <x v="8"/>
    <n v="65112931"/>
    <d v="2026-07-13T00:00:00"/>
    <s v="Pre2Pos"/>
    <x v="2"/>
    <x v="0"/>
    <s v="Ingris Quintero"/>
    <s v="Semana 28"/>
    <s v="No Critica"/>
    <s v="Si"/>
    <s v="Si"/>
    <s v="Si"/>
    <s v="Si"/>
    <s v="Si"/>
    <s v="Si"/>
    <s v="Si"/>
    <s v="No"/>
    <s v="Si"/>
    <s v="Si"/>
    <s v="Si"/>
    <s v="Si"/>
    <s v="Si"/>
    <s v="Si"/>
    <s v="Si"/>
    <s v="Si"/>
    <s v="Si"/>
    <s v="Si"/>
    <s v="Si"/>
    <s v="Si"/>
    <s v="Si"/>
    <s v="Si"/>
    <s v="Si"/>
    <s v="Si"/>
    <s v="Si"/>
    <s v="Si"/>
    <s v="Si"/>
    <s v="Si"/>
    <s v="Si"/>
    <s v="Si"/>
    <s v="Si"/>
    <s v="Si"/>
    <s v="Si"/>
    <s v="Si"/>
    <s v="Si"/>
    <s v="Si"/>
    <s v="Si"/>
    <s v="Si"/>
    <s v="Si"/>
    <s v="Si"/>
    <s v="Si"/>
    <s v="Si"/>
    <s v="Si"/>
    <s v="Si"/>
    <s v="Si"/>
    <s v="Si"/>
    <s v="Si"/>
    <s v="Si"/>
    <s v="Si"/>
    <m/>
    <s v="No Critica"/>
    <m/>
    <m/>
    <n v="1"/>
    <n v="1"/>
    <n v="1"/>
    <n v="1"/>
    <n v="1"/>
    <n v="1"/>
    <n v="1"/>
    <n v="0"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"/>
    <n v="0.15"/>
    <n v="0.15"/>
    <n v="0.15"/>
    <n v="0.15"/>
    <n v="0.3"/>
    <n v="0.3"/>
    <n v="0.3"/>
    <n v="0.3"/>
    <n v="0.3"/>
    <n v="0"/>
    <n v="0.3"/>
    <n v="0.3"/>
    <n v="0.3"/>
    <n v="0"/>
    <n v="0.25"/>
    <n v="0.25"/>
    <n v="0.7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6.9999999999999993E-2"/>
    <n v="0.3"/>
    <n v="0.3"/>
    <n v="0.3"/>
    <n v="0.97"/>
    <n v="1"/>
    <n v="0"/>
    <s v=""/>
    <s v=""/>
    <s v=""/>
    <m/>
    <m/>
    <s v=""/>
    <s v=""/>
    <s v="¿El agente muestra entusiasmo genuino? "/>
    <s v=""/>
    <s v=""/>
    <s v=""/>
    <s v=""/>
    <e v="#REF!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e v="#REF!"/>
    <s v=""/>
    <s v=""/>
    <s v=""/>
    <s v=""/>
    <s v=""/>
    <s v=""/>
    <s v=""/>
    <s v=""/>
    <s v=""/>
    <s v=""/>
    <s v=""/>
    <s v=""/>
    <s v=""/>
    <s v=""/>
    <s v=""/>
    <s v="Yasmara Tejeira Hernández Outbound jul-26"/>
    <n v="1"/>
    <n v="0"/>
    <s v=""/>
    <s v=""/>
    <n v="0"/>
    <x v="1"/>
    <m/>
    <m/>
    <m/>
    <m/>
    <x v="1"/>
  </r>
  <r>
    <x v="9"/>
    <n v="69596952"/>
    <d v="2026-07-13T00:00:00"/>
    <s v="Pre2Pos"/>
    <x v="2"/>
    <x v="0"/>
    <s v="Ingris Quintero"/>
    <s v="Semana 28"/>
    <s v="No Critica"/>
    <s v="Si"/>
    <s v="Si"/>
    <s v="Si"/>
    <s v="Si"/>
    <s v="Si"/>
    <s v="Si"/>
    <s v="Si"/>
    <s v="No"/>
    <s v="Si"/>
    <s v="Si"/>
    <s v="Si"/>
    <s v="Si"/>
    <s v="Si"/>
    <s v="Si"/>
    <s v="Si"/>
    <s v="Si"/>
    <s v="Si"/>
    <s v="Si"/>
    <s v="Si"/>
    <s v="Si"/>
    <s v="Si"/>
    <s v="Si"/>
    <s v="Si"/>
    <s v="Si"/>
    <s v="Si"/>
    <s v="Si"/>
    <s v="Si"/>
    <s v="Si"/>
    <s v="Si"/>
    <s v="Si"/>
    <s v="Si"/>
    <s v="Si"/>
    <s v="Si"/>
    <s v="Si"/>
    <s v="Si"/>
    <s v="Si"/>
    <s v="Si"/>
    <s v="Si"/>
    <s v="Si"/>
    <s v="Si"/>
    <s v="Si"/>
    <s v="Si"/>
    <s v="Si"/>
    <s v="Si"/>
    <s v="Si"/>
    <s v="Si"/>
    <s v="Si"/>
    <s v="Si"/>
    <s v="Si"/>
    <m/>
    <s v="No Critica"/>
    <m/>
    <m/>
    <n v="1"/>
    <n v="1"/>
    <n v="1"/>
    <n v="1"/>
    <n v="1"/>
    <n v="1"/>
    <n v="1"/>
    <n v="0"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"/>
    <n v="0.15"/>
    <n v="0.15"/>
    <n v="0.15"/>
    <n v="0.15"/>
    <n v="0.3"/>
    <n v="0.3"/>
    <n v="0.3"/>
    <n v="0.3"/>
    <n v="0.3"/>
    <n v="0"/>
    <n v="0.3"/>
    <n v="0.3"/>
    <n v="0.3"/>
    <n v="0"/>
    <n v="0.25"/>
    <n v="0.25"/>
    <n v="0.7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6.9999999999999993E-2"/>
    <n v="0.3"/>
    <n v="0.3"/>
    <n v="0.3"/>
    <n v="0.97"/>
    <n v="1"/>
    <n v="0"/>
    <s v=""/>
    <s v=""/>
    <s v=""/>
    <m/>
    <m/>
    <s v=""/>
    <s v=""/>
    <s v="¿El agente muestra entusiasmo genuino? "/>
    <s v=""/>
    <s v=""/>
    <s v=""/>
    <s v=""/>
    <e v="#REF!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e v="#REF!"/>
    <s v=""/>
    <s v=""/>
    <s v=""/>
    <s v=""/>
    <s v=""/>
    <s v=""/>
    <s v=""/>
    <s v=""/>
    <s v=""/>
    <s v=""/>
    <s v=""/>
    <s v=""/>
    <s v=""/>
    <s v=""/>
    <s v=""/>
    <s v="Génesis Deniss Batista Outbound jul-26"/>
    <n v="2"/>
    <n v="1"/>
    <s v=""/>
    <s v=""/>
    <n v="0"/>
    <x v="1"/>
    <m/>
    <m/>
    <m/>
    <m/>
    <x v="1"/>
  </r>
  <r>
    <x v="9"/>
    <n v="65523734"/>
    <d v="2026-07-13T00:00:00"/>
    <s v="Pre2Pos"/>
    <x v="2"/>
    <x v="0"/>
    <s v="Ingris Quintero"/>
    <s v="Semana 28"/>
    <s v="Critica"/>
    <s v="Si"/>
    <s v="Si"/>
    <s v="Si"/>
    <s v="Si"/>
    <s v="Si"/>
    <s v="Si"/>
    <s v="Si"/>
    <s v="Si"/>
    <s v="Si"/>
    <s v="Si"/>
    <s v="Si"/>
    <s v="Si"/>
    <s v="Si"/>
    <s v="Si"/>
    <s v="Si"/>
    <s v="Si"/>
    <s v="Si"/>
    <s v="Si"/>
    <s v="Si"/>
    <s v="Si"/>
    <s v="Si"/>
    <s v="Si"/>
    <s v="Si"/>
    <s v="Si"/>
    <s v="Si"/>
    <s v="Si"/>
    <s v="Si"/>
    <s v="Si"/>
    <s v="Si"/>
    <s v="Si"/>
    <s v="Si"/>
    <s v="Si"/>
    <s v="Si"/>
    <s v="Si"/>
    <s v="Si"/>
    <s v="Si"/>
    <s v="Si"/>
    <s v="Si"/>
    <s v="Si"/>
    <s v="No"/>
    <s v="Si"/>
    <s v="Si"/>
    <s v="Si"/>
    <s v="Si"/>
    <s v="Si"/>
    <s v="Si"/>
    <s v="Si"/>
    <s v="Si"/>
    <s v="Si"/>
    <m/>
    <s v="Critica"/>
    <m/>
    <m/>
    <n v="1"/>
    <n v="1"/>
    <n v="1"/>
    <n v="1"/>
    <n v="1"/>
    <n v="1"/>
    <n v="1"/>
    <n v="1"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"/>
    <n v="0.15"/>
    <n v="0.15"/>
    <n v="0.15"/>
    <n v="0.15"/>
    <n v="0.3"/>
    <n v="0.3"/>
    <n v="0.3"/>
    <n v="0.3"/>
    <n v="0.3"/>
    <n v="0.3"/>
    <n v="0.3"/>
    <n v="0.3"/>
    <n v="0.3"/>
    <n v="0.3"/>
    <n v="0.25"/>
    <n v="0.25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"/>
    <n v="0"/>
    <n v="1"/>
    <n v="1"/>
    <n v="1"/>
    <n v="1"/>
    <n v="1"/>
    <n v="1"/>
    <n v="1"/>
    <n v="1"/>
    <n v="0"/>
    <n v="1"/>
    <n v="1"/>
    <n v="1"/>
    <n v="1"/>
    <n v="1"/>
    <n v="1"/>
    <n v="1"/>
    <n v="1"/>
    <n v="0.1"/>
    <n v="0.3"/>
    <n v="0"/>
    <n v="0.3"/>
    <n v="0.7"/>
    <n v="1"/>
    <n v="1"/>
    <s v=""/>
    <s v=""/>
    <s v=""/>
    <m/>
    <m/>
    <s v=""/>
    <s v=""/>
    <s v=""/>
    <s v=""/>
    <s v=""/>
    <s v=""/>
    <s v=""/>
    <e v="#REF!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e v="#REF!"/>
    <s v=""/>
    <s v=""/>
    <s v=""/>
    <s v=""/>
    <s v=""/>
    <s v="¿El agente maneja correctamente las objeciones del cliente? "/>
    <s v=""/>
    <s v=""/>
    <s v=""/>
    <s v=""/>
    <s v=""/>
    <s v=""/>
    <s v=""/>
    <s v=""/>
    <s v=""/>
    <s v="Génesis Deniss Batista Outbound jul-26"/>
    <n v="1"/>
    <n v="0"/>
    <n v="1"/>
    <n v="26"/>
    <n v="0"/>
    <x v="1"/>
    <m/>
    <m/>
    <m/>
    <m/>
    <x v="1"/>
  </r>
  <r>
    <x v="10"/>
    <n v="65517391"/>
    <d v="2026-07-13T00:00:00"/>
    <s v="Renovacion"/>
    <x v="2"/>
    <x v="0"/>
    <s v="Ingris Quintero"/>
    <s v="Semana 28"/>
    <s v="Critica"/>
    <s v="Si"/>
    <s v="Si"/>
    <s v="Si"/>
    <s v="Si"/>
    <s v="Si"/>
    <s v="Si"/>
    <s v="Si"/>
    <s v="Si"/>
    <s v="Si"/>
    <s v="Si"/>
    <s v="Si"/>
    <s v="Si"/>
    <s v="Si"/>
    <s v="Si"/>
    <s v="Si"/>
    <s v="Si"/>
    <s v="Si"/>
    <s v="Si"/>
    <s v="Si"/>
    <s v="Si"/>
    <s v="Si"/>
    <s v="Si"/>
    <s v="Si"/>
    <s v="Si"/>
    <s v="Si"/>
    <s v="Si"/>
    <s v="Si"/>
    <s v="Si"/>
    <s v="Si"/>
    <s v="Si"/>
    <s v="Si"/>
    <s v="Si"/>
    <s v="Si"/>
    <s v="Si"/>
    <s v="Si"/>
    <s v="Si"/>
    <s v="Si"/>
    <s v="Si"/>
    <s v="Si"/>
    <s v="No"/>
    <s v="Si"/>
    <s v="Si"/>
    <s v="Si"/>
    <s v="Si"/>
    <s v="Si"/>
    <s v="Si"/>
    <s v="Si"/>
    <s v="Si"/>
    <s v="Si"/>
    <m/>
    <s v="Critica"/>
    <m/>
    <m/>
    <n v="1"/>
    <n v="1"/>
    <n v="1"/>
    <n v="1"/>
    <n v="1"/>
    <n v="1"/>
    <n v="1"/>
    <n v="1"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"/>
    <n v="0.15"/>
    <n v="0.15"/>
    <n v="0.15"/>
    <n v="0.15"/>
    <n v="0.3"/>
    <n v="0.3"/>
    <n v="0.3"/>
    <n v="0.3"/>
    <n v="0.3"/>
    <n v="0.3"/>
    <n v="0.3"/>
    <n v="0.3"/>
    <n v="0.3"/>
    <n v="0.3"/>
    <n v="0.25"/>
    <n v="0.25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"/>
    <n v="0"/>
    <n v="1"/>
    <n v="1"/>
    <n v="1"/>
    <n v="1"/>
    <n v="1"/>
    <n v="1"/>
    <n v="1"/>
    <n v="1"/>
    <n v="0"/>
    <n v="1"/>
    <n v="1"/>
    <n v="1"/>
    <n v="1"/>
    <n v="1"/>
    <n v="1"/>
    <n v="1"/>
    <n v="1"/>
    <n v="0.1"/>
    <n v="0.3"/>
    <n v="0"/>
    <n v="0.3"/>
    <n v="0.7"/>
    <n v="1"/>
    <n v="1"/>
    <s v=""/>
    <s v=""/>
    <s v=""/>
    <m/>
    <m/>
    <s v=""/>
    <s v=""/>
    <s v=""/>
    <s v=""/>
    <s v=""/>
    <s v=""/>
    <s v=""/>
    <e v="#REF!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e v="#REF!"/>
    <s v=""/>
    <s v=""/>
    <s v=""/>
    <s v=""/>
    <s v=""/>
    <s v="¿El agente maneja correctamente las objeciones del cliente? "/>
    <s v=""/>
    <s v=""/>
    <s v=""/>
    <s v=""/>
    <s v=""/>
    <s v=""/>
    <s v=""/>
    <s v=""/>
    <s v=""/>
    <s v="Katherine Julibeth Arroyo Gutierrez Outbound jul-26"/>
    <n v="2"/>
    <n v="1"/>
    <n v="1"/>
    <n v="26"/>
    <n v="0"/>
    <x v="1"/>
    <m/>
    <m/>
    <m/>
    <m/>
    <x v="1"/>
  </r>
  <r>
    <x v="10"/>
    <n v="61812049"/>
    <d v="2026-07-13T00:00:00"/>
    <s v="Renovacion"/>
    <x v="2"/>
    <x v="0"/>
    <s v="Ingris Quintero"/>
    <s v="Semana 28"/>
    <s v="Critica"/>
    <s v="Si"/>
    <s v="Si"/>
    <s v="Si"/>
    <s v="Si"/>
    <s v="Si"/>
    <s v="Si"/>
    <s v="Si"/>
    <s v="Si"/>
    <s v="Si"/>
    <s v="Si"/>
    <s v="Si"/>
    <s v="Si"/>
    <s v="Si"/>
    <s v="Si"/>
    <s v="Si"/>
    <s v="Si"/>
    <s v="Si"/>
    <s v="Si"/>
    <s v="Si"/>
    <s v="Si"/>
    <s v="Si"/>
    <s v="Si"/>
    <s v="Si"/>
    <s v="Si"/>
    <s v="Si"/>
    <s v="Si"/>
    <s v="No"/>
    <s v="Si"/>
    <s v="Si"/>
    <s v="Si"/>
    <s v="Si"/>
    <s v="Si"/>
    <s v="Si"/>
    <s v="Si"/>
    <s v="Si"/>
    <s v="Si"/>
    <s v="No"/>
    <s v="Si"/>
    <s v="Si"/>
    <s v="No"/>
    <s v="Si"/>
    <s v="Si"/>
    <s v="Si"/>
    <s v="Si"/>
    <s v="Si"/>
    <s v="Si"/>
    <s v="Si"/>
    <s v="Si"/>
    <s v="Si"/>
    <m/>
    <s v="Critica"/>
    <m/>
    <m/>
    <n v="1"/>
    <n v="1"/>
    <n v="1"/>
    <n v="1"/>
    <n v="1"/>
    <n v="1"/>
    <n v="1"/>
    <n v="1"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"/>
    <n v="0.15"/>
    <n v="0.15"/>
    <n v="0.15"/>
    <n v="0.15"/>
    <n v="0.3"/>
    <n v="0.3"/>
    <n v="0.3"/>
    <n v="0.3"/>
    <n v="0.3"/>
    <n v="0.3"/>
    <n v="0.3"/>
    <n v="0.3"/>
    <n v="0.3"/>
    <n v="0.3"/>
    <n v="0.25"/>
    <n v="0.25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"/>
    <n v="0"/>
    <n v="1"/>
    <n v="1"/>
    <n v="1"/>
    <n v="1"/>
    <n v="1"/>
    <n v="1"/>
    <n v="1"/>
    <n v="1"/>
    <n v="1"/>
    <n v="1"/>
    <n v="0"/>
    <n v="1"/>
    <n v="1"/>
    <n v="0"/>
    <n v="1"/>
    <n v="1"/>
    <n v="0"/>
    <n v="0"/>
    <n v="1"/>
    <n v="1"/>
    <n v="1"/>
    <n v="1"/>
    <n v="1"/>
    <n v="1"/>
    <n v="1"/>
    <n v="1"/>
    <n v="0"/>
    <n v="1"/>
    <n v="1"/>
    <n v="1"/>
    <n v="1"/>
    <n v="1"/>
    <n v="1"/>
    <n v="1"/>
    <n v="1"/>
    <n v="0.1"/>
    <n v="0"/>
    <n v="0"/>
    <n v="0.3"/>
    <n v="0.4"/>
    <n v="1"/>
    <n v="1"/>
    <s v=""/>
    <s v=""/>
    <s v=""/>
    <m/>
    <m/>
    <s v=""/>
    <s v=""/>
    <s v=""/>
    <s v=""/>
    <s v=""/>
    <s v=""/>
    <s v=""/>
    <e v="#REF!"/>
    <s v=""/>
    <s v=""/>
    <s v=""/>
    <s v=""/>
    <s v=""/>
    <s v=""/>
    <s v=""/>
    <s v=""/>
    <s v=""/>
    <s v=""/>
    <s v=""/>
    <s v=""/>
    <s v=""/>
    <s v=""/>
    <s v="¿El agente utiliza un lenguaje adecuado y profesional? "/>
    <s v=""/>
    <s v=""/>
    <s v=""/>
    <s v=""/>
    <s v=""/>
    <s v=""/>
    <s v=""/>
    <e v="#REF!"/>
    <s v=""/>
    <s v=""/>
    <s v="¿El agente indaga o sondea adecuadamente las necesidades del cliente? "/>
    <s v=""/>
    <s v=""/>
    <s v="¿El agente maneja correctamente las objeciones del cliente? "/>
    <s v=""/>
    <s v=""/>
    <s v=""/>
    <s v=""/>
    <s v=""/>
    <s v=""/>
    <s v=""/>
    <s v=""/>
    <s v=""/>
    <s v="Katherine Julibeth Arroyo Gutierrez Outbound jul-26"/>
    <n v="1"/>
    <n v="0"/>
    <n v="1"/>
    <n v="26"/>
    <n v="0"/>
    <x v="1"/>
    <m/>
    <m/>
    <m/>
    <m/>
    <x v="1"/>
  </r>
  <r>
    <x v="11"/>
    <n v="62095339"/>
    <d v="2026-07-13T00:00:00"/>
    <s v="Renovacion"/>
    <x v="2"/>
    <x v="0"/>
    <s v="Ingris Quintero"/>
    <s v="Semana 28"/>
    <s v="Critica"/>
    <s v="Si"/>
    <s v="Si"/>
    <s v="Si"/>
    <s v="Si"/>
    <s v="Si"/>
    <s v="Si"/>
    <s v="Si"/>
    <s v="Si"/>
    <s v="Si"/>
    <s v="Si"/>
    <s v="Si"/>
    <s v="Si"/>
    <s v="Si"/>
    <s v="Si"/>
    <s v="Si"/>
    <s v="Si"/>
    <s v="Si"/>
    <s v="Si"/>
    <s v="Si"/>
    <s v="Si"/>
    <s v="Si"/>
    <s v="Si"/>
    <s v="Si"/>
    <s v="Si"/>
    <s v="Si"/>
    <s v="Si"/>
    <s v="No"/>
    <s v="Si"/>
    <s v="Si"/>
    <s v="Si"/>
    <s v="Si"/>
    <s v="Si"/>
    <s v="Si"/>
    <s v="Si"/>
    <s v="Si"/>
    <s v="No"/>
    <s v="No"/>
    <s v="Si"/>
    <s v="Si"/>
    <s v="No"/>
    <s v="Si"/>
    <s v="Si"/>
    <s v="Si"/>
    <s v="Si"/>
    <s v="Si"/>
    <s v="Si"/>
    <s v="Si"/>
    <s v="Si"/>
    <s v="Si"/>
    <m/>
    <s v="Critica"/>
    <m/>
    <m/>
    <n v="1"/>
    <n v="1"/>
    <n v="1"/>
    <n v="1"/>
    <n v="1"/>
    <n v="1"/>
    <n v="1"/>
    <n v="1"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"/>
    <n v="0.15"/>
    <n v="0.15"/>
    <n v="0.15"/>
    <n v="0.15"/>
    <n v="0.3"/>
    <n v="0.3"/>
    <n v="0.3"/>
    <n v="0.3"/>
    <n v="0.3"/>
    <n v="0.3"/>
    <n v="0.3"/>
    <n v="0.3"/>
    <n v="0.3"/>
    <n v="0.3"/>
    <n v="0.25"/>
    <n v="0.25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"/>
    <n v="0"/>
    <n v="1"/>
    <n v="1"/>
    <n v="1"/>
    <n v="1"/>
    <n v="1"/>
    <n v="1"/>
    <n v="1"/>
    <n v="1"/>
    <n v="1"/>
    <n v="1"/>
    <n v="0"/>
    <n v="1"/>
    <n v="0"/>
    <n v="0"/>
    <n v="1"/>
    <n v="1"/>
    <n v="0"/>
    <n v="0"/>
    <n v="1"/>
    <n v="1"/>
    <n v="1"/>
    <n v="1"/>
    <n v="1"/>
    <n v="1"/>
    <n v="1"/>
    <n v="1"/>
    <n v="0"/>
    <n v="1"/>
    <n v="1"/>
    <n v="1"/>
    <n v="1"/>
    <n v="1"/>
    <n v="1"/>
    <n v="1"/>
    <n v="1"/>
    <n v="0.1"/>
    <n v="0"/>
    <n v="0"/>
    <n v="0.3"/>
    <n v="0.4"/>
    <n v="1"/>
    <n v="1"/>
    <s v=""/>
    <s v=""/>
    <s v=""/>
    <m/>
    <m/>
    <s v=""/>
    <s v=""/>
    <s v=""/>
    <s v=""/>
    <s v=""/>
    <s v=""/>
    <s v=""/>
    <e v="#REF!"/>
    <s v=""/>
    <s v=""/>
    <s v=""/>
    <s v=""/>
    <s v=""/>
    <s v=""/>
    <s v=""/>
    <s v=""/>
    <s v=""/>
    <s v=""/>
    <s v=""/>
    <s v=""/>
    <s v=""/>
    <s v=""/>
    <s v="¿El agente utiliza un lenguaje adecuado y profesional? "/>
    <s v=""/>
    <s v=""/>
    <s v=""/>
    <s v=""/>
    <s v=""/>
    <s v=""/>
    <s v=""/>
    <e v="#REF!"/>
    <s v=""/>
    <s v="¿El agente realiza venta cruzada cuando corresponde? "/>
    <s v="¿El agente indaga o sondea adecuadamente las necesidades del cliente? "/>
    <s v=""/>
    <s v=""/>
    <s v="¿El agente maneja correctamente las objeciones del cliente? "/>
    <s v=""/>
    <s v=""/>
    <s v=""/>
    <s v=""/>
    <s v=""/>
    <s v=""/>
    <s v=""/>
    <s v=""/>
    <s v=""/>
    <s v="Abdiel Hernández Outbound jul-26"/>
    <n v="2"/>
    <n v="1"/>
    <n v="1"/>
    <n v="26"/>
    <n v="0"/>
    <x v="1"/>
    <m/>
    <m/>
    <m/>
    <m/>
    <x v="1"/>
  </r>
  <r>
    <x v="11"/>
    <n v="63456239"/>
    <d v="2026-07-13T00:00:00"/>
    <s v="Renovacion"/>
    <x v="2"/>
    <x v="0"/>
    <s v="Ingris Quintero"/>
    <s v="Semana 28"/>
    <s v="Critica"/>
    <s v="Si"/>
    <s v="Si"/>
    <s v="Si"/>
    <s v="Si"/>
    <s v="Si"/>
    <s v="Si"/>
    <s v="Si"/>
    <s v="Si"/>
    <s v="Si"/>
    <s v="Si"/>
    <s v="Si"/>
    <s v="Si"/>
    <s v="Si"/>
    <s v="Si"/>
    <s v="Si"/>
    <s v="Si"/>
    <s v="Si"/>
    <s v="Si"/>
    <s v="Si"/>
    <s v="Si"/>
    <s v="Si"/>
    <s v="Si"/>
    <s v="Si"/>
    <s v="Si"/>
    <s v="Si"/>
    <s v="Si"/>
    <s v="Si"/>
    <s v="No"/>
    <s v="Si"/>
    <s v="Si"/>
    <s v="Si"/>
    <s v="Si"/>
    <s v="Si"/>
    <s v="Si"/>
    <s v="Si"/>
    <s v="Si"/>
    <s v="Si"/>
    <s v="Si"/>
    <s v="Si"/>
    <s v="No"/>
    <s v="Si"/>
    <s v="Si"/>
    <s v="Si"/>
    <s v="Si"/>
    <s v="Si"/>
    <s v="Si"/>
    <s v="Si"/>
    <s v="Si"/>
    <s v="Si"/>
    <m/>
    <s v="Critica"/>
    <m/>
    <m/>
    <n v="1"/>
    <n v="1"/>
    <n v="1"/>
    <n v="1"/>
    <n v="1"/>
    <n v="1"/>
    <n v="1"/>
    <n v="1"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"/>
    <n v="0.15"/>
    <n v="0.15"/>
    <n v="0.15"/>
    <n v="0.15"/>
    <n v="0.3"/>
    <n v="0.3"/>
    <n v="0.3"/>
    <n v="0.3"/>
    <n v="0.3"/>
    <n v="0.3"/>
    <n v="0.3"/>
    <n v="0.3"/>
    <n v="0.3"/>
    <n v="0.3"/>
    <n v="0.25"/>
    <n v="0.25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"/>
    <n v="1"/>
    <n v="0"/>
    <n v="1"/>
    <n v="1"/>
    <n v="1"/>
    <n v="1"/>
    <n v="1"/>
    <n v="1"/>
    <n v="1"/>
    <n v="0"/>
    <n v="1"/>
    <n v="1"/>
    <n v="1"/>
    <n v="1"/>
    <n v="1"/>
    <n v="0"/>
    <n v="0"/>
    <n v="1"/>
    <n v="1"/>
    <n v="1"/>
    <n v="1"/>
    <n v="1"/>
    <n v="1"/>
    <n v="1"/>
    <n v="1"/>
    <n v="0"/>
    <n v="1"/>
    <n v="1"/>
    <n v="1"/>
    <n v="1"/>
    <n v="1"/>
    <n v="1"/>
    <n v="1"/>
    <n v="1"/>
    <n v="0.1"/>
    <n v="0"/>
    <n v="0"/>
    <n v="0.3"/>
    <n v="0.4"/>
    <n v="1"/>
    <n v="1"/>
    <s v=""/>
    <s v=""/>
    <s v=""/>
    <m/>
    <m/>
    <s v=""/>
    <s v=""/>
    <s v=""/>
    <s v=""/>
    <s v=""/>
    <s v=""/>
    <s v=""/>
    <e v="#REF!"/>
    <s v=""/>
    <s v=""/>
    <s v=""/>
    <s v=""/>
    <s v=""/>
    <s v=""/>
    <s v=""/>
    <s v=""/>
    <s v=""/>
    <s v=""/>
    <s v=""/>
    <s v=""/>
    <s v=""/>
    <s v=""/>
    <s v=""/>
    <s v="¿El agente verifica correctamente la cobertura? "/>
    <s v=""/>
    <s v=""/>
    <s v=""/>
    <s v=""/>
    <s v=""/>
    <s v=""/>
    <e v="#REF!"/>
    <s v=""/>
    <s v=""/>
    <s v=""/>
    <s v=""/>
    <s v=""/>
    <s v="¿El agente maneja correctamente las objeciones del cliente? "/>
    <s v=""/>
    <s v=""/>
    <s v=""/>
    <s v=""/>
    <s v=""/>
    <s v=""/>
    <s v=""/>
    <s v=""/>
    <s v=""/>
    <s v="Abdiel Hernández Outbound jul-26"/>
    <n v="1"/>
    <n v="0"/>
    <n v="1"/>
    <n v="26"/>
    <n v="0"/>
    <x v="1"/>
    <m/>
    <m/>
    <m/>
    <m/>
    <x v="1"/>
  </r>
  <r>
    <x v="12"/>
    <n v="61518256"/>
    <d v="2026-07-13T00:00:00"/>
    <s v="Renovacion"/>
    <x v="2"/>
    <x v="0"/>
    <s v="Ingris Quintero"/>
    <s v="Semana 28"/>
    <s v="Critica"/>
    <s v="Si"/>
    <s v="Si"/>
    <s v="Si"/>
    <s v="Si"/>
    <s v="Si"/>
    <s v="Si"/>
    <s v="Si"/>
    <s v="Si"/>
    <s v="Si"/>
    <s v="Si"/>
    <s v="Si"/>
    <s v="Si"/>
    <s v="Si"/>
    <s v="Si"/>
    <s v="Si"/>
    <s v="Si"/>
    <s v="No"/>
    <s v="Si"/>
    <s v="Si"/>
    <s v="Si"/>
    <s v="Si"/>
    <s v="Si"/>
    <s v="Si"/>
    <s v="Si"/>
    <s v="Si"/>
    <s v="Si"/>
    <s v="Si"/>
    <s v="Si"/>
    <s v="Si"/>
    <s v="Si"/>
    <s v="Si"/>
    <s v="Si"/>
    <s v="Si"/>
    <s v="Si"/>
    <s v="Si"/>
    <s v="Si"/>
    <s v="No"/>
    <s v="Si"/>
    <s v="No"/>
    <s v="No"/>
    <s v="Si"/>
    <s v="Si"/>
    <s v="Si"/>
    <s v="Si"/>
    <s v="Si"/>
    <s v="Si"/>
    <s v="Si"/>
    <s v="Si"/>
    <s v="Si"/>
    <m/>
    <s v="Critica"/>
    <m/>
    <m/>
    <n v="1"/>
    <n v="1"/>
    <n v="1"/>
    <n v="1"/>
    <n v="1"/>
    <n v="1"/>
    <n v="1"/>
    <n v="1"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"/>
    <n v="0.15"/>
    <n v="0.15"/>
    <n v="0.15"/>
    <n v="0.15"/>
    <n v="0.3"/>
    <n v="0.3"/>
    <n v="0.3"/>
    <n v="0.3"/>
    <n v="0.3"/>
    <n v="0.3"/>
    <n v="0.3"/>
    <n v="0.3"/>
    <n v="0.3"/>
    <n v="0.3"/>
    <n v="0.25"/>
    <n v="0.25"/>
    <n v="1"/>
    <n v="1"/>
    <n v="1"/>
    <n v="1"/>
    <n v="0"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"/>
    <n v="1"/>
    <n v="1"/>
    <n v="0"/>
    <n v="1"/>
    <n v="0"/>
    <n v="0"/>
    <n v="0"/>
    <n v="1"/>
    <n v="1"/>
    <n v="1"/>
    <n v="1"/>
    <n v="1"/>
    <n v="1"/>
    <n v="1"/>
    <n v="1"/>
    <n v="0"/>
    <n v="1"/>
    <n v="1"/>
    <n v="1"/>
    <n v="1"/>
    <n v="1"/>
    <n v="1"/>
    <n v="1"/>
    <n v="1"/>
    <n v="0.1"/>
    <n v="0"/>
    <n v="0"/>
    <n v="0.3"/>
    <n v="0.4"/>
    <n v="1"/>
    <n v="1"/>
    <s v=""/>
    <s v=""/>
    <s v=""/>
    <m/>
    <m/>
    <s v=""/>
    <s v=""/>
    <s v=""/>
    <s v=""/>
    <s v=""/>
    <s v=""/>
    <s v=""/>
    <e v="#REF!"/>
    <s v=""/>
    <s v=""/>
    <s v=""/>
    <s v=""/>
    <s v="¿El agente presenta correctamente los beneficios del producto? "/>
    <s v=""/>
    <s v=""/>
    <s v=""/>
    <s v=""/>
    <s v=""/>
    <s v=""/>
    <s v=""/>
    <s v=""/>
    <s v=""/>
    <s v=""/>
    <s v=""/>
    <s v=""/>
    <s v=""/>
    <s v=""/>
    <s v=""/>
    <s v=""/>
    <s v=""/>
    <e v="#REF!"/>
    <s v=""/>
    <s v=""/>
    <s v="¿El agente indaga o sondea adecuadamente las necesidades del cliente? "/>
    <s v=""/>
    <s v="¿El agente realiza seguimiento adecuado al caso o solicitud? "/>
    <s v="¿El agente maneja correctamente las objeciones del cliente? "/>
    <s v=""/>
    <s v=""/>
    <s v=""/>
    <s v=""/>
    <s v=""/>
    <s v=""/>
    <s v=""/>
    <s v=""/>
    <s v=""/>
    <s v="Edgar Alberto Marín Reyes Outbound jul-26"/>
    <n v="2"/>
    <n v="1"/>
    <n v="1"/>
    <n v="26"/>
    <n v="0"/>
    <x v="1"/>
    <m/>
    <m/>
    <m/>
    <m/>
    <x v="1"/>
  </r>
  <r>
    <x v="12"/>
    <n v="65247182"/>
    <d v="2026-07-13T00:00:00"/>
    <s v="Renovacion"/>
    <x v="2"/>
    <x v="0"/>
    <s v="Ingris Quintero"/>
    <s v="Semana 28"/>
    <s v="Critica"/>
    <s v="Si"/>
    <s v="Si"/>
    <s v="Si"/>
    <s v="Si"/>
    <s v="Si"/>
    <s v="Si"/>
    <s v="Si"/>
    <s v="Si"/>
    <s v="Si"/>
    <s v="Si"/>
    <s v="Si"/>
    <s v="Si"/>
    <s v="Si"/>
    <s v="Si"/>
    <s v="Si"/>
    <s v="Si"/>
    <s v="No"/>
    <s v="Si"/>
    <s v="Si"/>
    <s v="Si"/>
    <s v="Si"/>
    <s v="Si"/>
    <s v="Si"/>
    <s v="Si"/>
    <s v="Si"/>
    <s v="Si"/>
    <s v="Si"/>
    <s v="Si"/>
    <s v="Si"/>
    <s v="Si"/>
    <s v="Si"/>
    <s v="Si"/>
    <s v="Si"/>
    <s v="Si"/>
    <s v="Si"/>
    <s v="Si"/>
    <s v="No"/>
    <s v="Si"/>
    <s v="No"/>
    <s v="No"/>
    <s v="Si"/>
    <s v="Si"/>
    <s v="Si"/>
    <s v="Si"/>
    <s v="Si"/>
    <s v="Si"/>
    <s v="Si"/>
    <s v="Si"/>
    <s v="Si"/>
    <m/>
    <s v="Critica"/>
    <m/>
    <m/>
    <n v="1"/>
    <n v="1"/>
    <n v="1"/>
    <n v="1"/>
    <n v="1"/>
    <n v="1"/>
    <n v="1"/>
    <n v="1"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"/>
    <n v="0.15"/>
    <n v="0.15"/>
    <n v="0.15"/>
    <n v="0.15"/>
    <n v="0.3"/>
    <n v="0.3"/>
    <n v="0.3"/>
    <n v="0.3"/>
    <n v="0.3"/>
    <n v="0.3"/>
    <n v="0.3"/>
    <n v="0.3"/>
    <n v="0.3"/>
    <n v="0.3"/>
    <n v="0.25"/>
    <n v="0.25"/>
    <n v="1"/>
    <n v="1"/>
    <n v="1"/>
    <n v="1"/>
    <n v="0"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"/>
    <n v="1"/>
    <n v="1"/>
    <n v="0"/>
    <n v="1"/>
    <n v="0"/>
    <n v="0"/>
    <n v="0"/>
    <n v="1"/>
    <n v="1"/>
    <n v="1"/>
    <n v="1"/>
    <n v="1"/>
    <n v="1"/>
    <n v="1"/>
    <n v="1"/>
    <n v="0"/>
    <n v="1"/>
    <n v="1"/>
    <n v="1"/>
    <n v="1"/>
    <n v="1"/>
    <n v="1"/>
    <n v="1"/>
    <n v="1"/>
    <n v="0.1"/>
    <n v="0"/>
    <n v="0"/>
    <n v="0.3"/>
    <n v="0.4"/>
    <n v="1"/>
    <n v="1"/>
    <s v=""/>
    <s v=""/>
    <s v=""/>
    <m/>
    <m/>
    <s v=""/>
    <s v=""/>
    <s v=""/>
    <s v=""/>
    <s v=""/>
    <s v=""/>
    <s v=""/>
    <e v="#REF!"/>
    <s v=""/>
    <s v=""/>
    <s v=""/>
    <s v=""/>
    <s v="¿El agente presenta correctamente los beneficios del producto? "/>
    <s v=""/>
    <s v=""/>
    <s v=""/>
    <s v=""/>
    <s v=""/>
    <s v=""/>
    <s v=""/>
    <s v=""/>
    <s v=""/>
    <s v=""/>
    <s v=""/>
    <s v=""/>
    <s v=""/>
    <s v=""/>
    <s v=""/>
    <s v=""/>
    <s v=""/>
    <e v="#REF!"/>
    <s v=""/>
    <s v=""/>
    <s v="¿El agente indaga o sondea adecuadamente las necesidades del cliente? "/>
    <s v=""/>
    <s v="¿El agente realiza seguimiento adecuado al caso o solicitud? "/>
    <s v="¿El agente maneja correctamente las objeciones del cliente? "/>
    <s v=""/>
    <s v=""/>
    <s v=""/>
    <s v=""/>
    <s v=""/>
    <s v=""/>
    <s v=""/>
    <s v=""/>
    <s v=""/>
    <s v="Edgar Alberto Marín Reyes Outbound jul-26"/>
    <n v="1"/>
    <n v="0"/>
    <n v="1"/>
    <n v="26"/>
    <n v="0"/>
    <x v="1"/>
    <m/>
    <m/>
    <m/>
    <m/>
    <x v="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100-000000000000}" name="proceso" cacheId="92" applyNumberFormats="0" applyBorderFormats="0" applyFontFormats="0" applyPatternFormats="0" applyAlignmentFormats="0" applyWidthHeightFormats="1" dataCaption="Valores" updatedVersion="7" minRefreshableVersion="3" useAutoFormatting="1" itemPrintTitles="1" createdVersion="6" indent="0" outline="1" outlineData="1" multipleFieldFilters="0" rowHeaderCaption="Proceso">
  <location ref="B14:I15" firstHeaderRow="0" firstDataRow="1" firstDataCol="0"/>
  <pivotFields count="321">
    <pivotField showAll="0"/>
    <pivotField showAll="0"/>
    <pivotField numFmtId="14" showAll="0"/>
    <pivotField showAll="0"/>
    <pivotField multipleItemSelectionAllowed="1" showAll="0" defaultSubtotal="0">
      <items count="26">
        <item m="1" x="5"/>
        <item m="1" x="9"/>
        <item m="1" x="22"/>
        <item m="1" x="20"/>
        <item m="1" x="13"/>
        <item m="1" x="19"/>
        <item m="1" x="17"/>
        <item m="1" x="18"/>
        <item m="1" x="21"/>
        <item m="1" x="14"/>
        <item m="1" x="11"/>
        <item m="1" x="25"/>
        <item x="1"/>
        <item m="1" x="6"/>
        <item m="1" x="8"/>
        <item m="1" x="24"/>
        <item m="1" x="16"/>
        <item x="0"/>
        <item m="1" x="12"/>
        <item x="2"/>
        <item m="1" x="3"/>
        <item m="1" x="23"/>
        <item m="1" x="7"/>
        <item m="1" x="10"/>
        <item m="1" x="15"/>
        <item m="1" x="4"/>
      </items>
    </pivotField>
    <pivotField showAll="0" defaultSubtotal="0">
      <items count="2">
        <item x="0"/>
        <item m="1" x="1"/>
      </items>
    </pivotField>
    <pivotField showAll="0"/>
    <pivotField showAll="0"/>
    <pivotField showAll="0" defaultSubtota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10" showAll="0"/>
    <pivotField numFmtId="10" showAll="0"/>
    <pivotField numFmtId="10" showAll="0"/>
    <pivotField numFmtId="10" showAll="0" defaultSubtotal="0"/>
    <pivotField numFmtId="10" showAll="0"/>
    <pivotField numFmtId="10" showAll="0"/>
    <pivotField numFmtId="10" showAll="0"/>
    <pivotField numFmtId="10" showAll="0"/>
    <pivotField numFmtId="10" showAll="0" defaultSubtotal="0"/>
    <pivotField numFmtId="10" showAll="0"/>
    <pivotField numFmtId="10" showAll="0"/>
    <pivotField numFmtId="10" showAll="0"/>
    <pivotField numFmtId="10" showAll="0"/>
    <pivotField numFmtId="10" showAll="0" defaultSubtotal="0"/>
    <pivotField numFmtId="10" showAll="0"/>
    <pivotField numFmtId="10" showAll="0" defaultSubtotal="0"/>
    <pivotField dataField="1" numFmtId="10" showAll="0" defaultSubtota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dataField="1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dataField="1"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dataField="1" showAll="0"/>
    <pivotField numFmtId="10" showAll="0"/>
    <pivotField numFmtId="164" showAll="0"/>
    <pivotField numFmtId="10" showAll="0" defaultSubtotal="0"/>
    <pivotField numFmtId="10" showAll="0"/>
    <pivotField dataField="1" numFmtId="10" showAll="0" defaultSubtotal="0"/>
    <pivotField numFmtI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dataField="1" showAll="0" defaultSubtotal="0"/>
    <pivotField showAll="0"/>
    <pivotField showAll="0"/>
    <pivotField showAll="0"/>
    <pivotField showAll="0" defaultSubtotal="0">
      <items count="14">
        <item h="1" m="1" x="7"/>
        <item h="1" m="1" x="6"/>
        <item h="1" m="1" x="13"/>
        <item h="1" m="1" x="8"/>
        <item h="1" m="1" x="10"/>
        <item x="1"/>
        <item h="1" m="1" x="3"/>
        <item h="1" x="0"/>
        <item h="1" m="1" x="4"/>
        <item h="1" m="1" x="11"/>
        <item h="1" m="1" x="12"/>
        <item h="1" m="1" x="5"/>
        <item h="1" m="1" x="9"/>
        <item h="1" m="1" x="2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>
      <items count="2">
        <item x="0"/>
        <item x="1"/>
      </items>
    </pivotField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ataField="1" dragToRow="0" dragToCol="0" dragToPage="0" showAll="0" defaultSubtotal="0"/>
  </pivotFields>
  <rowItems count="1">
    <i/>
  </rowItems>
  <colFields count="1">
    <field x="-2"/>
  </colFields>
  <colItems count="8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</colItems>
  <dataFields count="8">
    <dataField name="Promedio de agent unico" fld="243" subtotal="average" baseField="0" baseItem="1"/>
    <dataField name="M. Critica" fld="189" baseField="0" baseItem="0"/>
    <dataField name=" % M. Criticas" fld="320" baseField="0" baseItem="0"/>
    <dataField name="PENC" fld="127" subtotal="average" baseField="7" baseItem="0" numFmtId="164"/>
    <dataField name=" PECUF" fld="158" subtotal="average" baseField="74" baseItem="0" numFmtId="164"/>
    <dataField name=" PECNE" fld="174" subtotal="average" baseField="7" baseItem="0" numFmtId="10"/>
    <dataField name=" PECCUM" fld="182" subtotal="average" baseField="74" baseItem="0" numFmtId="164"/>
    <dataField name="Score calidad " fld="187" subtotal="average" baseField="37" baseItem="0" numFmtId="10"/>
  </dataFields>
  <formats count="56">
    <format dxfId="7904">
      <pivotArea outline="0" collapsedLevelsAreSubtotals="1" fieldPosition="0">
        <references count="1">
          <reference field="4294967294" count="1" selected="0">
            <x v="4"/>
          </reference>
        </references>
      </pivotArea>
    </format>
    <format dxfId="7903">
      <pivotArea outline="0" collapsedLevelsAreSubtotals="1" fieldPosition="0">
        <references count="1">
          <reference field="4294967294" count="1" selected="0">
            <x v="4"/>
          </reference>
        </references>
      </pivotArea>
    </format>
    <format dxfId="7902">
      <pivotArea outline="0" collapsedLevelsAreSubtotals="1" fieldPosition="0">
        <references count="1">
          <reference field="4294967294" count="1" selected="0">
            <x v="4"/>
          </reference>
        </references>
      </pivotArea>
    </format>
    <format dxfId="7901">
      <pivotArea outline="0" collapsedLevelsAreSubtotals="1" fieldPosition="0">
        <references count="1">
          <reference field="4294967294" count="1" selected="0">
            <x v="4"/>
          </reference>
        </references>
      </pivotArea>
    </format>
    <format dxfId="7900">
      <pivotArea outline="0" collapsedLevelsAreSubtotals="1" fieldPosition="0">
        <references count="1">
          <reference field="4294967294" count="1" selected="0">
            <x v="4"/>
          </reference>
        </references>
      </pivotArea>
    </format>
    <format dxfId="7899">
      <pivotArea outline="0" collapsedLevelsAreSubtotals="1" fieldPosition="0">
        <references count="1">
          <reference field="4294967294" count="1" selected="0">
            <x v="4"/>
          </reference>
        </references>
      </pivotArea>
    </format>
    <format dxfId="7898">
      <pivotArea outline="0" collapsedLevelsAreSubtotals="1" fieldPosition="0">
        <references count="1">
          <reference field="4294967294" count="1" selected="0">
            <x v="4"/>
          </reference>
        </references>
      </pivotArea>
    </format>
    <format dxfId="7897">
      <pivotArea outline="0" collapsedLevelsAreSubtotals="1" fieldPosition="0">
        <references count="1">
          <reference field="4294967294" count="1" selected="0">
            <x v="4"/>
          </reference>
        </references>
      </pivotArea>
    </format>
    <format dxfId="7896">
      <pivotArea outline="0" collapsedLevelsAreSubtotals="1" fieldPosition="0">
        <references count="1">
          <reference field="4294967294" count="1" selected="0">
            <x v="6"/>
          </reference>
        </references>
      </pivotArea>
    </format>
    <format dxfId="7895">
      <pivotArea outline="0" collapsedLevelsAreSubtotals="1" fieldPosition="0">
        <references count="1">
          <reference field="4294967294" count="1" selected="0">
            <x v="6"/>
          </reference>
        </references>
      </pivotArea>
    </format>
    <format dxfId="7894">
      <pivotArea outline="0" collapsedLevelsAreSubtotals="1" fieldPosition="0">
        <references count="1">
          <reference field="4294967294" count="1" selected="0">
            <x v="6"/>
          </reference>
        </references>
      </pivotArea>
    </format>
    <format dxfId="7893">
      <pivotArea outline="0" collapsedLevelsAreSubtotals="1" fieldPosition="0">
        <references count="1">
          <reference field="4294967294" count="1" selected="0">
            <x v="6"/>
          </reference>
        </references>
      </pivotArea>
    </format>
    <format dxfId="7892">
      <pivotArea outline="0" collapsedLevelsAreSubtotals="1" fieldPosition="0">
        <references count="1">
          <reference field="4294967294" count="1" selected="0">
            <x v="6"/>
          </reference>
        </references>
      </pivotArea>
    </format>
    <format dxfId="7891">
      <pivotArea outline="0" collapsedLevelsAreSubtotals="1" fieldPosition="0">
        <references count="1">
          <reference field="4294967294" count="1" selected="0">
            <x v="6"/>
          </reference>
        </references>
      </pivotArea>
    </format>
    <format dxfId="7890">
      <pivotArea dataOnly="0" labelOnly="1" outline="0" fieldPosition="0">
        <references count="1">
          <reference field="4294967294" count="2">
            <x v="4"/>
            <x v="6"/>
          </reference>
        </references>
      </pivotArea>
    </format>
    <format dxfId="7889">
      <pivotArea dataOnly="0" labelOnly="1" outline="0" fieldPosition="0">
        <references count="1">
          <reference field="4294967294" count="2">
            <x v="4"/>
            <x v="6"/>
          </reference>
        </references>
      </pivotArea>
    </format>
    <format dxfId="7888">
      <pivotArea dataOnly="0" labelOnly="1" grandRow="1" outline="0" fieldPosition="0"/>
    </format>
    <format dxfId="7887">
      <pivotArea dataOnly="0" labelOnly="1" grandRow="1" outline="0" fieldPosition="0"/>
    </format>
    <format dxfId="7886">
      <pivotArea outline="0" collapsedLevelsAreSubtotals="1" fieldPosition="0"/>
    </format>
    <format dxfId="7885">
      <pivotArea dataOnly="0" labelOnly="1" grandRow="1" outline="0" fieldPosition="0"/>
    </format>
    <format dxfId="7884">
      <pivotArea type="all" dataOnly="0" outline="0" fieldPosition="0"/>
    </format>
    <format dxfId="7883">
      <pivotArea outline="0" collapsedLevelsAreSubtotals="1" fieldPosition="0"/>
    </format>
    <format dxfId="7882">
      <pivotArea dataOnly="0" labelOnly="1" grandRow="1" outline="0" fieldPosition="0"/>
    </format>
    <format dxfId="7881">
      <pivotArea dataOnly="0" labelOnly="1" outline="0" fieldPosition="0">
        <references count="1">
          <reference field="4294967294" count="2">
            <x v="4"/>
            <x v="6"/>
          </reference>
        </references>
      </pivotArea>
    </format>
    <format dxfId="7880">
      <pivotArea grandRow="1" outline="0" collapsedLevelsAreSubtotals="1" fieldPosition="0"/>
    </format>
    <format dxfId="7879">
      <pivotArea type="all" dataOnly="0" outline="0" fieldPosition="0"/>
    </format>
    <format dxfId="7878">
      <pivotArea outline="0" collapsedLevelsAreSubtotals="1" fieldPosition="0"/>
    </format>
    <format dxfId="7877">
      <pivotArea dataOnly="0" labelOnly="1" grandRow="1" outline="0" fieldPosition="0"/>
    </format>
    <format dxfId="7876">
      <pivotArea dataOnly="0" labelOnly="1" outline="0" fieldPosition="0">
        <references count="1">
          <reference field="4294967294" count="2">
            <x v="4"/>
            <x v="6"/>
          </reference>
        </references>
      </pivotArea>
    </format>
    <format dxfId="7875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7874">
      <pivotArea dataOnly="0" labelOnly="1" grandRow="1" outline="0" fieldPosition="0"/>
    </format>
    <format dxfId="7873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  <format dxfId="7872">
      <pivotArea grandRow="1" outline="0" collapsedLevelsAreSubtotals="1" fieldPosition="0"/>
    </format>
    <format dxfId="7871">
      <pivotArea dataOnly="0" labelOnly="1" grandRow="1" outline="0" fieldPosition="0"/>
    </format>
    <format dxfId="7870">
      <pivotArea grandRow="1" outline="0" collapsedLevelsAreSubtotals="1" fieldPosition="0"/>
    </format>
    <format dxfId="7869">
      <pivotArea dataOnly="0" labelOnly="1" grandRow="1" outline="0" fieldPosition="0"/>
    </format>
    <format dxfId="7868">
      <pivotArea outline="0" collapsedLevelsAreSubtotals="1" fieldPosition="0">
        <references count="1">
          <reference field="4294967294" count="2" selected="0">
            <x v="4"/>
            <x v="6"/>
          </reference>
        </references>
      </pivotArea>
    </format>
    <format dxfId="7867">
      <pivotArea dataOnly="0" labelOnly="1" outline="0" fieldPosition="0">
        <references count="1">
          <reference field="4294967294" count="2">
            <x v="4"/>
            <x v="6"/>
          </reference>
        </references>
      </pivotArea>
    </format>
    <format dxfId="7866">
      <pivotArea dataOnly="0" labelOnly="1" outline="0" fieldPosition="0">
        <references count="1">
          <reference field="4294967294" count="3">
            <x v="0"/>
            <x v="4"/>
            <x v="6"/>
          </reference>
        </references>
      </pivotArea>
    </format>
    <format dxfId="7865">
      <pivotArea dataOnly="0" labelOnly="1" outline="0" fieldPosition="0">
        <references count="1">
          <reference field="4294967294" count="1">
            <x v="7"/>
          </reference>
        </references>
      </pivotArea>
    </format>
    <format dxfId="7864">
      <pivotArea field="5" type="button" dataOnly="0" labelOnly="1" outline="0"/>
    </format>
    <format dxfId="7863">
      <pivotArea outline="0" collapsedLevelsAreSubtotals="1" fieldPosition="0">
        <references count="1">
          <reference field="4294967294" count="3" selected="0">
            <x v="4"/>
            <x v="6"/>
            <x v="7"/>
          </reference>
        </references>
      </pivotArea>
    </format>
    <format dxfId="7862">
      <pivotArea dataOnly="0" labelOnly="1" outline="0" fieldPosition="0">
        <references count="1">
          <reference field="4294967294" count="3">
            <x v="4"/>
            <x v="6"/>
            <x v="7"/>
          </reference>
        </references>
      </pivotArea>
    </format>
    <format dxfId="7861">
      <pivotArea outline="0" collapsedLevelsAreSubtotals="1" fieldPosition="0"/>
    </format>
    <format dxfId="7860">
      <pivotArea dataOnly="0" labelOnly="1" outline="0" fieldPosition="0">
        <references count="1">
          <reference field="4294967294" count="4">
            <x v="0"/>
            <x v="4"/>
            <x v="6"/>
            <x v="7"/>
          </reference>
        </references>
      </pivotArea>
    </format>
    <format dxfId="7859">
      <pivotArea field="5" grandRow="1" outline="0" collapsedLevelsAreSubtotals="1">
        <references count="1">
          <reference field="4294967294" count="3" selected="0">
            <x v="4"/>
            <x v="6"/>
            <x v="7"/>
          </reference>
        </references>
      </pivotArea>
    </format>
    <format dxfId="7858">
      <pivotArea dataOnly="0" labelOnly="1" outline="0" fieldPosition="0">
        <references count="1">
          <reference field="4294967294" count="1">
            <x v="3"/>
          </reference>
        </references>
      </pivotArea>
    </format>
    <format dxfId="7857">
      <pivotArea outline="0" collapsedLevelsAreSubtotals="1" fieldPosition="0">
        <references count="1">
          <reference field="4294967294" count="3" selected="0">
            <x v="3"/>
            <x v="4"/>
            <x v="6"/>
          </reference>
        </references>
      </pivotArea>
    </format>
    <format dxfId="7856">
      <pivotArea outline="0" collapsedLevelsAreSubtotals="1" fieldPosition="0">
        <references count="1">
          <reference field="4294967294" count="3" selected="0">
            <x v="3"/>
            <x v="4"/>
            <x v="6"/>
          </reference>
        </references>
      </pivotArea>
    </format>
    <format dxfId="7855">
      <pivotArea dataOnly="0" labelOnly="1" outline="0" fieldPosition="0">
        <references count="1">
          <reference field="4294967294" count="5">
            <x v="0"/>
            <x v="3"/>
            <x v="4"/>
            <x v="6"/>
            <x v="7"/>
          </reference>
        </references>
      </pivotArea>
    </format>
    <format dxfId="7854">
      <pivotArea outline="0" collapsedLevelsAreSubtotals="1" fieldPosition="0">
        <references count="1">
          <reference field="4294967294" count="1" selected="0">
            <x v="5"/>
          </reference>
        </references>
      </pivotArea>
    </format>
    <format dxfId="7853">
      <pivotArea dataOnly="0" labelOnly="1" outline="0" fieldPosition="0">
        <references count="1">
          <reference field="4294967294" count="1">
            <x v="5"/>
          </reference>
        </references>
      </pivotArea>
    </format>
    <format dxfId="7852">
      <pivotArea dataOnly="0" labelOnly="1" outline="0" fieldPosition="0">
        <references count="1">
          <reference field="4294967294" count="1">
            <x v="5"/>
          </reference>
        </references>
      </pivotArea>
    </format>
    <format dxfId="7851">
      <pivotArea dataOnly="0" labelOnly="1" outline="0" fieldPosition="0">
        <references count="1">
          <reference field="4294967294" count="1">
            <x v="1"/>
          </reference>
        </references>
      </pivotArea>
    </format>
    <format dxfId="7850">
      <pivotArea dataOnly="0" outline="0" fieldPosition="0">
        <references count="1">
          <reference field="4294967294" count="1">
            <x v="2"/>
          </reference>
        </references>
      </pivotArea>
    </format>
    <format dxfId="7849">
      <pivotArea dataOnly="0" labelOnly="1" outline="0" fieldPosition="0">
        <references count="1">
          <reference field="4294967294" count="1">
            <x v="2"/>
          </reference>
        </references>
      </pivotArea>
    </format>
  </formats>
  <conditionalFormats count="4">
    <conditionalFormat priority="4">
      <pivotAreas count="1">
        <pivotArea type="data" outline="0" collapsedLevelsAreSubtotals="1" fieldPosition="0">
          <references count="1">
            <reference field="4294967294" count="1" selected="0">
              <x v="7"/>
            </reference>
          </references>
        </pivotArea>
      </pivotAreas>
    </conditionalFormat>
    <conditionalFormat priority="3">
      <pivotAreas count="1">
        <pivotArea type="data" outline="0" collapsedLevelsAreSubtotals="1" fieldPosition="0">
          <references count="1">
            <reference field="4294967294" count="1" selected="0">
              <x v="7"/>
            </reference>
          </references>
        </pivotArea>
      </pivotAreas>
    </conditionalFormat>
    <conditionalFormat priority="2">
      <pivotAreas count="1">
        <pivotArea type="data" outline="0" collapsedLevelsAreSubtotals="1" fieldPosition="0">
          <references count="1">
            <reference field="4294967294" count="1" selected="0">
              <x v="7"/>
            </reference>
          </references>
        </pivotArea>
      </pivotAreas>
    </conditionalFormat>
    <conditionalFormat priority="1">
      <pivotAreas count="1">
        <pivotArea type="data" outline="0" collapsedLevelsAreSubtotals="1" fieldPosition="0">
          <references count="1">
            <reference field="4294967294" count="1" selected="0">
              <x v="7"/>
            </reference>
          </references>
        </pivotArea>
      </pivotAreas>
    </conditionalFormat>
  </conditionalFormats>
  <pivotTableStyleInfo name="PivotStyleMedium10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200-000000000000}" name="TablaDinámica1" cacheId="92" applyNumberFormats="0" applyBorderFormats="0" applyFontFormats="0" applyPatternFormats="0" applyAlignmentFormats="0" applyWidthHeightFormats="1" dataCaption="Valores" updatedVersion="7" minRefreshableVersion="3" useAutoFormatting="1" itemPrintTitles="1" createdVersion="6" indent="0" outline="1" outlineData="1" multipleFieldFilters="0" rowHeaderCaption="Proceso">
  <location ref="B14:J21" firstHeaderRow="0" firstDataRow="1" firstDataCol="1"/>
  <pivotFields count="321">
    <pivotField axis="axisRow" showAll="0">
      <items count="16">
        <item m="1" x="14"/>
        <item m="1" x="13"/>
        <item x="0"/>
        <item x="2"/>
        <item x="3"/>
        <item x="4"/>
        <item x="6"/>
        <item x="1"/>
        <item x="5"/>
        <item x="7"/>
        <item x="8"/>
        <item x="9"/>
        <item x="10"/>
        <item x="11"/>
        <item x="12"/>
        <item t="default"/>
      </items>
    </pivotField>
    <pivotField showAll="0"/>
    <pivotField numFmtId="14" showAll="0"/>
    <pivotField showAll="0"/>
    <pivotField multipleItemSelectionAllowed="1" showAll="0">
      <items count="27">
        <item m="1" x="8"/>
        <item m="1" x="13"/>
        <item m="1" x="16"/>
        <item m="1" x="20"/>
        <item m="1" x="12"/>
        <item m="1" x="6"/>
        <item m="1" x="21"/>
        <item m="1" x="4"/>
        <item sd="0" m="1" x="14"/>
        <item sd="0" m="1" x="10"/>
        <item sd="0" m="1" x="23"/>
        <item sd="0" m="1" x="15"/>
        <item sd="0" m="1" x="3"/>
        <item sd="0" m="1" x="9"/>
        <item sd="0" m="1" x="11"/>
        <item sd="0" m="1" x="5"/>
        <item sd="0" m="1" x="18"/>
        <item sd="0" m="1" x="25"/>
        <item m="1" x="7"/>
        <item m="1" x="17"/>
        <item m="1" x="22"/>
        <item m="1" x="24"/>
        <item m="1" x="19"/>
        <item x="1"/>
        <item x="0"/>
        <item x="2"/>
        <item t="default"/>
      </items>
    </pivotField>
    <pivotField showAll="0" defaultSubtotal="0">
      <items count="2">
        <item x="0"/>
        <item m="1" x="1"/>
      </items>
    </pivotField>
    <pivotField showAll="0"/>
    <pivotField showAll="0"/>
    <pivotField showAll="0" defaultSubtota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10" showAll="0"/>
    <pivotField numFmtId="10" showAll="0"/>
    <pivotField numFmtId="10" showAll="0"/>
    <pivotField numFmtId="10" showAll="0" defaultSubtotal="0"/>
    <pivotField numFmtId="10" showAll="0"/>
    <pivotField numFmtId="10" showAll="0"/>
    <pivotField numFmtId="10" showAll="0"/>
    <pivotField numFmtId="10" showAll="0"/>
    <pivotField numFmtId="10" showAll="0" defaultSubtotal="0"/>
    <pivotField numFmtId="10" showAll="0"/>
    <pivotField numFmtId="10" showAll="0"/>
    <pivotField numFmtId="10" showAll="0"/>
    <pivotField numFmtId="10" showAll="0"/>
    <pivotField numFmtId="10" showAll="0" defaultSubtotal="0"/>
    <pivotField numFmtId="10" showAll="0"/>
    <pivotField numFmtId="10" showAll="0" defaultSubtotal="0"/>
    <pivotField dataField="1" numFmtId="10" showAll="0" defaultSubtota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dataField="1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dataField="1"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dataField="1" showAll="0"/>
    <pivotField numFmtId="10" showAll="0"/>
    <pivotField numFmtId="164" showAll="0"/>
    <pivotField numFmtId="10" showAll="0" defaultSubtotal="0"/>
    <pivotField numFmtId="10" showAll="0"/>
    <pivotField dataField="1" numFmtId="10" showAll="0" defaultSubtotal="0"/>
    <pivotField numFmtI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dataField="1" showAll="0" defaultSubtotal="0"/>
    <pivotField showAll="0"/>
    <pivotField showAll="0"/>
    <pivotField showAll="0"/>
    <pivotField showAll="0" defaultSubtotal="0">
      <items count="14">
        <item h="1" m="1" x="7"/>
        <item h="1" m="1" x="6"/>
        <item h="1" m="1" x="13"/>
        <item h="1" m="1" x="8"/>
        <item h="1" m="1" x="10"/>
        <item x="1"/>
        <item h="1" m="1" x="3"/>
        <item h="1" x="0"/>
        <item h="1" m="1" x="4"/>
        <item h="1" m="1" x="11"/>
        <item h="1" m="1" x="12"/>
        <item h="1" m="1" x="5"/>
        <item h="1" m="1" x="9"/>
        <item h="1" m="1" x="2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>
      <items count="2">
        <item x="0"/>
        <item x="1"/>
      </items>
    </pivotField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ataField="1" dragToRow="0" dragToCol="0" dragToPage="0" showAll="0" defaultSubtotal="0"/>
  </pivotFields>
  <rowFields count="1">
    <field x="0"/>
  </rowFields>
  <rowItems count="7">
    <i>
      <x v="9"/>
    </i>
    <i>
      <x v="10"/>
    </i>
    <i>
      <x v="11"/>
    </i>
    <i>
      <x v="12"/>
    </i>
    <i>
      <x v="13"/>
    </i>
    <i>
      <x v="14"/>
    </i>
    <i t="grand">
      <x/>
    </i>
  </rowItems>
  <colFields count="1">
    <field x="-2"/>
  </colFields>
  <colItems count="8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</colItems>
  <dataFields count="8">
    <dataField name="Cuenta de agent unico" fld="243" subtotal="count" baseField="0" baseItem="11"/>
    <dataField name=" M. Critica" fld="189" baseField="0" baseItem="0"/>
    <dataField name=" % M. Criticas" fld="320" baseField="0" baseItem="0" numFmtId="10"/>
    <dataField name="PENC" fld="127" subtotal="average" baseField="0" baseItem="0" numFmtId="9"/>
    <dataField name=" PECUF" fld="158" subtotal="average" baseField="74" baseItem="0" numFmtId="10"/>
    <dataField name=" PECNE" fld="174" subtotal="average" baseField="5" baseItem="8" numFmtId="10"/>
    <dataField name=" PECCUM" fld="182" subtotal="average" baseField="74" baseItem="0" numFmtId="10"/>
    <dataField name="Score calidad " fld="187" subtotal="average" baseField="37" baseItem="0" numFmtId="164"/>
  </dataFields>
  <formats count="82">
    <format dxfId="7848">
      <pivotArea outline="0" collapsedLevelsAreSubtotals="1" fieldPosition="0">
        <references count="1">
          <reference field="4294967294" count="1" selected="0">
            <x v="4"/>
          </reference>
        </references>
      </pivotArea>
    </format>
    <format dxfId="7847">
      <pivotArea outline="0" collapsedLevelsAreSubtotals="1" fieldPosition="0">
        <references count="1">
          <reference field="4294967294" count="1" selected="0">
            <x v="4"/>
          </reference>
        </references>
      </pivotArea>
    </format>
    <format dxfId="7846">
      <pivotArea outline="0" collapsedLevelsAreSubtotals="1" fieldPosition="0">
        <references count="1">
          <reference field="4294967294" count="1" selected="0">
            <x v="4"/>
          </reference>
        </references>
      </pivotArea>
    </format>
    <format dxfId="7845">
      <pivotArea outline="0" collapsedLevelsAreSubtotals="1" fieldPosition="0">
        <references count="1">
          <reference field="4294967294" count="1" selected="0">
            <x v="4"/>
          </reference>
        </references>
      </pivotArea>
    </format>
    <format dxfId="7844">
      <pivotArea outline="0" collapsedLevelsAreSubtotals="1" fieldPosition="0">
        <references count="1">
          <reference field="4294967294" count="1" selected="0">
            <x v="4"/>
          </reference>
        </references>
      </pivotArea>
    </format>
    <format dxfId="7843">
      <pivotArea outline="0" collapsedLevelsAreSubtotals="1" fieldPosition="0">
        <references count="1">
          <reference field="4294967294" count="1" selected="0">
            <x v="4"/>
          </reference>
        </references>
      </pivotArea>
    </format>
    <format dxfId="7842">
      <pivotArea outline="0" collapsedLevelsAreSubtotals="1" fieldPosition="0">
        <references count="1">
          <reference field="4294967294" count="1" selected="0">
            <x v="4"/>
          </reference>
        </references>
      </pivotArea>
    </format>
    <format dxfId="7841">
      <pivotArea outline="0" collapsedLevelsAreSubtotals="1" fieldPosition="0">
        <references count="1">
          <reference field="4294967294" count="1" selected="0">
            <x v="4"/>
          </reference>
        </references>
      </pivotArea>
    </format>
    <format dxfId="7840">
      <pivotArea outline="0" collapsedLevelsAreSubtotals="1" fieldPosition="0">
        <references count="1">
          <reference field="4294967294" count="1" selected="0">
            <x v="6"/>
          </reference>
        </references>
      </pivotArea>
    </format>
    <format dxfId="7839">
      <pivotArea outline="0" collapsedLevelsAreSubtotals="1" fieldPosition="0">
        <references count="1">
          <reference field="4294967294" count="1" selected="0">
            <x v="6"/>
          </reference>
        </references>
      </pivotArea>
    </format>
    <format dxfId="7838">
      <pivotArea outline="0" collapsedLevelsAreSubtotals="1" fieldPosition="0">
        <references count="1">
          <reference field="4294967294" count="1" selected="0">
            <x v="6"/>
          </reference>
        </references>
      </pivotArea>
    </format>
    <format dxfId="7837">
      <pivotArea outline="0" collapsedLevelsAreSubtotals="1" fieldPosition="0">
        <references count="1">
          <reference field="4294967294" count="1" selected="0">
            <x v="6"/>
          </reference>
        </references>
      </pivotArea>
    </format>
    <format dxfId="7836">
      <pivotArea outline="0" collapsedLevelsAreSubtotals="1" fieldPosition="0">
        <references count="1">
          <reference field="4294967294" count="1" selected="0">
            <x v="6"/>
          </reference>
        </references>
      </pivotArea>
    </format>
    <format dxfId="7835">
      <pivotArea outline="0" collapsedLevelsAreSubtotals="1" fieldPosition="0">
        <references count="1">
          <reference field="4294967294" count="1" selected="0">
            <x v="6"/>
          </reference>
        </references>
      </pivotArea>
    </format>
    <format dxfId="7834">
      <pivotArea field="5" type="button" dataOnly="0" labelOnly="1" outline="0"/>
    </format>
    <format dxfId="7833">
      <pivotArea dataOnly="0" labelOnly="1" outline="0" fieldPosition="0">
        <references count="1">
          <reference field="4294967294" count="2">
            <x v="4"/>
            <x v="6"/>
          </reference>
        </references>
      </pivotArea>
    </format>
    <format dxfId="7832">
      <pivotArea field="5" type="button" dataOnly="0" labelOnly="1" outline="0"/>
    </format>
    <format dxfId="7831">
      <pivotArea dataOnly="0" labelOnly="1" outline="0" fieldPosition="0">
        <references count="1">
          <reference field="4294967294" count="2">
            <x v="4"/>
            <x v="6"/>
          </reference>
        </references>
      </pivotArea>
    </format>
    <format dxfId="7830">
      <pivotArea dataOnly="0" labelOnly="1" grandRow="1" outline="0" fieldPosition="0"/>
    </format>
    <format dxfId="7829">
      <pivotArea dataOnly="0" labelOnly="1" grandRow="1" outline="0" fieldPosition="0"/>
    </format>
    <format dxfId="7828">
      <pivotArea outline="0" collapsedLevelsAreSubtotals="1" fieldPosition="0"/>
    </format>
    <format dxfId="7827">
      <pivotArea dataOnly="0" labelOnly="1" grandRow="1" outline="0" fieldPosition="0"/>
    </format>
    <format dxfId="7826">
      <pivotArea type="all" dataOnly="0" outline="0" fieldPosition="0"/>
    </format>
    <format dxfId="7825">
      <pivotArea outline="0" collapsedLevelsAreSubtotals="1" fieldPosition="0"/>
    </format>
    <format dxfId="7824">
      <pivotArea field="5" type="button" dataOnly="0" labelOnly="1" outline="0"/>
    </format>
    <format dxfId="7823">
      <pivotArea dataOnly="0" labelOnly="1" grandRow="1" outline="0" fieldPosition="0"/>
    </format>
    <format dxfId="7822">
      <pivotArea dataOnly="0" labelOnly="1" outline="0" fieldPosition="0">
        <references count="1">
          <reference field="4294967294" count="2">
            <x v="4"/>
            <x v="6"/>
          </reference>
        </references>
      </pivotArea>
    </format>
    <format dxfId="7821">
      <pivotArea grandRow="1" outline="0" collapsedLevelsAreSubtotals="1" fieldPosition="0"/>
    </format>
    <format dxfId="7820">
      <pivotArea type="all" dataOnly="0" outline="0" fieldPosition="0"/>
    </format>
    <format dxfId="7819">
      <pivotArea outline="0" collapsedLevelsAreSubtotals="1" fieldPosition="0"/>
    </format>
    <format dxfId="7818">
      <pivotArea field="5" type="button" dataOnly="0" labelOnly="1" outline="0"/>
    </format>
    <format dxfId="7817">
      <pivotArea dataOnly="0" labelOnly="1" grandRow="1" outline="0" fieldPosition="0"/>
    </format>
    <format dxfId="7816">
      <pivotArea dataOnly="0" labelOnly="1" outline="0" fieldPosition="0">
        <references count="1">
          <reference field="4294967294" count="2">
            <x v="4"/>
            <x v="6"/>
          </reference>
        </references>
      </pivotArea>
    </format>
    <format dxfId="7815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7814">
      <pivotArea dataOnly="0" labelOnly="1" grandRow="1" outline="0" fieldPosition="0"/>
    </format>
    <format dxfId="7813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  <format dxfId="7812">
      <pivotArea grandRow="1" outline="0" collapsedLevelsAreSubtotals="1" fieldPosition="0"/>
    </format>
    <format dxfId="7811">
      <pivotArea dataOnly="0" labelOnly="1" grandRow="1" outline="0" fieldPosition="0"/>
    </format>
    <format dxfId="7810">
      <pivotArea grandRow="1" outline="0" collapsedLevelsAreSubtotals="1" fieldPosition="0"/>
    </format>
    <format dxfId="7809">
      <pivotArea dataOnly="0" labelOnly="1" grandRow="1" outline="0" fieldPosition="0"/>
    </format>
    <format dxfId="7808">
      <pivotArea outline="0" collapsedLevelsAreSubtotals="1" fieldPosition="0">
        <references count="1">
          <reference field="4294967294" count="2" selected="0">
            <x v="4"/>
            <x v="6"/>
          </reference>
        </references>
      </pivotArea>
    </format>
    <format dxfId="7807">
      <pivotArea dataOnly="0" labelOnly="1" outline="0" fieldPosition="0">
        <references count="1">
          <reference field="4294967294" count="2">
            <x v="4"/>
            <x v="6"/>
          </reference>
        </references>
      </pivotArea>
    </format>
    <format dxfId="7806">
      <pivotArea dataOnly="0" labelOnly="1" outline="0" fieldPosition="0">
        <references count="1">
          <reference field="4294967294" count="3">
            <x v="0"/>
            <x v="4"/>
            <x v="6"/>
          </reference>
        </references>
      </pivotArea>
    </format>
    <format dxfId="7805">
      <pivotArea field="5" grandRow="1" outline="0" collapsedLevelsAreSubtotals="1">
        <references count="1">
          <reference field="4294967294" count="1" selected="0">
            <x v="4"/>
          </reference>
        </references>
      </pivotArea>
    </format>
    <format dxfId="7804">
      <pivotArea field="5" grandRow="1" outline="0" collapsedLevelsAreSubtotals="1">
        <references count="1">
          <reference field="4294967294" count="1" selected="0">
            <x v="6"/>
          </reference>
        </references>
      </pivotArea>
    </format>
    <format dxfId="7803">
      <pivotArea dataOnly="0" labelOnly="1" outline="0" fieldPosition="0">
        <references count="1">
          <reference field="4294967294" count="1">
            <x v="7"/>
          </reference>
        </references>
      </pivotArea>
    </format>
    <format dxfId="7802">
      <pivotArea field="5" grandRow="1" outline="0" collapsedLevelsAreSubtotals="1">
        <references count="1">
          <reference field="4294967294" count="3" selected="0">
            <x v="4"/>
            <x v="6"/>
            <x v="7"/>
          </reference>
        </references>
      </pivotArea>
    </format>
    <format dxfId="7801">
      <pivotArea field="5" grandRow="1" outline="0" collapsedLevelsAreSubtotals="1">
        <references count="1">
          <reference field="4294967294" count="3" selected="0">
            <x v="4"/>
            <x v="6"/>
            <x v="7"/>
          </reference>
        </references>
      </pivotArea>
    </format>
    <format dxfId="7800">
      <pivotArea field="5" grandRow="1" outline="0" collapsedLevelsAreSubtotals="1">
        <references count="1">
          <reference field="4294967294" count="3" selected="0">
            <x v="4"/>
            <x v="6"/>
            <x v="7"/>
          </reference>
        </references>
      </pivotArea>
    </format>
    <format dxfId="7799">
      <pivotArea field="5" grandRow="1" outline="0" collapsedLevelsAreSubtotals="1">
        <references count="1">
          <reference field="4294967294" count="3" selected="0">
            <x v="4"/>
            <x v="6"/>
            <x v="7"/>
          </reference>
        </references>
      </pivotArea>
    </format>
    <format dxfId="7798">
      <pivotArea field="4" type="button" dataOnly="0" labelOnly="1" outline="0"/>
    </format>
    <format dxfId="7797">
      <pivotArea field="4" grandRow="1" outline="0" collapsedLevelsAreSubtotals="1">
        <references count="1">
          <reference field="4294967294" count="2" selected="0">
            <x v="6"/>
            <x v="7"/>
          </reference>
        </references>
      </pivotArea>
    </format>
    <format dxfId="7796">
      <pivotArea field="4" grandRow="1" outline="0" collapsedLevelsAreSubtotals="1">
        <references count="1">
          <reference field="4294967294" count="3" selected="0">
            <x v="4"/>
            <x v="6"/>
            <x v="7"/>
          </reference>
        </references>
      </pivotArea>
    </format>
    <format dxfId="7795">
      <pivotArea field="4" grandRow="1" outline="0" collapsedLevelsAreSubtotals="1">
        <references count="1">
          <reference field="4294967294" count="3" selected="0">
            <x v="4"/>
            <x v="6"/>
            <x v="7"/>
          </reference>
        </references>
      </pivotArea>
    </format>
    <format dxfId="7794">
      <pivotArea outline="0" collapsedLevelsAreSubtotals="1" fieldPosition="0">
        <references count="1">
          <reference field="4294967294" count="2" selected="0">
            <x v="4"/>
            <x v="6"/>
          </reference>
        </references>
      </pivotArea>
    </format>
    <format dxfId="7793">
      <pivotArea dataOnly="0" labelOnly="1" outline="0" fieldPosition="0">
        <references count="1">
          <reference field="4294967294" count="2">
            <x v="4"/>
            <x v="6"/>
          </reference>
        </references>
      </pivotArea>
    </format>
    <format dxfId="7792">
      <pivotArea outline="0" collapsedLevelsAreSubtotals="1" fieldPosition="0">
        <references count="1">
          <reference field="4294967294" count="1" selected="0">
            <x v="7"/>
          </reference>
        </references>
      </pivotArea>
    </format>
    <format dxfId="7791">
      <pivotArea dataOnly="0" labelOnly="1" outline="0" fieldPosition="0">
        <references count="1">
          <reference field="4294967294" count="1">
            <x v="7"/>
          </reference>
        </references>
      </pivotArea>
    </format>
    <format dxfId="7790">
      <pivotArea type="all" dataOnly="0" outline="0" fieldPosition="0"/>
    </format>
    <format dxfId="7789">
      <pivotArea outline="0" collapsedLevelsAreSubtotals="1" fieldPosition="0"/>
    </format>
    <format dxfId="7788">
      <pivotArea field="4" type="button" dataOnly="0" labelOnly="1" outline="0"/>
    </format>
    <format dxfId="7787">
      <pivotArea dataOnly="0" labelOnly="1" grandRow="1" outline="0" fieldPosition="0"/>
    </format>
    <format dxfId="7786">
      <pivotArea dataOnly="0" labelOnly="1" outline="0" fieldPosition="0">
        <references count="1">
          <reference field="4294967294" count="4">
            <x v="0"/>
            <x v="4"/>
            <x v="6"/>
            <x v="7"/>
          </reference>
        </references>
      </pivotArea>
    </format>
    <format dxfId="7785">
      <pivotArea outline="0" collapsedLevelsAreSubtotals="1" fieldPosition="0">
        <references count="1">
          <reference field="4294967294" count="1" selected="0">
            <x v="3"/>
          </reference>
        </references>
      </pivotArea>
    </format>
    <format dxfId="7784">
      <pivotArea field="4" grandRow="1" outline="0" collapsedLevelsAreSubtotals="1">
        <references count="1">
          <reference field="4294967294" count="4" selected="0">
            <x v="3"/>
            <x v="4"/>
            <x v="6"/>
            <x v="7"/>
          </reference>
        </references>
      </pivotArea>
    </format>
    <format dxfId="7783">
      <pivotArea field="4" grandRow="1" outline="0" collapsedLevelsAreSubtotals="1">
        <references count="1">
          <reference field="4294967294" count="4" selected="0">
            <x v="3"/>
            <x v="4"/>
            <x v="6"/>
            <x v="7"/>
          </reference>
        </references>
      </pivotArea>
    </format>
    <format dxfId="7782">
      <pivotArea field="4" grandRow="1" outline="0" collapsedLevelsAreSubtotals="1">
        <references count="1">
          <reference field="4294967294" count="4" selected="0">
            <x v="3"/>
            <x v="4"/>
            <x v="6"/>
            <x v="7"/>
          </reference>
        </references>
      </pivotArea>
    </format>
    <format dxfId="7781">
      <pivotArea dataOnly="0" labelOnly="1" outline="0" fieldPosition="0">
        <references count="1">
          <reference field="4294967294" count="1">
            <x v="3"/>
          </reference>
        </references>
      </pivotArea>
    </format>
    <format dxfId="7780">
      <pivotArea outline="0" collapsedLevelsAreSubtotals="1" fieldPosition="0">
        <references count="1">
          <reference field="4294967294" count="1" selected="0">
            <x v="7"/>
          </reference>
        </references>
      </pivotArea>
    </format>
    <format dxfId="7779">
      <pivotArea field="4" type="button" dataOnly="0" labelOnly="1" outline="0"/>
    </format>
    <format dxfId="7778">
      <pivotArea dataOnly="0" labelOnly="1" outline="0" fieldPosition="0">
        <references count="1">
          <reference field="4294967294" count="5">
            <x v="0"/>
            <x v="3"/>
            <x v="4"/>
            <x v="6"/>
            <x v="7"/>
          </reference>
        </references>
      </pivotArea>
    </format>
    <format dxfId="7777">
      <pivotArea dataOnly="0" outline="0" fieldPosition="0">
        <references count="1">
          <reference field="4294967294" count="1">
            <x v="5"/>
          </reference>
        </references>
      </pivotArea>
    </format>
    <format dxfId="7776">
      <pivotArea dataOnly="0" labelOnly="1" outline="0" fieldPosition="0">
        <references count="1">
          <reference field="4294967294" count="1">
            <x v="5"/>
          </reference>
        </references>
      </pivotArea>
    </format>
    <format dxfId="7775">
      <pivotArea outline="0" collapsedLevelsAreSubtotals="1" fieldPosition="0">
        <references count="1">
          <reference field="4294967294" count="1" selected="0">
            <x v="5"/>
          </reference>
        </references>
      </pivotArea>
    </format>
    <format dxfId="7774">
      <pivotArea dataOnly="0" labelOnly="1" outline="0" fieldPosition="0">
        <references count="1">
          <reference field="4294967294" count="1">
            <x v="5"/>
          </reference>
        </references>
      </pivotArea>
    </format>
    <format dxfId="7773">
      <pivotArea dataOnly="0" labelOnly="1" outline="0" fieldPosition="0">
        <references count="1">
          <reference field="4294967294" count="1">
            <x v="1"/>
          </reference>
        </references>
      </pivotArea>
    </format>
    <format dxfId="7772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7771">
      <pivotArea dataOnly="0" labelOnly="1" outline="0" fieldPosition="0">
        <references count="1">
          <reference field="4294967294" count="1">
            <x v="2"/>
          </reference>
        </references>
      </pivotArea>
    </format>
    <format dxfId="6039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6038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5957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  <format dxfId="5956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</formats>
  <conditionalFormats count="4">
    <conditionalFormat priority="4">
      <pivotAreas count="1">
        <pivotArea type="data" outline="0" collapsedLevelsAreSubtotals="1" fieldPosition="0">
          <references count="1">
            <reference field="4294967294" count="1" selected="0">
              <x v="7"/>
            </reference>
          </references>
        </pivotArea>
      </pivotAreas>
    </conditionalFormat>
    <conditionalFormat priority="3">
      <pivotAreas count="1">
        <pivotArea type="data" outline="0" collapsedLevelsAreSubtotals="1" fieldPosition="0">
          <references count="1">
            <reference field="4294967294" count="1" selected="0">
              <x v="7"/>
            </reference>
          </references>
        </pivotArea>
      </pivotAreas>
    </conditionalFormat>
    <conditionalFormat priority="2">
      <pivotAreas count="1">
        <pivotArea type="data" outline="0" collapsedLevelsAreSubtotals="1" fieldPosition="0">
          <references count="1">
            <reference field="4294967294" count="1" selected="0">
              <x v="7"/>
            </reference>
          </references>
        </pivotArea>
      </pivotAreas>
    </conditionalFormat>
    <conditionalFormat priority="1">
      <pivotAreas count="1">
        <pivotArea type="data" outline="0" collapsedLevelsAreSubtotals="1" fieldPosition="0">
          <references count="1">
            <reference field="4294967294" count="1" selected="0">
              <x v="7"/>
            </reference>
          </references>
        </pivotArea>
      </pivotAreas>
    </conditionalFormat>
  </conditionalFormats>
  <pivotTableStyleInfo name="PivotStyleMedium10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300-000001000000}" name="TablaDinámica4" cacheId="92" applyNumberFormats="0" applyBorderFormats="0" applyFontFormats="0" applyPatternFormats="0" applyAlignmentFormats="0" applyWidthHeightFormats="1" dataCaption="Valores" updatedVersion="7" minRefreshableVersion="3" useAutoFormatting="1" itemPrintTitles="1" createdVersion="6" indent="0" compact="0" compactData="0" multipleFieldFilters="0" rowHeaderCaption="Agente">
  <location ref="B10:K17" firstHeaderRow="0" firstDataRow="1" firstDataCol="2"/>
  <pivotFields count="321">
    <pivotField axis="axisRow" compact="0" outline="0" showAll="0" defaultSubtotal="0">
      <items count="15">
        <item m="1" x="14"/>
        <item m="1" x="13"/>
        <item x="0"/>
        <item x="2"/>
        <item x="3"/>
        <item x="4"/>
        <item x="6"/>
        <item x="1"/>
        <item x="5"/>
        <item x="7"/>
        <item x="8"/>
        <item x="9"/>
        <item x="10"/>
        <item x="11"/>
        <item x="12"/>
      </items>
    </pivotField>
    <pivotField compact="0" outline="0" showAll="0" defaultSubtotal="0"/>
    <pivotField compact="0" numFmtId="14" outline="0" showAll="0" defaultSubtotal="0"/>
    <pivotField compact="0" outline="0" showAll="0" defaultSubtotal="0"/>
    <pivotField compact="0" outline="0" multipleItemSelectionAllowed="1" showAll="0" defaultSubtotal="0">
      <items count="26">
        <item m="1" x="5"/>
        <item m="1" x="9"/>
        <item m="1" x="22"/>
        <item m="1" x="20"/>
        <item m="1" x="13"/>
        <item m="1" x="19"/>
        <item m="1" x="17"/>
        <item m="1" x="18"/>
        <item m="1" x="21"/>
        <item m="1" x="14"/>
        <item m="1" x="11"/>
        <item m="1" x="25"/>
        <item x="1"/>
        <item m="1" x="6"/>
        <item m="1" x="8"/>
        <item m="1" x="24"/>
        <item m="1" x="16"/>
        <item x="0"/>
        <item m="1" x="12"/>
        <item x="2"/>
        <item m="1" x="3"/>
        <item m="1" x="23"/>
        <item m="1" x="7"/>
        <item m="1" x="10"/>
        <item m="1" x="15"/>
        <item m="1" x="4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numFmtId="10" outline="0" showAll="0" defaultSubtotal="0"/>
    <pivotField compact="0" numFmtId="10" outline="0" showAll="0" defaultSubtotal="0"/>
    <pivotField compact="0" numFmtId="10" outline="0" showAll="0" defaultSubtotal="0"/>
    <pivotField compact="0" numFmtId="10" outline="0" showAll="0" defaultSubtotal="0"/>
    <pivotField compact="0" numFmtId="10" outline="0" showAll="0" defaultSubtotal="0"/>
    <pivotField compact="0" numFmtId="10" outline="0" showAll="0" defaultSubtotal="0"/>
    <pivotField compact="0" numFmtId="10" outline="0" showAll="0" defaultSubtotal="0"/>
    <pivotField compact="0" numFmtId="10" outline="0" showAll="0" defaultSubtotal="0"/>
    <pivotField compact="0" numFmtId="10" outline="0" showAll="0" defaultSubtotal="0"/>
    <pivotField compact="0" numFmtId="10" outline="0" showAll="0" defaultSubtotal="0"/>
    <pivotField compact="0" numFmtId="10" outline="0" showAll="0" defaultSubtotal="0"/>
    <pivotField compact="0" numFmtId="10" outline="0" showAll="0" defaultSubtotal="0"/>
    <pivotField compact="0" numFmtId="10" outline="0" showAll="0" defaultSubtotal="0"/>
    <pivotField compact="0" numFmtId="10" outline="0" showAll="0" defaultSubtotal="0"/>
    <pivotField compact="0" numFmtId="10" outline="0" showAll="0" defaultSubtotal="0"/>
    <pivotField compact="0" numFmtId="10" outline="0" showAll="0" defaultSubtotal="0"/>
    <pivotField dataField="1" compact="0" numFmtId="10" outline="0" showAll="0" defaultSubtotal="0"/>
    <pivotField compact="0" numFmtId="10" outline="0" showAll="0" defaultSubtotal="0"/>
    <pivotField compact="0" numFmtId="10" outline="0" showAll="0" defaultSubtotal="0"/>
    <pivotField compact="0" numFmtId="10" outline="0" showAll="0" defaultSubtotal="0"/>
    <pivotField compact="0" numFmtId="10" outline="0" showAll="0" defaultSubtotal="0"/>
    <pivotField compact="0" numFmtId="10" outline="0" showAll="0" defaultSubtotal="0"/>
    <pivotField compact="0" numFmtId="10" outline="0" showAll="0" defaultSubtotal="0"/>
    <pivotField compact="0" numFmtId="10" outline="0" showAll="0" defaultSubtotal="0"/>
    <pivotField compact="0" numFmtId="10" outline="0" showAll="0" defaultSubtotal="0"/>
    <pivotField compact="0" numFmtId="10" outline="0" showAll="0" defaultSubtotal="0"/>
    <pivotField compact="0" numFmtId="10" outline="0" showAll="0" defaultSubtotal="0"/>
    <pivotField compact="0" numFmtId="10" outline="0" showAll="0" defaultSubtotal="0"/>
    <pivotField compact="0" numFmtId="10" outline="0" showAll="0" defaultSubtotal="0"/>
    <pivotField compact="0" numFmtId="10" outline="0" showAll="0" defaultSubtotal="0"/>
    <pivotField compact="0" numFmtId="10" outline="0" showAll="0" defaultSubtotal="0"/>
    <pivotField compact="0" numFmtId="10" outline="0" showAll="0" defaultSubtotal="0"/>
    <pivotField compact="0" numFmtId="10" outline="0" showAll="0" defaultSubtotal="0"/>
    <pivotField compact="0" numFmtId="10" outline="0" showAll="0" defaultSubtotal="0"/>
    <pivotField compact="0" numFmtId="10" outline="0" showAll="0" defaultSubtotal="0"/>
    <pivotField compact="0" numFmtId="10" outline="0" showAll="0" defaultSubtotal="0"/>
    <pivotField compact="0" numFmtId="10" outline="0" showAll="0" defaultSubtotal="0"/>
    <pivotField compact="0" numFmtId="10" outline="0" showAll="0" defaultSubtotal="0"/>
    <pivotField compact="0" numFmtId="10" outline="0" showAll="0" defaultSubtotal="0"/>
    <pivotField compact="0" numFmtId="10" outline="0" showAll="0" defaultSubtotal="0"/>
    <pivotField compact="0" numFmtId="10" outline="0" showAll="0" defaultSubtotal="0"/>
    <pivotField compact="0" numFmtId="10" outline="0" showAll="0" defaultSubtotal="0"/>
    <pivotField compact="0" numFmtId="10" outline="0" showAll="0" defaultSubtotal="0"/>
    <pivotField compact="0" numFmtId="10" outline="0" showAll="0" defaultSubtotal="0"/>
    <pivotField compact="0" numFmtId="10" outline="0" showAll="0" defaultSubtotal="0"/>
    <pivotField compact="0" numFmtId="10" outline="0" showAll="0" defaultSubtotal="0"/>
    <pivotField compact="0" numFmtId="10" outline="0" showAll="0" defaultSubtotal="0"/>
    <pivotField dataField="1" compact="0" outline="0" showAll="0" defaultSubtotal="0"/>
    <pivotField compact="0" numFmtId="10" outline="0" showAll="0" defaultSubtotal="0"/>
    <pivotField compact="0" numFmtId="10" outline="0" showAll="0" defaultSubtotal="0"/>
    <pivotField compact="0" numFmtId="10" outline="0" showAll="0" defaultSubtotal="0"/>
    <pivotField compact="0" numFmtId="10" outline="0" showAll="0" defaultSubtotal="0"/>
    <pivotField compact="0" numFmtId="10" outline="0" showAll="0" defaultSubtotal="0"/>
    <pivotField compact="0" numFmtId="10" outline="0" showAll="0" defaultSubtotal="0"/>
    <pivotField compact="0" numFmtId="10" outline="0" showAll="0" defaultSubtotal="0"/>
    <pivotField compact="0" numFmtId="10" outline="0" showAll="0" defaultSubtotal="0"/>
    <pivotField compact="0" numFmtId="10" outline="0" showAll="0" defaultSubtotal="0"/>
    <pivotField compact="0" numFmtId="10" outline="0" showAll="0" defaultSubtotal="0"/>
    <pivotField compact="0" numFmtId="10" outline="0" showAll="0" defaultSubtotal="0"/>
    <pivotField compact="0" numFmtId="10" outline="0" showAll="0" defaultSubtotal="0"/>
    <pivotField compact="0" numFmtId="10" outline="0" showAll="0" defaultSubtotal="0"/>
    <pivotField compact="0" numFmtId="10" outline="0" showAll="0" defaultSubtotal="0"/>
    <pivotField compact="0" numFmtId="10" outline="0" showAll="0" defaultSubtotal="0"/>
    <pivotField dataField="1" compact="0" numFmtId="10" outline="0" showAll="0" defaultSubtotal="0"/>
    <pivotField compact="0" numFmtId="10" outline="0" showAll="0" defaultSubtotal="0"/>
    <pivotField compact="0" numFmtId="10" outline="0" showAll="0" defaultSubtotal="0"/>
    <pivotField compact="0" numFmtId="10" outline="0" showAll="0" defaultSubtotal="0"/>
    <pivotField compact="0" numFmtId="10" outline="0" showAll="0" defaultSubtotal="0"/>
    <pivotField compact="0" numFmtId="10" outline="0" showAll="0" defaultSubtotal="0"/>
    <pivotField compact="0" numFmtId="10" outline="0" showAll="0" defaultSubtotal="0"/>
    <pivotField compact="0" numFmtId="10" outline="0" showAll="0" defaultSubtotal="0"/>
    <pivotField dataField="1" compact="0" outline="0" showAll="0" defaultSubtotal="0"/>
    <pivotField compact="0" numFmtId="10" outline="0" showAll="0" defaultSubtotal="0"/>
    <pivotField compact="0" numFmtId="164" outline="0" showAll="0" defaultSubtotal="0"/>
    <pivotField compact="0" numFmtId="10" outline="0" showAll="0" defaultSubtotal="0"/>
    <pivotField compact="0" numFmtId="10" outline="0" showAll="0" defaultSubtotal="0"/>
    <pivotField dataField="1" compact="0" numFmtId="10" outline="0" showAll="0" defaultSubtotal="0"/>
    <pivotField dataField="1" compact="0" numFmtId="1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>
      <items count="14">
        <item h="1" m="1" x="7"/>
        <item h="1" m="1" x="6"/>
        <item h="1" m="1" x="13"/>
        <item h="1" m="1" x="8"/>
        <item h="1" m="1" x="10"/>
        <item x="1"/>
        <item h="1" m="1" x="3"/>
        <item h="1" x="0"/>
        <item h="1" m="1" x="4"/>
        <item h="1" m="1" x="11"/>
        <item h="1" m="1" x="12"/>
        <item h="1" m="1" x="5"/>
        <item h="1" m="1" x="9"/>
        <item h="1" m="1" x="2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axis="axisRow" compact="0" outline="0" showAll="0" defaultSubtotal="0">
      <items count="2">
        <item x="1"/>
        <item x="0"/>
      </items>
    </pivotField>
    <pivotField compact="0" outline="0" dragToRow="0" dragToCol="0" dragToPage="0" showAll="0" defaultSubtotal="0"/>
    <pivotField compact="0" outline="0" dragToRow="0" dragToCol="0" dragToPage="0" showAll="0" defaultSubtotal="0"/>
    <pivotField compact="0" outline="0" dragToRow="0" dragToCol="0" dragToPage="0" showAll="0" defaultSubtotal="0"/>
    <pivotField compact="0" outline="0" dragToRow="0" dragToCol="0" dragToPage="0" showAll="0" defaultSubtotal="0"/>
    <pivotField compact="0" outline="0" dragToRow="0" dragToCol="0" dragToPage="0" showAll="0" defaultSubtotal="0"/>
    <pivotField compact="0" outline="0" dragToRow="0" dragToCol="0" dragToPage="0" showAll="0" defaultSubtotal="0"/>
    <pivotField compact="0" outline="0" dragToRow="0" dragToCol="0" dragToPage="0" showAll="0" defaultSubtotal="0"/>
    <pivotField compact="0" outline="0" dragToRow="0" dragToCol="0" dragToPage="0" showAll="0" defaultSubtotal="0"/>
    <pivotField compact="0" outline="0" dragToRow="0" dragToCol="0" dragToPage="0" showAll="0" defaultSubtotal="0"/>
    <pivotField compact="0" outline="0" dragToRow="0" dragToCol="0" dragToPage="0" showAll="0" defaultSubtotal="0"/>
    <pivotField compact="0" outline="0" dragToRow="0" dragToCol="0" dragToPage="0" showAll="0" defaultSubtotal="0"/>
    <pivotField compact="0" outline="0" dragToRow="0" dragToCol="0" dragToPage="0" showAll="0" defaultSubtotal="0"/>
    <pivotField compact="0" outline="0" dragToRow="0" dragToCol="0" dragToPage="0" showAll="0" defaultSubtotal="0"/>
    <pivotField compact="0" outline="0" dragToRow="0" dragToCol="0" dragToPage="0" showAll="0" defaultSubtotal="0"/>
    <pivotField compact="0" outline="0" dragToRow="0" dragToCol="0" dragToPage="0" showAll="0" defaultSubtotal="0"/>
    <pivotField compact="0" outline="0" dragToRow="0" dragToCol="0" dragToPage="0" showAll="0" defaultSubtotal="0"/>
    <pivotField compact="0" outline="0" dragToRow="0" dragToCol="0" dragToPage="0" showAll="0" defaultSubtotal="0"/>
    <pivotField compact="0" outline="0" dragToRow="0" dragToCol="0" dragToPage="0" showAll="0" defaultSubtotal="0"/>
    <pivotField compact="0" outline="0" dragToRow="0" dragToCol="0" dragToPage="0" showAll="0" defaultSubtotal="0"/>
    <pivotField compact="0" outline="0" dragToRow="0" dragToCol="0" dragToPage="0" showAll="0" defaultSubtotal="0"/>
    <pivotField compact="0" outline="0" dragToRow="0" dragToCol="0" dragToPage="0" showAll="0" defaultSubtotal="0"/>
    <pivotField compact="0" outline="0" dragToRow="0" dragToCol="0" dragToPage="0" showAll="0" defaultSubtotal="0"/>
    <pivotField compact="0" outline="0" dragToRow="0" dragToCol="0" dragToPage="0" showAll="0" defaultSubtotal="0"/>
    <pivotField compact="0" outline="0" dragToRow="0" dragToCol="0" dragToPage="0" showAll="0" defaultSubtotal="0"/>
    <pivotField compact="0" outline="0" dragToRow="0" dragToCol="0" dragToPage="0" showAll="0" defaultSubtotal="0"/>
    <pivotField compact="0" outline="0" dragToRow="0" dragToCol="0" dragToPage="0" showAll="0" defaultSubtotal="0"/>
    <pivotField compact="0" outline="0" dragToRow="0" dragToCol="0" dragToPage="0" showAll="0" defaultSubtotal="0"/>
    <pivotField compact="0" outline="0" dragToRow="0" dragToCol="0" dragToPage="0" showAll="0" defaultSubtotal="0"/>
    <pivotField compact="0" outline="0" dragToRow="0" dragToCol="0" dragToPage="0" showAll="0" defaultSubtotal="0"/>
    <pivotField compact="0" outline="0" dragToRow="0" dragToCol="0" dragToPage="0" showAll="0" defaultSubtotal="0"/>
    <pivotField compact="0" outline="0" dragToRow="0" dragToCol="0" dragToPage="0" showAll="0" defaultSubtotal="0"/>
    <pivotField compact="0" outline="0" dragToRow="0" dragToCol="0" dragToPage="0" showAll="0" defaultSubtotal="0"/>
    <pivotField compact="0" outline="0" dragToRow="0" dragToCol="0" dragToPage="0" showAll="0" defaultSubtotal="0"/>
    <pivotField compact="0" outline="0" dragToRow="0" dragToCol="0" dragToPage="0" showAll="0" defaultSubtotal="0"/>
    <pivotField compact="0" outline="0" dragToRow="0" dragToCol="0" dragToPage="0" showAll="0" defaultSubtotal="0"/>
    <pivotField compact="0" outline="0" dragToRow="0" dragToCol="0" dragToPage="0" showAll="0" defaultSubtotal="0"/>
    <pivotField compact="0" outline="0" dragToRow="0" dragToCol="0" dragToPage="0" showAll="0" defaultSubtotal="0"/>
    <pivotField compact="0" outline="0" dragToRow="0" dragToCol="0" dragToPage="0" showAll="0" defaultSubtotal="0"/>
    <pivotField compact="0" outline="0" dragToRow="0" dragToCol="0" dragToPage="0" showAll="0" defaultSubtotal="0"/>
    <pivotField compact="0" outline="0" dragToRow="0" dragToCol="0" dragToPage="0" showAll="0" defaultSubtotal="0"/>
    <pivotField compact="0" outline="0" dragToRow="0" dragToCol="0" dragToPage="0" showAll="0" defaultSubtotal="0"/>
    <pivotField compact="0" outline="0" dragToRow="0" dragToCol="0" dragToPage="0" showAll="0" defaultSubtotal="0"/>
    <pivotField compact="0" outline="0" dragToRow="0" dragToCol="0" dragToPage="0" showAll="0" defaultSubtotal="0"/>
    <pivotField compact="0" outline="0" dragToRow="0" dragToCol="0" dragToPage="0" showAll="0" defaultSubtotal="0"/>
    <pivotField compact="0" outline="0" dragToRow="0" dragToCol="0" dragToPage="0" showAll="0" defaultSubtotal="0"/>
    <pivotField compact="0" outline="0" dragToRow="0" dragToCol="0" dragToPage="0" showAll="0" defaultSubtotal="0"/>
    <pivotField compact="0" outline="0" dragToRow="0" dragToCol="0" dragToPage="0" showAll="0" defaultSubtotal="0"/>
    <pivotField compact="0" outline="0" dragToRow="0" dragToCol="0" dragToPage="0" showAll="0" defaultSubtotal="0"/>
    <pivotField compact="0" outline="0" dragToRow="0" dragToCol="0" dragToPage="0" showAll="0" defaultSubtotal="0"/>
    <pivotField compact="0" outline="0" dragToRow="0" dragToCol="0" dragToPage="0" showAll="0" defaultSubtotal="0"/>
    <pivotField compact="0" outline="0" dragToRow="0" dragToCol="0" dragToPage="0" showAll="0" defaultSubtotal="0"/>
    <pivotField compact="0" outline="0" dragToRow="0" dragToCol="0" dragToPage="0" showAll="0" defaultSubtotal="0"/>
    <pivotField compact="0" outline="0" dragToRow="0" dragToCol="0" dragToPage="0" showAll="0" defaultSubtotal="0"/>
    <pivotField compact="0" outline="0" dragToRow="0" dragToCol="0" dragToPage="0" showAll="0" defaultSubtotal="0"/>
    <pivotField compact="0" outline="0" dragToRow="0" dragToCol="0" dragToPage="0" showAll="0" defaultSubtotal="0"/>
    <pivotField compact="0" outline="0" dragToRow="0" dragToCol="0" dragToPage="0" showAll="0" defaultSubtotal="0"/>
    <pivotField compact="0" outline="0" dragToRow="0" dragToCol="0" dragToPage="0" showAll="0" defaultSubtotal="0"/>
    <pivotField compact="0" outline="0" dragToRow="0" dragToCol="0" dragToPage="0" showAll="0" defaultSubtotal="0"/>
    <pivotField compact="0" outline="0" dragToRow="0" dragToCol="0" dragToPage="0" showAll="0" defaultSubtotal="0"/>
    <pivotField compact="0" outline="0" dragToRow="0" dragToCol="0" dragToPage="0" showAll="0" defaultSubtotal="0"/>
    <pivotField compact="0" outline="0" dragToRow="0" dragToCol="0" dragToPage="0" showAll="0" defaultSubtotal="0"/>
    <pivotField compact="0" outline="0" dragToRow="0" dragToCol="0" dragToPage="0" showAll="0" defaultSubtotal="0"/>
    <pivotField compact="0" outline="0" dragToRow="0" dragToCol="0" dragToPage="0" showAll="0" defaultSubtotal="0"/>
    <pivotField compact="0" outline="0" dragToRow="0" dragToCol="0" dragToPage="0" showAll="0" defaultSubtotal="0"/>
    <pivotField compact="0" outline="0" dragToRow="0" dragToCol="0" dragToPage="0" showAll="0" defaultSubtotal="0"/>
    <pivotField compact="0" outline="0" dragToRow="0" dragToCol="0" dragToPage="0" showAll="0" defaultSubtotal="0"/>
    <pivotField compact="0" outline="0" dragToRow="0" dragToCol="0" dragToPage="0" showAll="0" defaultSubtotal="0"/>
    <pivotField dataField="1" compact="0" outline="0" dragToRow="0" dragToCol="0" dragToPage="0" showAll="0" defaultSubtotal="0"/>
  </pivotFields>
  <rowFields count="2">
    <field x="0"/>
    <field x="252"/>
  </rowFields>
  <rowItems count="7">
    <i>
      <x v="9"/>
      <x/>
    </i>
    <i>
      <x v="10"/>
      <x/>
    </i>
    <i>
      <x v="11"/>
      <x/>
    </i>
    <i>
      <x v="12"/>
      <x/>
    </i>
    <i>
      <x v="13"/>
      <x/>
    </i>
    <i>
      <x v="14"/>
      <x/>
    </i>
    <i t="grand">
      <x/>
    </i>
  </rowItems>
  <colFields count="1">
    <field x="-2"/>
  </colFields>
  <colItems count="8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</colItems>
  <dataFields count="8">
    <dataField name="  Muestra" fld="188" baseField="0" baseItem="0" numFmtId="1"/>
    <dataField name="M. Critica" fld="189" baseField="0" baseItem="0"/>
    <dataField name="% M.Criticas" fld="320" baseField="0" baseItem="0" numFmtId="9"/>
    <dataField name="PENC " fld="127" subtotal="average" baseField="4" baseItem="13" numFmtId="10"/>
    <dataField name=" PECUF" fld="158" subtotal="average" baseField="74" baseItem="0" numFmtId="10"/>
    <dataField name=" PECNE" fld="174" subtotal="average" baseField="258" baseItem="1" numFmtId="10"/>
    <dataField name=" PECCUM" fld="182" subtotal="average" baseField="74" baseItem="0" numFmtId="10"/>
    <dataField name="SCORE" fld="187" subtotal="average" baseField="5" baseItem="0" numFmtId="164"/>
  </dataFields>
  <formats count="102">
    <format dxfId="7765">
      <pivotArea outline="0" collapsedLevelsAreSubtotals="1" fieldPosition="0">
        <references count="1">
          <reference field="4294967294" count="1" selected="0">
            <x v="4"/>
          </reference>
        </references>
      </pivotArea>
    </format>
    <format dxfId="7764">
      <pivotArea outline="0" collapsedLevelsAreSubtotals="1" fieldPosition="0">
        <references count="1">
          <reference field="4294967294" count="1" selected="0">
            <x v="4"/>
          </reference>
        </references>
      </pivotArea>
    </format>
    <format dxfId="7763">
      <pivotArea outline="0" collapsedLevelsAreSubtotals="1" fieldPosition="0">
        <references count="1">
          <reference field="4294967294" count="1" selected="0">
            <x v="4"/>
          </reference>
        </references>
      </pivotArea>
    </format>
    <format dxfId="7762">
      <pivotArea outline="0" collapsedLevelsAreSubtotals="1" fieldPosition="0">
        <references count="1">
          <reference field="4294967294" count="1" selected="0">
            <x v="4"/>
          </reference>
        </references>
      </pivotArea>
    </format>
    <format dxfId="7761">
      <pivotArea outline="0" collapsedLevelsAreSubtotals="1" fieldPosition="0">
        <references count="1">
          <reference field="4294967294" count="1" selected="0">
            <x v="4"/>
          </reference>
        </references>
      </pivotArea>
    </format>
    <format dxfId="7760">
      <pivotArea outline="0" collapsedLevelsAreSubtotals="1" fieldPosition="0">
        <references count="1">
          <reference field="4294967294" count="1" selected="0">
            <x v="4"/>
          </reference>
        </references>
      </pivotArea>
    </format>
    <format dxfId="7759">
      <pivotArea outline="0" collapsedLevelsAreSubtotals="1" fieldPosition="0">
        <references count="1">
          <reference field="4294967294" count="1" selected="0">
            <x v="4"/>
          </reference>
        </references>
      </pivotArea>
    </format>
    <format dxfId="7758">
      <pivotArea outline="0" collapsedLevelsAreSubtotals="1" fieldPosition="0">
        <references count="1">
          <reference field="4294967294" count="1" selected="0">
            <x v="4"/>
          </reference>
        </references>
      </pivotArea>
    </format>
    <format dxfId="7757">
      <pivotArea outline="0" collapsedLevelsAreSubtotals="1" fieldPosition="0">
        <references count="1">
          <reference field="4294967294" count="1" selected="0">
            <x v="6"/>
          </reference>
        </references>
      </pivotArea>
    </format>
    <format dxfId="7756">
      <pivotArea outline="0" collapsedLevelsAreSubtotals="1" fieldPosition="0">
        <references count="1">
          <reference field="4294967294" count="1" selected="0">
            <x v="6"/>
          </reference>
        </references>
      </pivotArea>
    </format>
    <format dxfId="7755">
      <pivotArea outline="0" collapsedLevelsAreSubtotals="1" fieldPosition="0">
        <references count="1">
          <reference field="4294967294" count="1" selected="0">
            <x v="6"/>
          </reference>
        </references>
      </pivotArea>
    </format>
    <format dxfId="7754">
      <pivotArea outline="0" collapsedLevelsAreSubtotals="1" fieldPosition="0">
        <references count="1">
          <reference field="4294967294" count="1" selected="0">
            <x v="6"/>
          </reference>
        </references>
      </pivotArea>
    </format>
    <format dxfId="7753">
      <pivotArea outline="0" collapsedLevelsAreSubtotals="1" fieldPosition="0">
        <references count="1">
          <reference field="4294967294" count="1" selected="0">
            <x v="6"/>
          </reference>
        </references>
      </pivotArea>
    </format>
    <format dxfId="7752">
      <pivotArea outline="0" collapsedLevelsAreSubtotals="1" fieldPosition="0">
        <references count="1">
          <reference field="4294967294" count="1" selected="0">
            <x v="6"/>
          </reference>
        </references>
      </pivotArea>
    </format>
    <format dxfId="7751">
      <pivotArea dataOnly="0" labelOnly="1" outline="0" fieldPosition="0">
        <references count="1">
          <reference field="4294967294" count="2">
            <x v="4"/>
            <x v="6"/>
          </reference>
        </references>
      </pivotArea>
    </format>
    <format dxfId="7750">
      <pivotArea dataOnly="0" labelOnly="1" outline="0" fieldPosition="0">
        <references count="1">
          <reference field="4294967294" count="2">
            <x v="4"/>
            <x v="6"/>
          </reference>
        </references>
      </pivotArea>
    </format>
    <format dxfId="7749">
      <pivotArea dataOnly="0" labelOnly="1" grandRow="1" outline="0" fieldPosition="0"/>
    </format>
    <format dxfId="7748">
      <pivotArea dataOnly="0" labelOnly="1" grandRow="1" outline="0" fieldPosition="0"/>
    </format>
    <format dxfId="7747">
      <pivotArea outline="0" collapsedLevelsAreSubtotals="1" fieldPosition="0"/>
    </format>
    <format dxfId="7746">
      <pivotArea dataOnly="0" labelOnly="1" grandRow="1" outline="0" fieldPosition="0"/>
    </format>
    <format dxfId="7745">
      <pivotArea grandRow="1" outline="0" collapsedLevelsAreSubtotals="1" fieldPosition="0"/>
    </format>
    <format dxfId="7744">
      <pivotArea dataOnly="0" labelOnly="1" outline="0" fieldPosition="0">
        <references count="1">
          <reference field="4294967294" count="2">
            <x v="4"/>
            <x v="6"/>
          </reference>
        </references>
      </pivotArea>
    </format>
    <format dxfId="7743">
      <pivotArea type="all" dataOnly="0" outline="0" fieldPosition="0"/>
    </format>
    <format dxfId="7742">
      <pivotArea outline="0" collapsedLevelsAreSubtotals="1" fieldPosition="0"/>
    </format>
    <format dxfId="7741">
      <pivotArea dataOnly="0" labelOnly="1" grandRow="1" outline="0" fieldPosition="0"/>
    </format>
    <format dxfId="7740">
      <pivotArea dataOnly="0" labelOnly="1" outline="0" fieldPosition="0">
        <references count="1">
          <reference field="4294967294" count="2">
            <x v="4"/>
            <x v="6"/>
          </reference>
        </references>
      </pivotArea>
    </format>
    <format dxfId="7739">
      <pivotArea type="all" dataOnly="0" outline="0" fieldPosition="0"/>
    </format>
    <format dxfId="7738">
      <pivotArea outline="0" collapsedLevelsAreSubtotals="1" fieldPosition="0"/>
    </format>
    <format dxfId="7737">
      <pivotArea dataOnly="0" labelOnly="1" grandRow="1" outline="0" fieldPosition="0"/>
    </format>
    <format dxfId="7736">
      <pivotArea dataOnly="0" labelOnly="1" outline="0" fieldPosition="0">
        <references count="1">
          <reference field="4294967294" count="2">
            <x v="4"/>
            <x v="6"/>
          </reference>
        </references>
      </pivotArea>
    </format>
    <format dxfId="7735">
      <pivotArea type="all" dataOnly="0" outline="0" fieldPosition="0"/>
    </format>
    <format dxfId="7734">
      <pivotArea outline="0" collapsedLevelsAreSubtotals="1" fieldPosition="0"/>
    </format>
    <format dxfId="7733">
      <pivotArea dataOnly="0" labelOnly="1" grandRow="1" outline="0" fieldPosition="0"/>
    </format>
    <format dxfId="7732">
      <pivotArea dataOnly="0" labelOnly="1" outline="0" fieldPosition="0">
        <references count="1">
          <reference field="4294967294" count="2">
            <x v="4"/>
            <x v="6"/>
          </reference>
        </references>
      </pivotArea>
    </format>
    <format dxfId="7731">
      <pivotArea outline="0" collapsedLevelsAreSubtotals="1" fieldPosition="0"/>
    </format>
    <format dxfId="7730">
      <pivotArea dataOnly="0" labelOnly="1" grandRow="1" outline="0" fieldPosition="0"/>
    </format>
    <format dxfId="7729">
      <pivotArea outline="0" collapsedLevelsAreSubtotals="1" fieldPosition="0"/>
    </format>
    <format dxfId="7728">
      <pivotArea dataOnly="0" labelOnly="1" grandRow="1" outline="0" fieldPosition="0"/>
    </format>
    <format dxfId="7727">
      <pivotArea outline="0" collapsedLevelsAreSubtotals="1" fieldPosition="0"/>
    </format>
    <format dxfId="7726">
      <pivotArea dataOnly="0" labelOnly="1" grandRow="1" outline="0" fieldPosition="0"/>
    </format>
    <format dxfId="7725">
      <pivotArea outline="0" collapsedLevelsAreSubtotals="1" fieldPosition="0"/>
    </format>
    <format dxfId="7724">
      <pivotArea dataOnly="0" labelOnly="1" grandRow="1" outline="0" fieldPosition="0"/>
    </format>
    <format dxfId="7723">
      <pivotArea outline="0" collapsedLevelsAreSubtotals="1" fieldPosition="0">
        <references count="1">
          <reference field="4294967294" count="1" selected="0">
            <x v="4"/>
          </reference>
        </references>
      </pivotArea>
    </format>
    <format dxfId="7722">
      <pivotArea dataOnly="0" labelOnly="1" grandRow="1" outline="0" fieldPosition="0"/>
    </format>
    <format dxfId="7721">
      <pivotArea outline="0" collapsedLevelsAreSubtotals="1" fieldPosition="0">
        <references count="1">
          <reference field="4294967294" count="1" selected="0">
            <x v="4"/>
          </reference>
        </references>
      </pivotArea>
    </format>
    <format dxfId="7720">
      <pivotArea dataOnly="0" labelOnly="1" grandRow="1" outline="0" fieldPosition="0"/>
    </format>
    <format dxfId="7719">
      <pivotArea outline="0" collapsedLevelsAreSubtotals="1" fieldPosition="0"/>
    </format>
    <format dxfId="7718">
      <pivotArea dataOnly="0" labelOnly="1" grandRow="1" outline="0" fieldPosition="0"/>
    </format>
    <format dxfId="7717">
      <pivotArea outline="0" collapsedLevelsAreSubtotals="1" fieldPosition="0"/>
    </format>
    <format dxfId="7716">
      <pivotArea dataOnly="0" labelOnly="1" grandRow="1" outline="0" fieldPosition="0"/>
    </format>
    <format dxfId="7715">
      <pivotArea outline="0" collapsedLevelsAreSubtotals="1" fieldPosition="0"/>
    </format>
    <format dxfId="7714">
      <pivotArea dataOnly="0" labelOnly="1" grandRow="1" outline="0" fieldPosition="0"/>
    </format>
    <format dxfId="7713">
      <pivotArea outline="0" collapsedLevelsAreSubtotals="1" fieldPosition="0"/>
    </format>
    <format dxfId="7712">
      <pivotArea dataOnly="0" labelOnly="1" grandRow="1" outline="0" fieldPosition="0"/>
    </format>
    <format dxfId="7711">
      <pivotArea outline="0" collapsedLevelsAreSubtotals="1" fieldPosition="0"/>
    </format>
    <format dxfId="7710">
      <pivotArea dataOnly="0" labelOnly="1" grandRow="1" outline="0" fieldPosition="0"/>
    </format>
    <format dxfId="7709">
      <pivotArea type="all" dataOnly="0" outline="0" fieldPosition="0"/>
    </format>
    <format dxfId="7708">
      <pivotArea outline="0" collapsedLevelsAreSubtotals="1" fieldPosition="0"/>
    </format>
    <format dxfId="7707">
      <pivotArea dataOnly="0" labelOnly="1" grandRow="1" outline="0" fieldPosition="0"/>
    </format>
    <format dxfId="7706">
      <pivotArea dataOnly="0" labelOnly="1" outline="0" fieldPosition="0">
        <references count="1">
          <reference field="4294967294" count="2">
            <x v="4"/>
            <x v="6"/>
          </reference>
        </references>
      </pivotArea>
    </format>
    <format dxfId="7705">
      <pivotArea dataOnly="0" labelOnly="1" outline="0" fieldPosition="0">
        <references count="1">
          <reference field="4294967294" count="2">
            <x v="4"/>
            <x v="6"/>
          </reference>
        </references>
      </pivotArea>
    </format>
    <format dxfId="7704">
      <pivotArea dataOnly="0" labelOnly="1" outline="0" fieldPosition="0">
        <references count="1">
          <reference field="4294967294" count="2">
            <x v="4"/>
            <x v="6"/>
          </reference>
        </references>
      </pivotArea>
    </format>
    <format dxfId="7703">
      <pivotArea dataOnly="0" labelOnly="1" outline="0" fieldPosition="0">
        <references count="1">
          <reference field="4294967294" count="2">
            <x v="4"/>
            <x v="6"/>
          </reference>
        </references>
      </pivotArea>
    </format>
    <format dxfId="7702">
      <pivotArea grandRow="1" outline="0" collapsedLevelsAreSubtotals="1" fieldPosition="0"/>
    </format>
    <format dxfId="7701">
      <pivotArea dataOnly="0" labelOnly="1" grandRow="1" outline="0" fieldPosition="0"/>
    </format>
    <format dxfId="7700">
      <pivotArea dataOnly="0" labelOnly="1" grandRow="1" outline="0" fieldPosition="0"/>
    </format>
    <format dxfId="7699">
      <pivotArea type="all" dataOnly="0" outline="0" fieldPosition="0"/>
    </format>
    <format dxfId="7698">
      <pivotArea outline="0" collapsedLevelsAreSubtotals="1" fieldPosition="0"/>
    </format>
    <format dxfId="7697">
      <pivotArea dataOnly="0" labelOnly="1" grandRow="1" outline="0" fieldPosition="0"/>
    </format>
    <format dxfId="7696">
      <pivotArea dataOnly="0" labelOnly="1" outline="0" fieldPosition="0">
        <references count="1">
          <reference field="4294967294" count="2">
            <x v="4"/>
            <x v="6"/>
          </reference>
        </references>
      </pivotArea>
    </format>
    <format dxfId="7695">
      <pivotArea type="all" dataOnly="0" outline="0" fieldPosition="0"/>
    </format>
    <format dxfId="7694">
      <pivotArea outline="0" collapsedLevelsAreSubtotals="1" fieldPosition="0"/>
    </format>
    <format dxfId="7693">
      <pivotArea dataOnly="0" labelOnly="1" grandRow="1" outline="0" fieldPosition="0"/>
    </format>
    <format dxfId="7692">
      <pivotArea dataOnly="0" labelOnly="1" outline="0" fieldPosition="0">
        <references count="1">
          <reference field="4294967294" count="2">
            <x v="4"/>
            <x v="6"/>
          </reference>
        </references>
      </pivotArea>
    </format>
    <format dxfId="7691">
      <pivotArea outline="0" collapsedLevelsAreSubtotals="1" fieldPosition="0"/>
    </format>
    <format dxfId="7690">
      <pivotArea dataOnly="0" labelOnly="1" grandRow="1" outline="0" offset="IV256" fieldPosition="0"/>
    </format>
    <format dxfId="7689">
      <pivotArea dataOnly="0" labelOnly="1" outline="0" fieldPosition="0">
        <references count="1">
          <reference field="4294967294" count="2">
            <x v="4"/>
            <x v="6"/>
          </reference>
        </references>
      </pivotArea>
    </format>
    <format dxfId="7688">
      <pivotArea dataOnly="0" labelOnly="1" outline="0" fieldPosition="0">
        <references count="1">
          <reference field="4294967294" count="2">
            <x v="4"/>
            <x v="6"/>
          </reference>
        </references>
      </pivotArea>
    </format>
    <format dxfId="7687">
      <pivotArea field="4" grandRow="1" outline="0">
        <references count="1">
          <reference field="4294967294" count="2" selected="0">
            <x v="4"/>
            <x v="6"/>
          </reference>
        </references>
      </pivotArea>
    </format>
    <format dxfId="7686">
      <pivotArea outline="0" fieldPosition="0">
        <references count="1">
          <reference field="4294967294" count="2" selected="0">
            <x v="4"/>
            <x v="6"/>
          </reference>
        </references>
      </pivotArea>
    </format>
    <format dxfId="7685">
      <pivotArea outline="0" fieldPosition="0">
        <references count="1">
          <reference field="4294967294" count="2" selected="0">
            <x v="4"/>
            <x v="6"/>
          </reference>
        </references>
      </pivotArea>
    </format>
    <format dxfId="7684">
      <pivotArea outline="0" fieldPosition="0">
        <references count="1">
          <reference field="4294967294" count="1" selected="0">
            <x v="3"/>
          </reference>
        </references>
      </pivotArea>
    </format>
    <format dxfId="7683">
      <pivotArea dataOnly="0" labelOnly="1" outline="0" fieldPosition="0">
        <references count="1">
          <reference field="4294967294" count="1">
            <x v="3"/>
          </reference>
        </references>
      </pivotArea>
    </format>
    <format dxfId="7682">
      <pivotArea outline="0" fieldPosition="0">
        <references count="1">
          <reference field="4294967294" count="1" selected="0">
            <x v="3"/>
          </reference>
        </references>
      </pivotArea>
    </format>
    <format dxfId="7681">
      <pivotArea outline="0" fieldPosition="0">
        <references count="1">
          <reference field="4294967294" count="1" selected="0">
            <x v="3"/>
          </reference>
        </references>
      </pivotArea>
    </format>
    <format dxfId="7680">
      <pivotArea outline="0" fieldPosition="0">
        <references count="1">
          <reference field="4294967294" count="1" selected="0">
            <x v="7"/>
          </reference>
        </references>
      </pivotArea>
    </format>
    <format dxfId="7679">
      <pivotArea outline="0" fieldPosition="0">
        <references count="1">
          <reference field="4294967294" count="1" selected="0">
            <x v="7"/>
          </reference>
        </references>
      </pivotArea>
    </format>
    <format dxfId="7678">
      <pivotArea outline="0" fieldPosition="0">
        <references count="1">
          <reference field="4294967294" count="1" selected="0">
            <x v="7"/>
          </reference>
        </references>
      </pivotArea>
    </format>
    <format dxfId="7677">
      <pivotArea type="all" dataOnly="0" outline="0" fieldPosition="0"/>
    </format>
    <format dxfId="7676">
      <pivotArea outline="0" collapsedLevelsAreSubtotals="1" fieldPosition="0"/>
    </format>
    <format dxfId="7675">
      <pivotArea field="252" type="button" dataOnly="0" labelOnly="1" outline="0" axis="axisRow" fieldPosition="1"/>
    </format>
    <format dxfId="7674">
      <pivotArea dataOnly="0" labelOnly="1" grandRow="1" outline="0" fieldPosition="0"/>
    </format>
    <format dxfId="7673">
      <pivotArea dataOnly="0" labelOnly="1" outline="0" fieldPosition="0">
        <references count="1">
          <reference field="4294967294" count="4">
            <x v="3"/>
            <x v="4"/>
            <x v="6"/>
            <x v="7"/>
          </reference>
        </references>
      </pivotArea>
    </format>
    <format dxfId="7672">
      <pivotArea outline="0" fieldPosition="0">
        <references count="1">
          <reference field="4294967294" count="1" selected="0">
            <x v="1"/>
          </reference>
        </references>
      </pivotArea>
    </format>
    <format dxfId="7671">
      <pivotArea outline="0" fieldPosition="0">
        <references count="1">
          <reference field="4294967294" count="1" selected="0">
            <x v="2"/>
          </reference>
        </references>
      </pivotArea>
    </format>
    <format dxfId="7670">
      <pivotArea outline="0" fieldPosition="0">
        <references count="1">
          <reference field="4294967294" count="1" selected="0">
            <x v="2"/>
          </reference>
        </references>
      </pivotArea>
    </format>
    <format dxfId="7669">
      <pivotArea outline="0" collapsedLevelsAreSubtotals="1" fieldPosition="0"/>
    </format>
    <format dxfId="7668">
      <pivotArea field="252" type="button" dataOnly="0" labelOnly="1" outline="0" axis="axisRow" fieldPosition="1"/>
    </format>
    <format dxfId="7667">
      <pivotArea dataOnly="0" labelOnly="1" outline="0" fieldPosition="0">
        <references count="1">
          <reference field="4294967294" count="6">
            <x v="1"/>
            <x v="2"/>
            <x v="3"/>
            <x v="4"/>
            <x v="6"/>
            <x v="7"/>
          </reference>
        </references>
      </pivotArea>
    </format>
    <format dxfId="7666">
      <pivotArea outline="0" fieldPosition="0">
        <references count="1">
          <reference field="4294967294" count="1" selected="0">
            <x v="5"/>
          </reference>
        </references>
      </pivotArea>
    </format>
    <format dxfId="7665">
      <pivotArea dataOnly="0" labelOnly="1" outline="0" fieldPosition="0">
        <references count="1">
          <reference field="4294967294" count="1">
            <x v="5"/>
          </reference>
        </references>
      </pivotArea>
    </format>
    <format dxfId="7664">
      <pivotArea dataOnly="0" outline="0" fieldPosition="0">
        <references count="1">
          <reference field="4294967294" count="1">
            <x v="0"/>
          </reference>
        </references>
      </pivotArea>
    </format>
  </formats>
  <conditionalFormats count="2">
    <conditionalFormat priority="4">
      <pivotAreas count="1">
        <pivotArea type="data" outline="0" collapsedLevelsAreSubtotals="1" fieldPosition="0">
          <references count="1">
            <reference field="4294967294" count="1" selected="0">
              <x v="7"/>
            </reference>
          </references>
        </pivotArea>
      </pivotAreas>
    </conditionalFormat>
    <conditionalFormat priority="3">
      <pivotAreas count="1">
        <pivotArea type="data" outline="0" collapsedLevelsAreSubtotals="1" fieldPosition="0">
          <references count="1">
            <reference field="4294967294" count="1" selected="0">
              <x v="7"/>
            </reference>
          </references>
        </pivotArea>
      </pivotAreas>
    </conditionalFormat>
  </conditionalFormats>
  <pivotTableStyleInfo name="PivotStyleMedium10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300-000000000000}" name="Resumen Agente" cacheId="92" dataOnRows="1" applyNumberFormats="0" applyBorderFormats="0" applyFontFormats="0" applyPatternFormats="0" applyAlignmentFormats="0" applyWidthHeightFormats="1" dataCaption="Agente unico" updatedVersion="7" minRefreshableVersion="3" useAutoFormatting="1" itemPrintTitles="1" createdVersion="6" indent="0" outline="1" outlineData="1" multipleFieldFilters="0">
  <location ref="O10:P12" firstHeaderRow="1" firstDataRow="1" firstDataCol="1"/>
  <pivotFields count="321">
    <pivotField showAll="0"/>
    <pivotField showAll="0"/>
    <pivotField numFmtId="14" showAll="0"/>
    <pivotField showAll="0"/>
    <pivotField showAll="0">
      <items count="27">
        <item m="1" x="5"/>
        <item m="1" x="9"/>
        <item m="1" x="22"/>
        <item m="1" x="20"/>
        <item m="1" x="13"/>
        <item m="1" x="19"/>
        <item m="1" x="17"/>
        <item m="1" x="18"/>
        <item m="1" x="21"/>
        <item m="1" x="14"/>
        <item m="1" x="11"/>
        <item m="1" x="25"/>
        <item x="1"/>
        <item m="1" x="6"/>
        <item m="1" x="8"/>
        <item m="1" x="24"/>
        <item m="1" x="16"/>
        <item x="0"/>
        <item m="1" x="12"/>
        <item x="2"/>
        <item m="1" x="3"/>
        <item m="1" x="23"/>
        <item m="1" x="7"/>
        <item m="1" x="10"/>
        <item m="1" x="15"/>
        <item m="1" x="4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10" showAll="0"/>
    <pivotField numFmtId="10" showAll="0"/>
    <pivotField numFmtId="10" showAll="0"/>
    <pivotField numFmtId="10" showAll="0" defaultSubtotal="0"/>
    <pivotField numFmtId="10" showAll="0"/>
    <pivotField numFmtId="10" showAll="0"/>
    <pivotField numFmtId="10" showAll="0"/>
    <pivotField numFmtId="10" showAll="0"/>
    <pivotField numFmtId="10" showAll="0" defaultSubtotal="0"/>
    <pivotField numFmtId="10" showAll="0"/>
    <pivotField numFmtId="10" showAll="0"/>
    <pivotField numFmtId="10" showAll="0"/>
    <pivotField numFmtId="10" showAll="0"/>
    <pivotField numFmtId="10" showAll="0" defaultSubtotal="0"/>
    <pivotField numFmtId="10" showAll="0"/>
    <pivotField numFmtId="10" showAll="0" defaultSubtotal="0"/>
    <pivotField numFmtId="10" showAll="0" defaultSubtota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numFmtId="10" showAll="0"/>
    <pivotField numFmtId="164" showAll="0"/>
    <pivotField numFmtId="10" showAll="0" defaultSubtotal="0"/>
    <pivotField numFmtId="10" showAll="0"/>
    <pivotField numFmtId="10" showAll="0" defaultSubtotal="0"/>
    <pivotField numFmtI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 defaultSubtotal="0">
      <items count="14">
        <item h="1" m="1" x="7"/>
        <item h="1" m="1" x="6"/>
        <item h="1" m="1" x="13"/>
        <item h="1" m="1" x="8"/>
        <item h="1" m="1" x="10"/>
        <item x="1"/>
        <item h="1" m="1" x="3"/>
        <item h="1" x="0"/>
        <item h="1" m="1" x="4"/>
        <item h="1" m="1" x="11"/>
        <item h="1" m="1" x="12"/>
        <item h="1" m="1" x="5"/>
        <item h="1" m="1" x="9"/>
        <item h="1" m="1" x="2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>
      <items count="2">
        <item x="0"/>
        <item x="1"/>
      </items>
    </pivotField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1">
    <field x="-2"/>
  </rowFields>
  <rowItems count="2">
    <i>
      <x/>
    </i>
    <i i="1">
      <x v="1"/>
    </i>
  </rowItems>
  <colItems count="1">
    <i/>
  </colItems>
  <dataFields count="2">
    <dataField name="Agent único" fld="243" baseField="0" baseItem="1"/>
    <dataField name="Muestra Critica " fld="189" baseField="0" baseItem="0"/>
  </dataFields>
  <formats count="5">
    <format dxfId="7770">
      <pivotArea type="all" dataOnly="0" outline="0" fieldPosition="0"/>
    </format>
    <format dxfId="7769">
      <pivotArea outline="0" collapsedLevelsAreSubtotals="1" fieldPosition="0"/>
    </format>
    <format dxfId="7768">
      <pivotArea outline="0" collapsedLevelsAreSubtotals="1" fieldPosition="0"/>
    </format>
    <format dxfId="7767">
      <pivotArea field="-2" type="button" dataOnly="0" labelOnly="1" outline="0" axis="axisRow" fieldPosition="0"/>
    </format>
    <format dxfId="7766">
      <pivotArea dataOnly="0" labelOnly="1" grandCol="1" outline="0" axis="axisCol" fieldPosition="0"/>
    </format>
  </formats>
  <pivotTableStyleInfo name="PivotStyleMedium10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400-000000000000}" name="TablaDinámica3" cacheId="92" dataOnRows="1" applyNumberFormats="0" applyBorderFormats="0" applyFontFormats="0" applyPatternFormats="0" applyAlignmentFormats="0" applyWidthHeightFormats="1" dataCaption="Semana" updatedVersion="7" minRefreshableVersion="3" useAutoFormatting="1" itemPrintTitles="1" createdVersion="6" indent="0" outline="1" outlineData="1" multipleFieldFilters="0" colHeaderCaption="Etiquetas">
  <location ref="B14:C86" firstHeaderRow="1" firstDataRow="1" firstDataCol="1"/>
  <pivotFields count="321">
    <pivotField showAll="0"/>
    <pivotField showAll="0"/>
    <pivotField numFmtId="14" showAll="0"/>
    <pivotField showAll="0"/>
    <pivotField showAll="0">
      <items count="27">
        <item m="1" x="8"/>
        <item m="1" x="13"/>
        <item m="1" x="16"/>
        <item m="1" x="20"/>
        <item m="1" x="12"/>
        <item m="1" x="6"/>
        <item m="1" x="21"/>
        <item m="1" x="4"/>
        <item m="1" x="14"/>
        <item m="1" x="10"/>
        <item m="1" x="23"/>
        <item m="1" x="15"/>
        <item m="1" x="3"/>
        <item m="1" x="9"/>
        <item m="1" x="11"/>
        <item m="1" x="5"/>
        <item m="1" x="18"/>
        <item m="1" x="25"/>
        <item m="1" x="7"/>
        <item m="1" x="17"/>
        <item m="1" x="22"/>
        <item m="1" x="24"/>
        <item m="1" x="19"/>
        <item x="1"/>
        <item x="0"/>
        <item x="2"/>
        <item t="default"/>
      </items>
    </pivotField>
    <pivotField showAll="0"/>
    <pivotField showAll="0"/>
    <pivotField name="Semana2" showAll="0"/>
    <pivotField showAll="0"/>
    <pivotField name="¿El agente realiza despedida corporativa? 2" showAll="0"/>
    <pivotField name="¿El agente personaliza la interacción? 2" showAll="0"/>
    <pivotField name="¿El agente cumple con la identificación formal y profesional? 2" showAll="0"/>
    <pivotField name="¿El agente demuestra escucha activa durante la gestión? 2" showAll="0"/>
    <pivotField name="¿El agente evita interrumpir al cliente? 2" showAll="0"/>
    <pivotField name="¿El agente se comunica con claridad y estructura? 2" showAll="0"/>
    <pivotField name="¿El agente parafrasea para confirmar entendimiento? 2" showAll="0"/>
    <pivotField name="¿El agente muestra entusiasmo genuino? 2" showAll="0"/>
    <pivotField name="¿El agente adapta su comunicación al cliente? 2" showAll="0"/>
    <pivotField name="¿El agente transmite confianza durante la llamada? 2" showAll="0"/>
    <pivotField name="¿El agente utiliza el plural corporativo correctamente? 2" showAll="0"/>
    <pivotField name="¿El agente gestiona bien el tiempo de la interacción? 2" showAll="0"/>
    <pivotField name="¿El agente informa correctamente sobre los centros de pago? 2" showAll="0"/>
    <pivotField name="¿El agente comunica claramente el precio mensual más impuestos? 2" showAll="0"/>
    <pivotField name="¿El agente informa sobre cargos adicionales relacionados? 2" showAll="0"/>
    <pivotField name="¿El agente explica el ciclo de facturación adecuadamente? 2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numFmtId="10" showAll="0"/>
    <pivotField dataField="1" numFmtId="10" showAll="0"/>
    <pivotField dataField="1" numFmtId="10" showAll="0"/>
    <pivotField dataField="1" numFmtId="10" showAll="0" defaultSubtotal="0"/>
    <pivotField dataField="1" numFmtId="10" showAll="0"/>
    <pivotField dataField="1" numFmtId="10" showAll="0"/>
    <pivotField dataField="1" numFmtId="10" showAll="0"/>
    <pivotField dataField="1" numFmtId="10" showAll="0"/>
    <pivotField dataField="1" numFmtId="10" showAll="0" defaultSubtotal="0"/>
    <pivotField dataField="1" numFmtId="10" showAll="0"/>
    <pivotField dataField="1" numFmtId="10" showAll="0"/>
    <pivotField dataField="1" numFmtId="10" showAll="0"/>
    <pivotField dataField="1" numFmtId="10" showAll="0"/>
    <pivotField dataField="1" numFmtId="10" showAll="0" defaultSubtotal="0"/>
    <pivotField dataField="1" numFmtId="10" showAll="0"/>
    <pivotField dataField="1" numFmtId="10" showAll="0" defaultSubtotal="0"/>
    <pivotField dataField="1" numFmtId="10" showAll="0" defaultSubtotal="0"/>
    <pivotField dataField="1" numFmtId="10" showAll="0"/>
    <pivotField dataField="1" numFmtId="10" showAll="0"/>
    <pivotField dataField="1" numFmtId="10" showAll="0"/>
    <pivotField dataField="1" numFmtId="10" showAll="0"/>
    <pivotField dataField="1" numFmtId="10" showAll="0"/>
    <pivotField dataField="1" numFmtId="10" showAll="0"/>
    <pivotField dataField="1" numFmtId="10" showAll="0"/>
    <pivotField dataField="1" numFmtId="10" showAll="0"/>
    <pivotField dataField="1" numFmtId="10" showAll="0"/>
    <pivotField dataField="1" numFmtId="10" showAll="0"/>
    <pivotField dataField="1" numFmtId="10" showAll="0"/>
    <pivotField dataField="1" numFmtId="10" showAll="0"/>
    <pivotField dataField="1" numFmtId="10" showAll="0"/>
    <pivotField dataField="1" numFmtId="10" showAll="0"/>
    <pivotField dataField="1" numFmtId="10" showAll="0"/>
    <pivotField dataField="1" numFmtId="10" showAll="0"/>
    <pivotField dataField="1" numFmtId="10" showAll="0"/>
    <pivotField dataField="1" numFmtId="10" showAll="0"/>
    <pivotField dataField="1" numFmtId="10" showAll="0"/>
    <pivotField dataField="1" numFmtId="10" showAll="0"/>
    <pivotField dataField="1" numFmtId="10" showAll="0"/>
    <pivotField dataField="1" numFmtId="10" showAll="0"/>
    <pivotField dataField="1" numFmtId="10" showAll="0"/>
    <pivotField dataField="1" numFmtId="10" showAll="0"/>
    <pivotField dataField="1" numFmtId="10" showAll="0"/>
    <pivotField dataField="1" numFmtId="10" showAll="0"/>
    <pivotField dataField="1" numFmtId="10" showAll="0"/>
    <pivotField dataField="1" numFmtId="10" showAll="0"/>
    <pivotField dataField="1" numFmtId="10" showAll="0"/>
    <pivotField dataField="1" numFmtId="10" showAll="0"/>
    <pivotField dataField="1" showAll="0"/>
    <pivotField dataField="1" numFmtId="10" showAll="0"/>
    <pivotField dataField="1" numFmtId="10" showAll="0"/>
    <pivotField dataField="1" numFmtId="10" showAll="0"/>
    <pivotField dataField="1" numFmtId="10" showAll="0"/>
    <pivotField dataField="1" numFmtId="10" showAll="0"/>
    <pivotField dataField="1" numFmtId="10" showAll="0"/>
    <pivotField dataField="1" numFmtId="10" showAll="0"/>
    <pivotField dataField="1" numFmtId="10" showAll="0"/>
    <pivotField dataField="1" numFmtId="10" showAll="0"/>
    <pivotField dataField="1" numFmtId="10" showAll="0"/>
    <pivotField dataField="1" numFmtId="10" showAll="0"/>
    <pivotField dataField="1" numFmtId="10" showAll="0"/>
    <pivotField dataField="1" numFmtId="10" showAll="0"/>
    <pivotField dataField="1" numFmtId="10" showAll="0"/>
    <pivotField dataField="1" numFmtId="10" showAll="0"/>
    <pivotField dataField="1" numFmtId="10" showAll="0"/>
    <pivotField dataField="1" numFmtId="10" showAll="0"/>
    <pivotField dataField="1" numFmtId="10" showAll="0"/>
    <pivotField dataField="1" numFmtId="10" showAll="0"/>
    <pivotField dataField="1" numFmtId="10" showAll="0"/>
    <pivotField dataField="1" numFmtId="10" showAll="0"/>
    <pivotField dataField="1" numFmtId="10" showAll="0"/>
    <pivotField dataField="1" numFmtId="10" showAll="0"/>
    <pivotField dataField="1" showAll="0"/>
    <pivotField numFmtId="10" showAll="0"/>
    <pivotField numFmtId="164" showAll="0"/>
    <pivotField numFmtId="10" showAll="0" defaultSubtotal="0"/>
    <pivotField numFmtId="10" showAll="0"/>
    <pivotField numFmtId="10" showAll="0" defaultSubtotal="0"/>
    <pivotField numFmtI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>
      <items count="15">
        <item h="1" m="1" x="7"/>
        <item h="1" m="1" x="6"/>
        <item h="1" m="1" x="13"/>
        <item h="1" m="1" x="8"/>
        <item h="1" m="1" x="10"/>
        <item x="1"/>
        <item h="1" m="1" x="3"/>
        <item h="1" x="0"/>
        <item h="1" m="1" x="4"/>
        <item h="1" m="1" x="11"/>
        <item h="1" m="1" x="12"/>
        <item h="1" m="1" x="5"/>
        <item h="1" m="1" x="9"/>
        <item h="1" m="1" x="2"/>
        <item t="default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1">
    <field x="-2"/>
  </rowFields>
  <rowItems count="72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  <i i="17">
      <x v="17"/>
    </i>
    <i i="18">
      <x v="18"/>
    </i>
    <i i="19">
      <x v="19"/>
    </i>
    <i i="20">
      <x v="20"/>
    </i>
    <i i="21">
      <x v="21"/>
    </i>
    <i i="22">
      <x v="22"/>
    </i>
    <i i="23">
      <x v="23"/>
    </i>
    <i i="24">
      <x v="24"/>
    </i>
    <i i="25">
      <x v="25"/>
    </i>
    <i i="26">
      <x v="26"/>
    </i>
    <i i="27">
      <x v="27"/>
    </i>
    <i i="28">
      <x v="28"/>
    </i>
    <i i="29">
      <x v="29"/>
    </i>
    <i i="30">
      <x v="30"/>
    </i>
    <i i="31">
      <x v="31"/>
    </i>
    <i i="32">
      <x v="32"/>
    </i>
    <i i="33">
      <x v="33"/>
    </i>
    <i i="34">
      <x v="34"/>
    </i>
    <i i="35">
      <x v="35"/>
    </i>
    <i i="36">
      <x v="36"/>
    </i>
    <i i="37">
      <x v="37"/>
    </i>
    <i i="38">
      <x v="38"/>
    </i>
    <i i="39">
      <x v="39"/>
    </i>
    <i i="40">
      <x v="40"/>
    </i>
    <i i="41">
      <x v="41"/>
    </i>
    <i i="42">
      <x v="42"/>
    </i>
    <i i="43">
      <x v="43"/>
    </i>
    <i i="44">
      <x v="44"/>
    </i>
    <i i="45">
      <x v="45"/>
    </i>
    <i i="46">
      <x v="46"/>
    </i>
    <i i="47">
      <x v="47"/>
    </i>
    <i i="48">
      <x v="48"/>
    </i>
    <i i="49">
      <x v="49"/>
    </i>
    <i i="50">
      <x v="50"/>
    </i>
    <i i="51">
      <x v="51"/>
    </i>
    <i i="52">
      <x v="52"/>
    </i>
    <i i="53">
      <x v="53"/>
    </i>
    <i i="54">
      <x v="54"/>
    </i>
    <i i="55">
      <x v="55"/>
    </i>
    <i i="56">
      <x v="56"/>
    </i>
    <i i="57">
      <x v="57"/>
    </i>
    <i i="58">
      <x v="58"/>
    </i>
    <i i="59">
      <x v="59"/>
    </i>
    <i i="60">
      <x v="60"/>
    </i>
    <i i="61">
      <x v="61"/>
    </i>
    <i i="62">
      <x v="62"/>
    </i>
    <i i="63">
      <x v="63"/>
    </i>
    <i i="64">
      <x v="64"/>
    </i>
    <i i="65">
      <x v="65"/>
    </i>
    <i i="66">
      <x v="66"/>
    </i>
    <i i="67">
      <x v="67"/>
    </i>
    <i i="68">
      <x v="68"/>
    </i>
    <i i="69">
      <x v="69"/>
    </i>
    <i i="70">
      <x v="70"/>
    </i>
    <i i="71">
      <x v="71"/>
    </i>
  </rowItems>
  <colItems count="1">
    <i/>
  </colItems>
  <dataFields count="72">
    <dataField name="Precisión Error No Crítico " fld="127" subtotal="average" baseField="0" baseItem="3"/>
    <dataField name="Apertura y cierre corporativo Score " fld="114" subtotal="average" baseField="0" baseItem="3"/>
    <dataField name="¿El agente realiza despedida corporativa? " fld="113" subtotal="average" baseField="0" baseItem="3"/>
    <dataField name="¿El agente personaliza la interacción? " fld="112" subtotal="average" baseField="0" baseItem="3"/>
    <dataField name="¿El agente cumple con la identificación formal y profesional? " fld="111" subtotal="average" baseField="0" baseItem="3"/>
    <dataField name="Comunicación comercial Score " fld="119" subtotal="average" baseField="0" baseItem="3"/>
    <dataField name="¿El agente demuestra escucha activa durante la gestión? " fld="115" subtotal="average" baseField="0" baseItem="3"/>
    <dataField name="¿El agente evita interrumpir al cliente? " fld="116" subtotal="average" baseField="0" baseItem="3"/>
    <dataField name="¿El agente se comunica con claridad y estructura? " fld="117" subtotal="average" baseField="0" baseItem="3"/>
    <dataField name="¿El agente parafrasea para confirmar entendimiento? " fld="118" subtotal="average" baseField="0" baseItem="3"/>
    <dataField name="Inteligencia emocional en venta Score " fld="124" subtotal="average" baseField="0" baseItem="3"/>
    <dataField name="¿El agente muestra entusiasmo genuino? " fld="121" subtotal="average" baseField="0" baseItem="3"/>
    <dataField name="¿El agente adapta su comunicación al cliente? " fld="120" subtotal="average" baseField="0" baseItem="3"/>
    <dataField name="¿El agente transmite confianza durante la llamada? " fld="122" subtotal="average" baseField="0" baseItem="3"/>
    <dataField name="¿El agente utiliza el plural corporativo correctamente? " fld="123" subtotal="average" baseField="0" baseItem="3"/>
    <dataField name="Profesionalismo y control de la llamada Score " fld="126" subtotal="average" baseField="0" baseItem="3"/>
    <dataField name="¿El agente mantiene control de la conversación? " fld="125" subtotal="average" baseField="0" baseItem="3"/>
    <dataField name="Precisión Error Crítico Usuario Final " fld="158" subtotal="average" baseField="0" baseItem="3"/>
    <dataField name=" Facturación" fld="132" subtotal="average" baseField="0" baseItem="8"/>
    <dataField name="¿El agente informa correctamente sobre los centros de pago? " fld="128" subtotal="average" baseField="0" baseItem="3"/>
    <dataField name="¿El agente comunica claramente el precio mensual más impuestos? " fld="129" subtotal="average" baseField="0" baseItem="3"/>
    <dataField name="¿El agente informa sobre cargos adicionales relacionados? " fld="130" subtotal="average" baseField="0" baseItem="3"/>
    <dataField name="¿El agente explica el ciclo de facturación adecuadamente? " fld="131" subtotal="average" baseField="0" baseItem="3"/>
    <dataField name=" Presentación de valor del producto" fld="135" subtotal="average" baseField="0" baseItem="8"/>
    <dataField name="¿El agente presenta correctamente los beneficios del producto? " fld="133" subtotal="average" baseField="0" baseItem="3"/>
    <dataField name="¿El agente comunica beneficios emocionales al cliente? " fld="134" subtotal="average" baseField="0" baseItem="3"/>
    <dataField name=" Confirmación Operativa" fld="139" subtotal="average" baseField="0" baseItem="8"/>
    <dataField name="¿El agente realiza un resumen comercial adecuado? " fld="136" subtotal="average" baseField="0" baseItem="3"/>
    <dataField name="¿El agente detalla correctamente los tiempos operativos? " fld="137" subtotal="average" baseField="0" baseItem="0"/>
    <dataField name="¿El agente formaliza correctamente el acuerdo de venta? " fld="138" subtotal="average" baseField="0" baseItem="3"/>
    <dataField name=" Terminos y condiciones" fld="141" subtotal="average" baseField="0" baseItem="8"/>
    <dataField name="¿El agente explica los términos y condiciones del servicio? " fld="140" subtotal="average" baseField="0" baseItem="3"/>
    <dataField name=" Derivación erronea" fld="143" subtotal="average" baseField="0" baseItem="8"/>
    <dataField name="¿El agente identifica correctamente la solicitud del cliente? " fld="142" subtotal="average" baseField="0" baseItem="3"/>
    <dataField name=" Activación errada" fld="147" subtotal="average" baseField="0" baseItem="8"/>
    <dataField name="¿El agente evita activar un servicio diferente al solicitado? " fld="144" subtotal="average" baseField="0" baseItem="3"/>
    <dataField name="¿El agente utiliza correctamente la herramienta de activación? " fld="145" subtotal="average" baseField="0" baseItem="3"/>
    <dataField name=" Trato profesional" fld="150" subtotal="average" baseField="0" baseItem="8"/>
    <dataField name="¿El agente configura adecuadamente el producto contratado? " fld="146" subtotal="average" baseField="0" baseItem="3"/>
    <dataField name="¿El agente mantiene respeto y cordialidad en toda la interacción? " fld="148" subtotal="average" baseField="0" baseItem="3"/>
    <dataField name=" Politicas de activación" fld="157" subtotal="average" baseField="0" baseItem="8"/>
    <dataField name="¿El agente utiliza un lenguaje adecuado y profesional? " fld="149" subtotal="average" baseField="0" baseItem="3"/>
    <dataField name="¿El agente verifica correctamente la cobertura? " fld="151" subtotal="average" baseField="0" baseItem="3"/>
    <dataField name="¿El agente solicita la documentación requerida? " fld="152" subtotal="average" baseField="0" baseItem="3"/>
    <dataField name="¿El agente adjunta correctamente la documentación al sistema? " fld="153" subtotal="average" baseField="0" baseItem="3"/>
    <dataField name="¿El agente identifica cuentas malas cuando corresponde? " fld="154" subtotal="average" baseField="0" baseItem="3"/>
    <dataField name="¿El agente realiza la verificación APC según procedimiento? " fld="155" subtotal="average" baseField="0" baseItem="3"/>
    <dataField name="¿El agente agenda citas o gestiones cuando es necesario? " fld="156" subtotal="average" baseField="0" baseItem="3"/>
    <dataField name="Precision Error Critico Negocio" fld="174" subtotal="average" baseField="0" baseItem="8"/>
    <dataField name=" Identificación de oportunidad comercial" fld="165" subtotal="average" baseField="0" baseItem="8"/>
    <dataField name="¿El agente ofrece adecuadamente un producto adicional? " fld="159" subtotal="average" baseField="0" baseItem="3"/>
    <dataField name="¿El agente realiza venta cruzada cuando corresponde? " fld="160" subtotal="average" baseField="0" baseItem="0"/>
    <dataField name="¿El agente indaga o sondea adecuadamente las necesidades del cliente? " fld="161" subtotal="average" baseField="0" baseItem="3"/>
    <dataField name="¿El agente solicita y gestiona referidos cuando aplica?" fld="162" subtotal="average" baseField="0" baseItem="3"/>
    <dataField name="¿El agente realiza seguimiento adecuado al caso o solicitud? " fld="163" subtotal="average" baseField="0" baseItem="3"/>
    <dataField name="¿El agente maneja correctamente las objeciones del cliente? " fld="164" subtotal="average" baseField="0" baseItem="3"/>
    <dataField name=" Adherencia a la oferta" fld="167" subtotal="average" baseField="0" baseItem="8"/>
    <dataField name="¿El agente gestiona la oferta según la campaña vigente? " fld="166" subtotal="average" baseField="0" baseItem="3"/>
    <dataField name=" Utilización herramientas de apoyo" fld="171" subtotal="average" baseField="0" baseItem="8"/>
    <dataField name="¿El agente solicita coordenadas cuando es necesario? " fld="168" subtotal="average" baseField="0" baseItem="3"/>
    <dataField name="¿El agente gestiona la recepción de documentos por WhatsApp o correo? " fld="169" subtotal="average" baseField="0" baseItem="3"/>
    <dataField name="¿El agente maneja adecuadamente llamadas en conferencia? " fld="170" subtotal="average" baseField="0" baseItem="6"/>
    <dataField name=" Registro en CRM" fld="173" subtotal="average" baseField="0" baseItem="8"/>
    <dataField name="¿El agente registra correctamente todas las interacciones? " fld="172" subtotal="average" baseField="0" baseItem="3"/>
    <dataField name="Precisión Error Crítico Cumplimiento " fld="182" subtotal="average" baseField="0" baseItem="3"/>
    <dataField name=" Titularidad" fld="176" subtotal="average" baseField="0" baseItem="8"/>
    <dataField name="¿El agente confirma la titularidad del cliente adecuadamente? " fld="175" subtotal="average" baseField="0" baseItem="3"/>
    <dataField name=" Fraude" fld="179" subtotal="average" baseField="0" baseItem="8"/>
    <dataField name="¿El agente evita la omisión de alertas importantes? " fld="177" subtotal="average" baseField="0" baseItem="0"/>
    <dataField name="¿El agente mantiene conducta ética durante la interacción? " fld="178" subtotal="average" baseField="0" baseItem="6"/>
    <dataField name=" Protección de datos y privacidad" fld="181" subtotal="average" baseField="0" baseItem="8"/>
    <dataField name="¿El agente evita compartir información sensible? " fld="180" subtotal="average" baseField="0" baseItem="6"/>
  </dataFields>
  <formats count="89">
    <format dxfId="7663">
      <pivotArea field="4" type="button" dataOnly="0" labelOnly="1" outline="0"/>
    </format>
    <format dxfId="7662">
      <pivotArea field="-2" type="button" dataOnly="0" labelOnly="1" outline="0" axis="axisRow" fieldPosition="0"/>
    </format>
    <format dxfId="7661">
      <pivotArea dataOnly="0" labelOnly="1" grandCol="1" outline="0" fieldPosition="0"/>
    </format>
    <format dxfId="7660">
      <pivotArea outline="0" collapsedLevelsAreSubtotals="1" fieldPosition="0"/>
    </format>
    <format dxfId="7659">
      <pivotArea type="topRight" dataOnly="0" labelOnly="1" outline="0" fieldPosition="0"/>
    </format>
    <format dxfId="7658">
      <pivotArea dataOnly="0" labelOnly="1" grandCol="1" outline="0" fieldPosition="0"/>
    </format>
    <format dxfId="7657">
      <pivotArea dataOnly="0" labelOnly="1" outline="0" fieldPosition="0">
        <references count="1">
          <reference field="4294967294" count="1">
            <x v="1"/>
          </reference>
        </references>
      </pivotArea>
    </format>
    <format dxfId="7656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7655">
      <pivotArea dataOnly="0" labelOnly="1" outline="0" fieldPosition="0">
        <references count="1">
          <reference field="4294967294" count="1">
            <x v="5"/>
          </reference>
        </references>
      </pivotArea>
    </format>
    <format dxfId="7654">
      <pivotArea dataOnly="0" labelOnly="1" outline="0" fieldPosition="0">
        <references count="1">
          <reference field="4294967294" count="1">
            <x v="10"/>
          </reference>
        </references>
      </pivotArea>
    </format>
    <format dxfId="7653">
      <pivotArea collapsedLevelsAreSubtotals="1" fieldPosition="0">
        <references count="1">
          <reference field="4294967294" count="2">
            <x v="0"/>
            <x v="1"/>
          </reference>
        </references>
      </pivotArea>
    </format>
    <format dxfId="7652">
      <pivotArea collapsedLevelsAreSubtotals="1" fieldPosition="0">
        <references count="1">
          <reference field="4294967294" count="1">
            <x v="5"/>
          </reference>
        </references>
      </pivotArea>
    </format>
    <format dxfId="7651">
      <pivotArea collapsedLevelsAreSubtotals="1" fieldPosition="0">
        <references count="1">
          <reference field="4294967294" count="1">
            <x v="10"/>
          </reference>
        </references>
      </pivotArea>
    </format>
    <format dxfId="7650">
      <pivotArea collapsedLevelsAreSubtotals="1" fieldPosition="0">
        <references count="1">
          <reference field="4294967294" count="1">
            <x v="15"/>
          </reference>
        </references>
      </pivotArea>
    </format>
    <format dxfId="7649">
      <pivotArea dataOnly="0" labelOnly="1" outline="0" fieldPosition="0">
        <references count="1">
          <reference field="4294967294" count="1">
            <x v="15"/>
          </reference>
        </references>
      </pivotArea>
    </format>
    <format dxfId="7648">
      <pivotArea dataOnly="0" labelOnly="1" outline="0" fieldPosition="0">
        <references count="1">
          <reference field="4294967294" count="3">
            <x v="2"/>
            <x v="3"/>
            <x v="4"/>
          </reference>
        </references>
      </pivotArea>
    </format>
    <format dxfId="7647">
      <pivotArea dataOnly="0" labelOnly="1" outline="0" fieldPosition="0">
        <references count="1">
          <reference field="4294967294" count="3">
            <x v="2"/>
            <x v="3"/>
            <x v="4"/>
          </reference>
        </references>
      </pivotArea>
    </format>
    <format dxfId="7646">
      <pivotArea dataOnly="0" labelOnly="1" outline="0" fieldPosition="0">
        <references count="1">
          <reference field="4294967294" count="1">
            <x v="1"/>
          </reference>
        </references>
      </pivotArea>
    </format>
    <format dxfId="7645">
      <pivotArea dataOnly="0" labelOnly="1" outline="0" fieldPosition="0">
        <references count="1">
          <reference field="4294967294" count="1">
            <x v="5"/>
          </reference>
        </references>
      </pivotArea>
    </format>
    <format dxfId="7644">
      <pivotArea dataOnly="0" labelOnly="1" outline="0" fieldPosition="0">
        <references count="1">
          <reference field="4294967294" count="1">
            <x v="10"/>
          </reference>
        </references>
      </pivotArea>
    </format>
    <format dxfId="7643">
      <pivotArea dataOnly="0" labelOnly="1" outline="0" fieldPosition="0">
        <references count="1">
          <reference field="4294967294" count="1">
            <x v="15"/>
          </reference>
        </references>
      </pivotArea>
    </format>
    <format dxfId="7642">
      <pivotArea dataOnly="0" labelOnly="1" outline="0" fieldPosition="0">
        <references count="1">
          <reference field="4294967294" count="1">
            <x v="1"/>
          </reference>
        </references>
      </pivotArea>
    </format>
    <format dxfId="7641">
      <pivotArea dataOnly="0" labelOnly="1" outline="0" fieldPosition="0">
        <references count="1">
          <reference field="4294967294" count="3">
            <x v="2"/>
            <x v="3"/>
            <x v="4"/>
          </reference>
        </references>
      </pivotArea>
    </format>
    <format dxfId="7640">
      <pivotArea dataOnly="0" labelOnly="1" outline="0" fieldPosition="0">
        <references count="1">
          <reference field="4294967294" count="1">
            <x v="5"/>
          </reference>
        </references>
      </pivotArea>
    </format>
    <format dxfId="7639">
      <pivotArea dataOnly="0" labelOnly="1" outline="0" fieldPosition="0">
        <references count="1">
          <reference field="4294967294" count="4">
            <x v="6"/>
            <x v="7"/>
            <x v="8"/>
            <x v="9"/>
          </reference>
        </references>
      </pivotArea>
    </format>
    <format dxfId="7638">
      <pivotArea dataOnly="0" labelOnly="1" outline="0" fieldPosition="0">
        <references count="1">
          <reference field="4294967294" count="1">
            <x v="10"/>
          </reference>
        </references>
      </pivotArea>
    </format>
    <format dxfId="7637">
      <pivotArea dataOnly="0" labelOnly="1" outline="0" fieldPosition="0">
        <references count="1">
          <reference field="4294967294" count="4">
            <x v="6"/>
            <x v="7"/>
            <x v="8"/>
            <x v="9"/>
          </reference>
        </references>
      </pivotArea>
    </format>
    <format dxfId="7636">
      <pivotArea dataOnly="0" labelOnly="1" outline="0" fieldPosition="0">
        <references count="1">
          <reference field="4294967294" count="3">
            <x v="2"/>
            <x v="3"/>
            <x v="4"/>
          </reference>
        </references>
      </pivotArea>
    </format>
    <format dxfId="7635">
      <pivotArea dataOnly="0" labelOnly="1" outline="0" fieldPosition="0">
        <references count="1">
          <reference field="4294967294" count="1">
            <x v="15"/>
          </reference>
        </references>
      </pivotArea>
    </format>
    <format dxfId="7634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7633">
      <pivotArea dataOnly="0" labelOnly="1" outline="0" fieldPosition="0">
        <references count="1">
          <reference field="4294967294" count="2">
            <x v="17"/>
            <x v="64"/>
          </reference>
        </references>
      </pivotArea>
    </format>
    <format dxfId="7632">
      <pivotArea dataOnly="0" labelOnly="1" outline="0" fieldPosition="0">
        <references count="1">
          <reference field="4294967294" count="15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</reference>
        </references>
      </pivotArea>
    </format>
    <format dxfId="7631">
      <pivotArea dataOnly="0" labelOnly="1" outline="0" fieldPosition="0">
        <references count="1">
          <reference field="4294967294" count="15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</reference>
        </references>
      </pivotArea>
    </format>
    <format dxfId="7630">
      <pivotArea dataOnly="0" labelOnly="1" outline="0" fieldPosition="0">
        <references count="1">
          <reference field="4294967294" count="15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</reference>
        </references>
      </pivotArea>
    </format>
    <format dxfId="7629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7628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7627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7626">
      <pivotArea dataOnly="0" labelOnly="1" outline="0" fieldPosition="0">
        <references count="1">
          <reference field="4294967294" count="16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</reference>
        </references>
      </pivotArea>
    </format>
    <format dxfId="7625">
      <pivotArea dataOnly="0" labelOnly="1" outline="0" fieldPosition="0">
        <references count="1">
          <reference field="4294967294" count="15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</reference>
        </references>
      </pivotArea>
    </format>
    <format dxfId="7624">
      <pivotArea type="origin" dataOnly="0" labelOnly="1" outline="0" fieldPosition="0"/>
    </format>
    <format dxfId="7623">
      <pivotArea type="topRight" dataOnly="0" labelOnly="1" outline="0" fieldPosition="0"/>
    </format>
    <format dxfId="7622">
      <pivotArea field="-2" type="button" dataOnly="0" labelOnly="1" outline="0" axis="axisRow" fieldPosition="0"/>
    </format>
    <format dxfId="7621">
      <pivotArea dataOnly="0" labelOnly="1" grandCol="1" outline="0" fieldPosition="0"/>
    </format>
    <format dxfId="7620">
      <pivotArea dataOnly="0" labelOnly="1" outline="0" fieldPosition="0">
        <references count="1">
          <reference field="4294967294" count="47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9"/>
            <x v="20"/>
            <x v="21"/>
            <x v="22"/>
            <x v="24"/>
            <x v="25"/>
            <x v="27"/>
            <x v="28"/>
            <x v="29"/>
            <x v="31"/>
            <x v="33"/>
            <x v="35"/>
            <x v="36"/>
            <x v="38"/>
            <x v="39"/>
            <x v="41"/>
            <x v="42"/>
            <x v="43"/>
            <x v="44"/>
            <x v="45"/>
            <x v="46"/>
            <x v="47"/>
            <x v="50"/>
            <x v="51"/>
            <x v="52"/>
            <x v="53"/>
            <x v="54"/>
            <x v="55"/>
            <x v="57"/>
          </reference>
        </references>
      </pivotArea>
    </format>
    <format dxfId="7619">
      <pivotArea dataOnly="0" outline="0" fieldPosition="0">
        <references count="1">
          <reference field="4294967294" count="1">
            <x v="18"/>
          </reference>
        </references>
      </pivotArea>
    </format>
    <format dxfId="7618">
      <pivotArea collapsedLevelsAreSubtotals="1" fieldPosition="0">
        <references count="1">
          <reference field="4294967294" count="1">
            <x v="23"/>
          </reference>
        </references>
      </pivotArea>
    </format>
    <format dxfId="7617">
      <pivotArea dataOnly="0" labelOnly="1" outline="0" fieldPosition="0">
        <references count="1">
          <reference field="4294967294" count="1">
            <x v="23"/>
          </reference>
        </references>
      </pivotArea>
    </format>
    <format dxfId="7616">
      <pivotArea collapsedLevelsAreSubtotals="1" fieldPosition="0">
        <references count="1">
          <reference field="4294967294" count="1">
            <x v="26"/>
          </reference>
        </references>
      </pivotArea>
    </format>
    <format dxfId="7615">
      <pivotArea dataOnly="0" labelOnly="1" outline="0" fieldPosition="0">
        <references count="1">
          <reference field="4294967294" count="1">
            <x v="26"/>
          </reference>
        </references>
      </pivotArea>
    </format>
    <format dxfId="7614">
      <pivotArea collapsedLevelsAreSubtotals="1" fieldPosition="0">
        <references count="1">
          <reference field="4294967294" count="1">
            <x v="30"/>
          </reference>
        </references>
      </pivotArea>
    </format>
    <format dxfId="7613">
      <pivotArea dataOnly="0" labelOnly="1" outline="0" fieldPosition="0">
        <references count="1">
          <reference field="4294967294" count="1">
            <x v="30"/>
          </reference>
        </references>
      </pivotArea>
    </format>
    <format dxfId="7612">
      <pivotArea collapsedLevelsAreSubtotals="1" fieldPosition="0">
        <references count="1">
          <reference field="4294967294" count="1">
            <x v="32"/>
          </reference>
        </references>
      </pivotArea>
    </format>
    <format dxfId="7611">
      <pivotArea dataOnly="0" labelOnly="1" outline="0" fieldPosition="0">
        <references count="1">
          <reference field="4294967294" count="1">
            <x v="32"/>
          </reference>
        </references>
      </pivotArea>
    </format>
    <format dxfId="7610">
      <pivotArea collapsedLevelsAreSubtotals="1" fieldPosition="0">
        <references count="1">
          <reference field="4294967294" count="1">
            <x v="34"/>
          </reference>
        </references>
      </pivotArea>
    </format>
    <format dxfId="7609">
      <pivotArea dataOnly="0" labelOnly="1" outline="0" fieldPosition="0">
        <references count="1">
          <reference field="4294967294" count="1">
            <x v="34"/>
          </reference>
        </references>
      </pivotArea>
    </format>
    <format dxfId="7608">
      <pivotArea collapsedLevelsAreSubtotals="1" fieldPosition="0">
        <references count="1">
          <reference field="4294967294" count="1">
            <x v="37"/>
          </reference>
        </references>
      </pivotArea>
    </format>
    <format dxfId="7607">
      <pivotArea dataOnly="0" labelOnly="1" outline="0" fieldPosition="0">
        <references count="1">
          <reference field="4294967294" count="1">
            <x v="37"/>
          </reference>
        </references>
      </pivotArea>
    </format>
    <format dxfId="7606">
      <pivotArea collapsedLevelsAreSubtotals="1" fieldPosition="0">
        <references count="1">
          <reference field="4294967294" count="1">
            <x v="40"/>
          </reference>
        </references>
      </pivotArea>
    </format>
    <format dxfId="7605">
      <pivotArea dataOnly="0" labelOnly="1" outline="0" fieldPosition="0">
        <references count="1">
          <reference field="4294967294" count="1">
            <x v="40"/>
          </reference>
        </references>
      </pivotArea>
    </format>
    <format dxfId="7604">
      <pivotArea collapsedLevelsAreSubtotals="1" fieldPosition="0">
        <references count="1">
          <reference field="4294967294" count="1">
            <x v="48"/>
          </reference>
        </references>
      </pivotArea>
    </format>
    <format dxfId="7603">
      <pivotArea dataOnly="0" labelOnly="1" outline="0" fieldPosition="0">
        <references count="1">
          <reference field="4294967294" count="1">
            <x v="48"/>
          </reference>
        </references>
      </pivotArea>
    </format>
    <format dxfId="7602">
      <pivotArea collapsedLevelsAreSubtotals="1" fieldPosition="0">
        <references count="1">
          <reference field="4294967294" count="1">
            <x v="49"/>
          </reference>
        </references>
      </pivotArea>
    </format>
    <format dxfId="7601">
      <pivotArea dataOnly="0" labelOnly="1" outline="0" fieldPosition="0">
        <references count="1">
          <reference field="4294967294" count="1">
            <x v="49"/>
          </reference>
        </references>
      </pivotArea>
    </format>
    <format dxfId="7600">
      <pivotArea collapsedLevelsAreSubtotals="1" fieldPosition="0">
        <references count="1">
          <reference field="4294967294" count="1">
            <x v="56"/>
          </reference>
        </references>
      </pivotArea>
    </format>
    <format dxfId="7599">
      <pivotArea dataOnly="0" labelOnly="1" outline="0" fieldPosition="0">
        <references count="1">
          <reference field="4294967294" count="1">
            <x v="56"/>
          </reference>
        </references>
      </pivotArea>
    </format>
    <format dxfId="7598">
      <pivotArea collapsedLevelsAreSubtotals="1" fieldPosition="0">
        <references count="1">
          <reference field="4294967294" count="1">
            <x v="58"/>
          </reference>
        </references>
      </pivotArea>
    </format>
    <format dxfId="7597">
      <pivotArea dataOnly="0" labelOnly="1" outline="0" fieldPosition="0">
        <references count="1">
          <reference field="4294967294" count="1">
            <x v="58"/>
          </reference>
        </references>
      </pivotArea>
    </format>
    <format dxfId="7596">
      <pivotArea collapsedLevelsAreSubtotals="1" fieldPosition="0">
        <references count="1">
          <reference field="4294967294" count="1">
            <x v="62"/>
          </reference>
        </references>
      </pivotArea>
    </format>
    <format dxfId="7595">
      <pivotArea dataOnly="0" labelOnly="1" outline="0" fieldPosition="0">
        <references count="1">
          <reference field="4294967294" count="1">
            <x v="62"/>
          </reference>
        </references>
      </pivotArea>
    </format>
    <format dxfId="7594">
      <pivotArea collapsedLevelsAreSubtotals="1" fieldPosition="0">
        <references count="1">
          <reference field="4294967294" count="1">
            <x v="65"/>
          </reference>
        </references>
      </pivotArea>
    </format>
    <format dxfId="7593">
      <pivotArea dataOnly="0" labelOnly="1" outline="0" fieldPosition="0">
        <references count="1">
          <reference field="4294967294" count="1">
            <x v="65"/>
          </reference>
        </references>
      </pivotArea>
    </format>
    <format dxfId="7592">
      <pivotArea collapsedLevelsAreSubtotals="1" fieldPosition="0">
        <references count="1">
          <reference field="4294967294" count="1">
            <x v="64"/>
          </reference>
        </references>
      </pivotArea>
    </format>
    <format dxfId="7591">
      <pivotArea dataOnly="0" labelOnly="1" outline="0" fieldPosition="0">
        <references count="1">
          <reference field="4294967294" count="1">
            <x v="64"/>
          </reference>
        </references>
      </pivotArea>
    </format>
    <format dxfId="7590">
      <pivotArea collapsedLevelsAreSubtotals="1" fieldPosition="0">
        <references count="1">
          <reference field="4294967294" count="1">
            <x v="67"/>
          </reference>
        </references>
      </pivotArea>
    </format>
    <format dxfId="7589">
      <pivotArea dataOnly="0" labelOnly="1" outline="0" fieldPosition="0">
        <references count="1">
          <reference field="4294967294" count="1">
            <x v="67"/>
          </reference>
        </references>
      </pivotArea>
    </format>
    <format dxfId="7588">
      <pivotArea collapsedLevelsAreSubtotals="1" fieldPosition="0">
        <references count="1">
          <reference field="4294967294" count="1">
            <x v="70"/>
          </reference>
        </references>
      </pivotArea>
    </format>
    <format dxfId="7587">
      <pivotArea dataOnly="0" labelOnly="1" outline="0" fieldPosition="0">
        <references count="1">
          <reference field="4294967294" count="1">
            <x v="70"/>
          </reference>
        </references>
      </pivotArea>
    </format>
    <format dxfId="7586">
      <pivotArea dataOnly="0" labelOnly="1" outline="0" fieldPosition="0">
        <references count="1">
          <reference field="4294967294" count="48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  <x v="24"/>
            <x v="25"/>
            <x v="26"/>
            <x v="27"/>
            <x v="28"/>
            <x v="29"/>
            <x v="30"/>
            <x v="31"/>
            <x v="32"/>
            <x v="33"/>
            <x v="34"/>
            <x v="35"/>
            <x v="36"/>
            <x v="37"/>
            <x v="38"/>
            <x v="39"/>
            <x v="40"/>
            <x v="41"/>
            <x v="42"/>
            <x v="43"/>
            <x v="44"/>
            <x v="45"/>
            <x v="46"/>
            <x v="47"/>
          </reference>
        </references>
      </pivotArea>
    </format>
    <format dxfId="7585">
      <pivotArea dataOnly="0" labelOnly="1" outline="0" fieldPosition="0">
        <references count="1">
          <reference field="4294967294" count="24">
            <x v="48"/>
            <x v="49"/>
            <x v="50"/>
            <x v="51"/>
            <x v="52"/>
            <x v="53"/>
            <x v="54"/>
            <x v="55"/>
            <x v="56"/>
            <x v="57"/>
            <x v="58"/>
            <x v="59"/>
            <x v="60"/>
            <x v="61"/>
            <x v="62"/>
            <x v="63"/>
            <x v="64"/>
            <x v="65"/>
            <x v="66"/>
            <x v="67"/>
            <x v="68"/>
            <x v="69"/>
            <x v="70"/>
            <x v="71"/>
          </reference>
        </references>
      </pivotArea>
    </format>
    <format dxfId="7584">
      <pivotArea dataOnly="0" labelOnly="1" outline="0" fieldPosition="0">
        <references count="1">
          <reference field="4294967294" count="48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  <x v="24"/>
            <x v="25"/>
            <x v="26"/>
            <x v="27"/>
            <x v="28"/>
            <x v="29"/>
            <x v="30"/>
            <x v="31"/>
            <x v="32"/>
            <x v="33"/>
            <x v="34"/>
            <x v="35"/>
            <x v="36"/>
            <x v="37"/>
            <x v="38"/>
            <x v="39"/>
            <x v="40"/>
            <x v="41"/>
            <x v="42"/>
            <x v="43"/>
            <x v="44"/>
            <x v="45"/>
            <x v="46"/>
            <x v="47"/>
          </reference>
        </references>
      </pivotArea>
    </format>
    <format dxfId="7583">
      <pivotArea dataOnly="0" labelOnly="1" outline="0" fieldPosition="0">
        <references count="1">
          <reference field="4294967294" count="24">
            <x v="48"/>
            <x v="49"/>
            <x v="50"/>
            <x v="51"/>
            <x v="52"/>
            <x v="53"/>
            <x v="54"/>
            <x v="55"/>
            <x v="56"/>
            <x v="57"/>
            <x v="58"/>
            <x v="59"/>
            <x v="60"/>
            <x v="61"/>
            <x v="62"/>
            <x v="63"/>
            <x v="64"/>
            <x v="65"/>
            <x v="66"/>
            <x v="67"/>
            <x v="68"/>
            <x v="69"/>
            <x v="70"/>
            <x v="71"/>
          </reference>
        </references>
      </pivotArea>
    </format>
    <format dxfId="7582">
      <pivotArea outline="0" collapsedLevelsAreSubtotals="1" fieldPosition="0"/>
    </format>
    <format dxfId="7581">
      <pivotArea dataOnly="0" labelOnly="1" outline="0" fieldPosition="0">
        <references count="1">
          <reference field="4294967294" count="48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  <x v="24"/>
            <x v="25"/>
            <x v="26"/>
            <x v="27"/>
            <x v="28"/>
            <x v="29"/>
            <x v="30"/>
            <x v="31"/>
            <x v="32"/>
            <x v="33"/>
            <x v="34"/>
            <x v="35"/>
            <x v="36"/>
            <x v="37"/>
            <x v="38"/>
            <x v="39"/>
            <x v="40"/>
            <x v="41"/>
            <x v="42"/>
            <x v="43"/>
            <x v="44"/>
            <x v="45"/>
            <x v="46"/>
            <x v="47"/>
          </reference>
        </references>
      </pivotArea>
    </format>
    <format dxfId="7580">
      <pivotArea dataOnly="0" labelOnly="1" outline="0" fieldPosition="0">
        <references count="1">
          <reference field="4294967294" count="23">
            <x v="48"/>
            <x v="49"/>
            <x v="50"/>
            <x v="51"/>
            <x v="52"/>
            <x v="53"/>
            <x v="54"/>
            <x v="55"/>
            <x v="56"/>
            <x v="57"/>
            <x v="58"/>
            <x v="59"/>
            <x v="60"/>
            <x v="61"/>
            <x v="62"/>
            <x v="63"/>
            <x v="64"/>
            <x v="65"/>
            <x v="66"/>
            <x v="67"/>
            <x v="68"/>
            <x v="69"/>
            <x v="70"/>
          </reference>
        </references>
      </pivotArea>
    </format>
    <format dxfId="7579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7578">
      <pivotArea dataOnly="0" labelOnly="1" outline="0" fieldPosition="0">
        <references count="1">
          <reference field="4294967294" count="1">
            <x v="64"/>
          </reference>
        </references>
      </pivotArea>
    </format>
    <format dxfId="7577">
      <pivotArea dataOnly="0" labelOnly="1" outline="0" fieldPosition="0">
        <references count="1">
          <reference field="4294967294" count="1">
            <x v="48"/>
          </reference>
        </references>
      </pivotArea>
    </format>
    <format dxfId="7576">
      <pivotArea dataOnly="0" labelOnly="1" outline="0" fieldPosition="0">
        <references count="1">
          <reference field="4294967294" count="1">
            <x v="17"/>
          </reference>
        </references>
      </pivotArea>
    </format>
    <format dxfId="7575">
      <pivotArea dataOnly="0" labelOnly="1" outline="0" fieldPosition="0">
        <references count="1">
          <reference field="4294967294" count="1">
            <x v="0"/>
          </reference>
        </references>
      </pivotArea>
    </format>
  </formats>
  <pivotTableStyleInfo name="PivotStyleMedium10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600-000000000000}" name="TablaDinámica1" cacheId="92" applyNumberFormats="0" applyBorderFormats="0" applyFontFormats="0" applyPatternFormats="0" applyAlignmentFormats="0" applyWidthHeightFormats="1" dataCaption="Valores" updatedVersion="7" minRefreshableVersion="3" useAutoFormatting="1" itemPrintTitles="1" createdVersion="6" indent="0" outline="1" outlineData="1" multipleFieldFilters="0" rowHeaderCaption="Proceso">
  <location ref="A3:H6" firstHeaderRow="0" firstDataRow="1" firstDataCol="1"/>
  <pivotFields count="321">
    <pivotField showAll="0"/>
    <pivotField showAll="0"/>
    <pivotField numFmtId="14" showAll="0"/>
    <pivotField showAll="0"/>
    <pivotField multipleItemSelectionAllowed="1" showAll="0">
      <items count="27">
        <item m="1" x="8"/>
        <item m="1" x="13"/>
        <item m="1" x="16"/>
        <item m="1" x="20"/>
        <item m="1" x="12"/>
        <item m="1" x="6"/>
        <item m="1" x="21"/>
        <item m="1" x="4"/>
        <item m="1" x="14"/>
        <item m="1" x="10"/>
        <item m="1" x="23"/>
        <item sd="0" m="1" x="15"/>
        <item sd="0" m="1" x="3"/>
        <item m="1" x="9"/>
        <item m="1" x="11"/>
        <item m="1" x="5"/>
        <item m="1" x="18"/>
        <item m="1" x="25"/>
        <item m="1" x="7"/>
        <item m="1" x="17"/>
        <item m="1" x="22"/>
        <item m="1" x="24"/>
        <item m="1" x="19"/>
        <item x="1"/>
        <item x="0"/>
        <item x="2"/>
        <item t="default"/>
      </items>
    </pivotField>
    <pivotField showAll="0" defaultSubtotal="0">
      <items count="2">
        <item x="0"/>
        <item m="1" x="1"/>
      </items>
    </pivotField>
    <pivotField showAll="0"/>
    <pivotField showAll="0"/>
    <pivotField showAll="0" defaultSubtota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10" showAll="0"/>
    <pivotField numFmtId="10" showAll="0"/>
    <pivotField numFmtId="10" showAll="0"/>
    <pivotField numFmtId="10" showAll="0" defaultSubtotal="0"/>
    <pivotField numFmtId="10" showAll="0"/>
    <pivotField numFmtId="10" showAll="0"/>
    <pivotField numFmtId="10" showAll="0"/>
    <pivotField numFmtId="10" showAll="0"/>
    <pivotField numFmtId="10" showAll="0" defaultSubtotal="0"/>
    <pivotField numFmtId="10" showAll="0"/>
    <pivotField numFmtId="10" showAll="0"/>
    <pivotField numFmtId="10" showAll="0"/>
    <pivotField numFmtId="10" showAll="0"/>
    <pivotField numFmtId="10" showAll="0" defaultSubtotal="0"/>
    <pivotField numFmtId="10" showAll="0"/>
    <pivotField numFmtId="10" showAll="0" defaultSubtotal="0"/>
    <pivotField dataField="1" numFmtId="10" showAll="0" defaultSubtota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dataField="1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dataField="1"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dataField="1" showAll="0"/>
    <pivotField numFmtId="10" showAll="0"/>
    <pivotField numFmtId="164" showAll="0"/>
    <pivotField numFmtId="10" showAll="0" defaultSubtotal="0"/>
    <pivotField numFmtId="10" showAll="0"/>
    <pivotField dataField="1" numFmtId="10" showAll="0" defaultSubtotal="0"/>
    <pivotField dataField="1" numFmtI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dataField="1" showAll="0" defaultSubtotal="0"/>
    <pivotField showAll="0"/>
    <pivotField showAll="0"/>
    <pivotField showAll="0"/>
    <pivotField axis="axisRow" showAll="0" defaultSubtotal="0">
      <items count="14">
        <item m="1" x="7"/>
        <item m="1" x="8"/>
        <item m="1" x="11"/>
        <item m="1" x="12"/>
        <item m="1" x="13"/>
        <item m="1" x="10"/>
        <item m="1" x="9"/>
        <item m="1" x="2"/>
        <item m="1" x="6"/>
        <item m="1" x="5"/>
        <item x="0"/>
        <item m="1" x="4"/>
        <item m="1" x="3"/>
        <item x="1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1">
    <field x="247"/>
  </rowFields>
  <rowItems count="3">
    <i>
      <x v="10"/>
    </i>
    <i>
      <x v="13"/>
    </i>
    <i t="grand">
      <x/>
    </i>
  </rowItems>
  <colFields count="1">
    <field x="-2"/>
  </colFields>
  <colItems count="7">
    <i>
      <x/>
    </i>
    <i i="1">
      <x v="1"/>
    </i>
    <i i="2">
      <x v="2"/>
    </i>
    <i i="3">
      <x v="3"/>
    </i>
    <i i="4">
      <x v="4"/>
    </i>
    <i i="5">
      <x v="5"/>
    </i>
    <i i="6">
      <x v="6"/>
    </i>
  </colItems>
  <dataFields count="7">
    <dataField name="Agente Mon." fld="243" baseField="0" baseItem="0"/>
    <dataField name="PENC" fld="127" subtotal="average" baseField="0" baseItem="0" numFmtId="9"/>
    <dataField name=" PECUF" fld="158" subtotal="average" baseField="74" baseItem="0" numFmtId="10"/>
    <dataField name=" PECNE" fld="174" subtotal="average" baseField="253" baseItem="0" numFmtId="9"/>
    <dataField name=" PECCUM" fld="182" subtotal="average" baseField="74" baseItem="0" numFmtId="10"/>
    <dataField name="Score calidad " fld="187" subtotal="average" baseField="37" baseItem="0" numFmtId="164"/>
    <dataField name="Suma de Muestra" fld="188" baseField="0" baseItem="0" numFmtId="1"/>
  </dataFields>
  <formats count="71">
    <format dxfId="0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1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2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3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4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5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6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7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8">
      <pivotArea outline="0" collapsedLevelsAreSubtotals="1" fieldPosition="0">
        <references count="1">
          <reference field="4294967294" count="1" selected="0">
            <x v="4"/>
          </reference>
        </references>
      </pivotArea>
    </format>
    <format dxfId="9">
      <pivotArea outline="0" collapsedLevelsAreSubtotals="1" fieldPosition="0">
        <references count="1">
          <reference field="4294967294" count="1" selected="0">
            <x v="4"/>
          </reference>
        </references>
      </pivotArea>
    </format>
    <format dxfId="10">
      <pivotArea outline="0" collapsedLevelsAreSubtotals="1" fieldPosition="0">
        <references count="1">
          <reference field="4294967294" count="1" selected="0">
            <x v="4"/>
          </reference>
        </references>
      </pivotArea>
    </format>
    <format dxfId="11">
      <pivotArea outline="0" collapsedLevelsAreSubtotals="1" fieldPosition="0">
        <references count="1">
          <reference field="4294967294" count="1" selected="0">
            <x v="4"/>
          </reference>
        </references>
      </pivotArea>
    </format>
    <format dxfId="12">
      <pivotArea outline="0" collapsedLevelsAreSubtotals="1" fieldPosition="0">
        <references count="1">
          <reference field="4294967294" count="1" selected="0">
            <x v="4"/>
          </reference>
        </references>
      </pivotArea>
    </format>
    <format dxfId="13">
      <pivotArea outline="0" collapsedLevelsAreSubtotals="1" fieldPosition="0">
        <references count="1">
          <reference field="4294967294" count="1" selected="0">
            <x v="4"/>
          </reference>
        </references>
      </pivotArea>
    </format>
    <format dxfId="14">
      <pivotArea field="5" type="button" dataOnly="0" labelOnly="1" outline="0"/>
    </format>
    <format dxfId="15">
      <pivotArea dataOnly="0" labelOnly="1" outline="0" fieldPosition="0">
        <references count="1">
          <reference field="4294967294" count="2">
            <x v="2"/>
            <x v="4"/>
          </reference>
        </references>
      </pivotArea>
    </format>
    <format dxfId="16">
      <pivotArea field="5" type="button" dataOnly="0" labelOnly="1" outline="0"/>
    </format>
    <format dxfId="17">
      <pivotArea dataOnly="0" labelOnly="1" outline="0" fieldPosition="0">
        <references count="1">
          <reference field="4294967294" count="2">
            <x v="2"/>
            <x v="4"/>
          </reference>
        </references>
      </pivotArea>
    </format>
    <format dxfId="18">
      <pivotArea dataOnly="0" labelOnly="1" grandRow="1" outline="0" fieldPosition="0"/>
    </format>
    <format dxfId="19">
      <pivotArea dataOnly="0" labelOnly="1" grandRow="1" outline="0" fieldPosition="0"/>
    </format>
    <format dxfId="20">
      <pivotArea outline="0" collapsedLevelsAreSubtotals="1" fieldPosition="0"/>
    </format>
    <format dxfId="21">
      <pivotArea dataOnly="0" labelOnly="1" grandRow="1" outline="0" fieldPosition="0"/>
    </format>
    <format dxfId="22">
      <pivotArea type="all" dataOnly="0" outline="0" fieldPosition="0"/>
    </format>
    <format dxfId="23">
      <pivotArea outline="0" collapsedLevelsAreSubtotals="1" fieldPosition="0"/>
    </format>
    <format dxfId="24">
      <pivotArea field="5" type="button" dataOnly="0" labelOnly="1" outline="0"/>
    </format>
    <format dxfId="25">
      <pivotArea dataOnly="0" labelOnly="1" grandRow="1" outline="0" fieldPosition="0"/>
    </format>
    <format dxfId="26">
      <pivotArea dataOnly="0" labelOnly="1" outline="0" fieldPosition="0">
        <references count="1">
          <reference field="4294967294" count="2">
            <x v="2"/>
            <x v="4"/>
          </reference>
        </references>
      </pivotArea>
    </format>
    <format dxfId="27">
      <pivotArea grandRow="1" outline="0" collapsedLevelsAreSubtotals="1" fieldPosition="0"/>
    </format>
    <format dxfId="28">
      <pivotArea type="all" dataOnly="0" outline="0" fieldPosition="0"/>
    </format>
    <format dxfId="29">
      <pivotArea outline="0" collapsedLevelsAreSubtotals="1" fieldPosition="0"/>
    </format>
    <format dxfId="30">
      <pivotArea field="5" type="button" dataOnly="0" labelOnly="1" outline="0"/>
    </format>
    <format dxfId="31">
      <pivotArea dataOnly="0" labelOnly="1" grandRow="1" outline="0" fieldPosition="0"/>
    </format>
    <format dxfId="32">
      <pivotArea dataOnly="0" labelOnly="1" outline="0" fieldPosition="0">
        <references count="1">
          <reference field="4294967294" count="2">
            <x v="2"/>
            <x v="4"/>
          </reference>
        </references>
      </pivotArea>
    </format>
    <format dxfId="33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34">
      <pivotArea dataOnly="0" labelOnly="1" grandRow="1" outline="0" fieldPosition="0"/>
    </format>
    <format dxfId="35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  <format dxfId="36">
      <pivotArea grandRow="1" outline="0" collapsedLevelsAreSubtotals="1" fieldPosition="0"/>
    </format>
    <format dxfId="37">
      <pivotArea dataOnly="0" labelOnly="1" grandRow="1" outline="0" fieldPosition="0"/>
    </format>
    <format dxfId="38">
      <pivotArea grandRow="1" outline="0" collapsedLevelsAreSubtotals="1" fieldPosition="0"/>
    </format>
    <format dxfId="39">
      <pivotArea dataOnly="0" labelOnly="1" grandRow="1" outline="0" fieldPosition="0"/>
    </format>
    <format dxfId="40">
      <pivotArea outline="0" collapsedLevelsAreSubtotals="1" fieldPosition="0">
        <references count="1">
          <reference field="4294967294" count="2" selected="0">
            <x v="2"/>
            <x v="4"/>
          </reference>
        </references>
      </pivotArea>
    </format>
    <format dxfId="41">
      <pivotArea dataOnly="0" labelOnly="1" outline="0" fieldPosition="0">
        <references count="1">
          <reference field="4294967294" count="2">
            <x v="2"/>
            <x v="4"/>
          </reference>
        </references>
      </pivotArea>
    </format>
    <format dxfId="42">
      <pivotArea dataOnly="0" labelOnly="1" outline="0" fieldPosition="0">
        <references count="1">
          <reference field="4294967294" count="3">
            <x v="0"/>
            <x v="2"/>
            <x v="4"/>
          </reference>
        </references>
      </pivotArea>
    </format>
    <format dxfId="43">
      <pivotArea field="5" grandRow="1" outline="0" collapsedLevelsAreSubtotals="1">
        <references count="1">
          <reference field="4294967294" count="1" selected="0">
            <x v="2"/>
          </reference>
        </references>
      </pivotArea>
    </format>
    <format dxfId="44">
      <pivotArea field="5" grandRow="1" outline="0" collapsedLevelsAreSubtotals="1">
        <references count="1">
          <reference field="4294967294" count="1" selected="0">
            <x v="4"/>
          </reference>
        </references>
      </pivotArea>
    </format>
    <format dxfId="45">
      <pivotArea dataOnly="0" labelOnly="1" outline="0" fieldPosition="0">
        <references count="1">
          <reference field="4294967294" count="1">
            <x v="5"/>
          </reference>
        </references>
      </pivotArea>
    </format>
    <format dxfId="46">
      <pivotArea field="5" grandRow="1" outline="0" collapsedLevelsAreSubtotals="1">
        <references count="1">
          <reference field="4294967294" count="3" selected="0">
            <x v="2"/>
            <x v="4"/>
            <x v="5"/>
          </reference>
        </references>
      </pivotArea>
    </format>
    <format dxfId="47">
      <pivotArea field="5" grandRow="1" outline="0" collapsedLevelsAreSubtotals="1">
        <references count="1">
          <reference field="4294967294" count="3" selected="0">
            <x v="2"/>
            <x v="4"/>
            <x v="5"/>
          </reference>
        </references>
      </pivotArea>
    </format>
    <format dxfId="48">
      <pivotArea field="5" grandRow="1" outline="0" collapsedLevelsAreSubtotals="1">
        <references count="1">
          <reference field="4294967294" count="3" selected="0">
            <x v="2"/>
            <x v="4"/>
            <x v="5"/>
          </reference>
        </references>
      </pivotArea>
    </format>
    <format dxfId="49">
      <pivotArea field="5" grandRow="1" outline="0" collapsedLevelsAreSubtotals="1">
        <references count="1">
          <reference field="4294967294" count="3" selected="0">
            <x v="2"/>
            <x v="4"/>
            <x v="5"/>
          </reference>
        </references>
      </pivotArea>
    </format>
    <format dxfId="50">
      <pivotArea field="4" type="button" dataOnly="0" labelOnly="1" outline="0"/>
    </format>
    <format dxfId="51">
      <pivotArea field="4" grandRow="1" outline="0" collapsedLevelsAreSubtotals="1">
        <references count="1">
          <reference field="4294967294" count="2" selected="0">
            <x v="4"/>
            <x v="5"/>
          </reference>
        </references>
      </pivotArea>
    </format>
    <format dxfId="52">
      <pivotArea field="4" grandRow="1" outline="0" collapsedLevelsAreSubtotals="1">
        <references count="1">
          <reference field="4294967294" count="3" selected="0">
            <x v="2"/>
            <x v="4"/>
            <x v="5"/>
          </reference>
        </references>
      </pivotArea>
    </format>
    <format dxfId="53">
      <pivotArea field="4" grandRow="1" outline="0" collapsedLevelsAreSubtotals="1">
        <references count="1">
          <reference field="4294967294" count="3" selected="0">
            <x v="2"/>
            <x v="4"/>
            <x v="5"/>
          </reference>
        </references>
      </pivotArea>
    </format>
    <format dxfId="54">
      <pivotArea outline="0" collapsedLevelsAreSubtotals="1" fieldPosition="0">
        <references count="1">
          <reference field="4294967294" count="2" selected="0">
            <x v="2"/>
            <x v="4"/>
          </reference>
        </references>
      </pivotArea>
    </format>
    <format dxfId="55">
      <pivotArea dataOnly="0" labelOnly="1" outline="0" fieldPosition="0">
        <references count="1">
          <reference field="4294967294" count="2">
            <x v="2"/>
            <x v="4"/>
          </reference>
        </references>
      </pivotArea>
    </format>
    <format dxfId="56">
      <pivotArea outline="0" collapsedLevelsAreSubtotals="1" fieldPosition="0">
        <references count="1">
          <reference field="4294967294" count="1" selected="0">
            <x v="5"/>
          </reference>
        </references>
      </pivotArea>
    </format>
    <format dxfId="57">
      <pivotArea dataOnly="0" labelOnly="1" outline="0" fieldPosition="0">
        <references count="1">
          <reference field="4294967294" count="1">
            <x v="5"/>
          </reference>
        </references>
      </pivotArea>
    </format>
    <format dxfId="58">
      <pivotArea type="all" dataOnly="0" outline="0" fieldPosition="0"/>
    </format>
    <format dxfId="59">
      <pivotArea outline="0" collapsedLevelsAreSubtotals="1" fieldPosition="0"/>
    </format>
    <format dxfId="60">
      <pivotArea field="4" type="button" dataOnly="0" labelOnly="1" outline="0"/>
    </format>
    <format dxfId="61">
      <pivotArea dataOnly="0" labelOnly="1" grandRow="1" outline="0" fieldPosition="0"/>
    </format>
    <format dxfId="62">
      <pivotArea dataOnly="0" labelOnly="1" outline="0" fieldPosition="0">
        <references count="1">
          <reference field="4294967294" count="4">
            <x v="0"/>
            <x v="2"/>
            <x v="4"/>
            <x v="5"/>
          </reference>
        </references>
      </pivotArea>
    </format>
    <format dxfId="63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64">
      <pivotArea field="4" grandRow="1" outline="0" collapsedLevelsAreSubtotals="1">
        <references count="1">
          <reference field="4294967294" count="4" selected="0">
            <x v="1"/>
            <x v="2"/>
            <x v="4"/>
            <x v="5"/>
          </reference>
        </references>
      </pivotArea>
    </format>
    <format dxfId="65">
      <pivotArea field="4" grandRow="1" outline="0" collapsedLevelsAreSubtotals="1">
        <references count="1">
          <reference field="4294967294" count="4" selected="0">
            <x v="1"/>
            <x v="2"/>
            <x v="4"/>
            <x v="5"/>
          </reference>
        </references>
      </pivotArea>
    </format>
    <format dxfId="66">
      <pivotArea field="4" grandRow="1" outline="0" collapsedLevelsAreSubtotals="1">
        <references count="1">
          <reference field="4294967294" count="4" selected="0">
            <x v="1"/>
            <x v="2"/>
            <x v="4"/>
            <x v="5"/>
          </reference>
        </references>
      </pivotArea>
    </format>
    <format dxfId="67">
      <pivotArea dataOnly="0" labelOnly="1" outline="0" fieldPosition="0">
        <references count="1">
          <reference field="4294967294" count="1">
            <x v="1"/>
          </reference>
        </references>
      </pivotArea>
    </format>
    <format dxfId="68">
      <pivotArea outline="0" collapsedLevelsAreSubtotals="1" fieldPosition="0">
        <references count="1">
          <reference field="4294967294" count="1" selected="0">
            <x v="5"/>
          </reference>
        </references>
      </pivotArea>
    </format>
    <format dxfId="69">
      <pivotArea outline="0" collapsedLevelsAreSubtotals="1" fieldPosition="0">
        <references count="1">
          <reference field="4294967294" count="1" selected="0">
            <x v="3"/>
          </reference>
        </references>
      </pivotArea>
    </format>
    <format dxfId="70">
      <pivotArea dataOnly="0" labelOnly="1" outline="0" fieldPosition="0">
        <references count="1">
          <reference field="4294967294" count="1">
            <x v="3"/>
          </reference>
        </references>
      </pivotArea>
    </format>
  </formats>
  <conditionalFormats count="1">
    <conditionalFormat priority="2">
      <pivotAreas count="1">
        <pivotArea type="data" outline="0" collapsedLevelsAreSubtotals="1" fieldPosition="0">
          <references count="1">
            <reference field="4294967294" count="3" selected="0">
              <x v="1"/>
              <x v="2"/>
              <x v="4"/>
            </reference>
          </references>
        </pivotArea>
      </pivotAreas>
    </conditionalFormat>
  </conditionalFormats>
  <pivotTableStyleInfo name="PivotStyleMedium10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600-000001000000}" name="TablaDinámica2" cacheId="92" applyNumberFormats="0" applyBorderFormats="0" applyFontFormats="0" applyPatternFormats="0" applyAlignmentFormats="0" applyWidthHeightFormats="1" dataCaption="Valores" updatedVersion="7" minRefreshableVersion="3" useAutoFormatting="1" itemPrintTitles="1" createdVersion="6" indent="0" outline="1" outlineData="1" multipleFieldFilters="0" rowHeaderCaption="Proceso">
  <location ref="B13:G16" firstHeaderRow="0" firstDataRow="1" firstDataCol="1"/>
  <pivotFields count="321">
    <pivotField showAll="0"/>
    <pivotField showAll="0"/>
    <pivotField numFmtId="14" showAll="0"/>
    <pivotField showAll="0"/>
    <pivotField multipleItemSelectionAllowed="1" showAll="0">
      <items count="27">
        <item m="1" x="8"/>
        <item m="1" x="13"/>
        <item m="1" x="16"/>
        <item m="1" x="20"/>
        <item m="1" x="12"/>
        <item m="1" x="6"/>
        <item m="1" x="21"/>
        <item m="1" x="4"/>
        <item m="1" x="14"/>
        <item m="1" x="10"/>
        <item m="1" x="23"/>
        <item sd="0" m="1" x="15"/>
        <item sd="0" m="1" x="3"/>
        <item m="1" x="9"/>
        <item m="1" x="11"/>
        <item m="1" x="5"/>
        <item m="1" x="18"/>
        <item m="1" x="25"/>
        <item m="1" x="7"/>
        <item m="1" x="17"/>
        <item m="1" x="22"/>
        <item m="1" x="24"/>
        <item m="1" x="19"/>
        <item x="1"/>
        <item x="0"/>
        <item x="2"/>
        <item t="default"/>
      </items>
    </pivotField>
    <pivotField showAll="0" defaultSubtotal="0">
      <items count="2">
        <item x="0"/>
        <item m="1" x="1"/>
      </items>
    </pivotField>
    <pivotField showAll="0"/>
    <pivotField showAll="0"/>
    <pivotField showAll="0" defaultSubtota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10" showAll="0"/>
    <pivotField numFmtId="10" showAll="0"/>
    <pivotField numFmtId="10" showAll="0"/>
    <pivotField numFmtId="10" showAll="0" defaultSubtotal="0"/>
    <pivotField numFmtId="10" showAll="0"/>
    <pivotField numFmtId="10" showAll="0"/>
    <pivotField numFmtId="10" showAll="0"/>
    <pivotField numFmtId="10" showAll="0"/>
    <pivotField numFmtId="10" showAll="0" defaultSubtotal="0"/>
    <pivotField numFmtId="10" showAll="0"/>
    <pivotField numFmtId="10" showAll="0"/>
    <pivotField numFmtId="10" showAll="0"/>
    <pivotField numFmtId="10" showAll="0"/>
    <pivotField numFmtId="10" showAll="0" defaultSubtotal="0"/>
    <pivotField numFmtId="10" showAll="0"/>
    <pivotField numFmtId="10" showAll="0" defaultSubtotal="0"/>
    <pivotField dataField="1" numFmtId="10" showAll="0" defaultSubtota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dataField="1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dataField="1"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dataField="1" showAll="0"/>
    <pivotField numFmtId="10" showAll="0"/>
    <pivotField numFmtId="164" showAll="0"/>
    <pivotField numFmtId="10" showAll="0" defaultSubtotal="0"/>
    <pivotField numFmtId="10" showAll="0"/>
    <pivotField dataField="1" numFmtId="10" showAll="0" defaultSubtotal="0"/>
    <pivotField numFmtI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/>
    <pivotField showAll="0"/>
    <pivotField showAll="0"/>
    <pivotField showAll="0"/>
    <pivotField axis="axisRow" showAll="0" defaultSubtotal="0">
      <items count="14">
        <item m="1" x="7"/>
        <item m="1" x="8"/>
        <item m="1" x="11"/>
        <item m="1" x="12"/>
        <item m="1" x="13"/>
        <item m="1" x="10"/>
        <item m="1" x="9"/>
        <item m="1" x="2"/>
        <item m="1" x="6"/>
        <item m="1" x="5"/>
        <item x="0"/>
        <item m="1" x="4"/>
        <item m="1" x="3"/>
        <item x="1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1">
    <field x="247"/>
  </rowFields>
  <rowItems count="3">
    <i>
      <x v="10"/>
    </i>
    <i>
      <x v="13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PENC" fld="127" subtotal="average" baseField="0" baseItem="0" numFmtId="9"/>
    <dataField name=" PECUF" fld="158" subtotal="average" baseField="74" baseItem="0" numFmtId="10"/>
    <dataField name=" PECNE" fld="174" subtotal="average" baseField="253" baseItem="0" numFmtId="9"/>
    <dataField name=" PECCUM" fld="182" subtotal="average" baseField="74" baseItem="0" numFmtId="10"/>
    <dataField name="Score calidad " fld="187" subtotal="average" baseField="37" baseItem="0" numFmtId="164"/>
  </dataFields>
  <formats count="69">
    <format dxfId="7574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7573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7572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7571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7570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7569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7568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7567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7566">
      <pivotArea outline="0" collapsedLevelsAreSubtotals="1" fieldPosition="0">
        <references count="1">
          <reference field="4294967294" count="1" selected="0">
            <x v="3"/>
          </reference>
        </references>
      </pivotArea>
    </format>
    <format dxfId="7565">
      <pivotArea outline="0" collapsedLevelsAreSubtotals="1" fieldPosition="0">
        <references count="1">
          <reference field="4294967294" count="1" selected="0">
            <x v="3"/>
          </reference>
        </references>
      </pivotArea>
    </format>
    <format dxfId="7564">
      <pivotArea outline="0" collapsedLevelsAreSubtotals="1" fieldPosition="0">
        <references count="1">
          <reference field="4294967294" count="1" selected="0">
            <x v="3"/>
          </reference>
        </references>
      </pivotArea>
    </format>
    <format dxfId="7563">
      <pivotArea outline="0" collapsedLevelsAreSubtotals="1" fieldPosition="0">
        <references count="1">
          <reference field="4294967294" count="1" selected="0">
            <x v="3"/>
          </reference>
        </references>
      </pivotArea>
    </format>
    <format dxfId="7562">
      <pivotArea outline="0" collapsedLevelsAreSubtotals="1" fieldPosition="0">
        <references count="1">
          <reference field="4294967294" count="1" selected="0">
            <x v="3"/>
          </reference>
        </references>
      </pivotArea>
    </format>
    <format dxfId="7561">
      <pivotArea outline="0" collapsedLevelsAreSubtotals="1" fieldPosition="0">
        <references count="1">
          <reference field="4294967294" count="1" selected="0">
            <x v="3"/>
          </reference>
        </references>
      </pivotArea>
    </format>
    <format dxfId="7560">
      <pivotArea field="5" type="button" dataOnly="0" labelOnly="1" outline="0"/>
    </format>
    <format dxfId="7559">
      <pivotArea dataOnly="0" labelOnly="1" outline="0" fieldPosition="0">
        <references count="1">
          <reference field="4294967294" count="2">
            <x v="1"/>
            <x v="3"/>
          </reference>
        </references>
      </pivotArea>
    </format>
    <format dxfId="7558">
      <pivotArea field="5" type="button" dataOnly="0" labelOnly="1" outline="0"/>
    </format>
    <format dxfId="7557">
      <pivotArea dataOnly="0" labelOnly="1" outline="0" fieldPosition="0">
        <references count="1">
          <reference field="4294967294" count="2">
            <x v="1"/>
            <x v="3"/>
          </reference>
        </references>
      </pivotArea>
    </format>
    <format dxfId="7556">
      <pivotArea dataOnly="0" labelOnly="1" grandRow="1" outline="0" fieldPosition="0"/>
    </format>
    <format dxfId="7555">
      <pivotArea dataOnly="0" labelOnly="1" grandRow="1" outline="0" fieldPosition="0"/>
    </format>
    <format dxfId="7554">
      <pivotArea outline="0" collapsedLevelsAreSubtotals="1" fieldPosition="0"/>
    </format>
    <format dxfId="7553">
      <pivotArea dataOnly="0" labelOnly="1" grandRow="1" outline="0" fieldPosition="0"/>
    </format>
    <format dxfId="7552">
      <pivotArea type="all" dataOnly="0" outline="0" fieldPosition="0"/>
    </format>
    <format dxfId="7551">
      <pivotArea outline="0" collapsedLevelsAreSubtotals="1" fieldPosition="0"/>
    </format>
    <format dxfId="7550">
      <pivotArea field="5" type="button" dataOnly="0" labelOnly="1" outline="0"/>
    </format>
    <format dxfId="7549">
      <pivotArea dataOnly="0" labelOnly="1" grandRow="1" outline="0" fieldPosition="0"/>
    </format>
    <format dxfId="7548">
      <pivotArea dataOnly="0" labelOnly="1" outline="0" fieldPosition="0">
        <references count="1">
          <reference field="4294967294" count="2">
            <x v="1"/>
            <x v="3"/>
          </reference>
        </references>
      </pivotArea>
    </format>
    <format dxfId="7547">
      <pivotArea grandRow="1" outline="0" collapsedLevelsAreSubtotals="1" fieldPosition="0"/>
    </format>
    <format dxfId="7546">
      <pivotArea type="all" dataOnly="0" outline="0" fieldPosition="0"/>
    </format>
    <format dxfId="7545">
      <pivotArea outline="0" collapsedLevelsAreSubtotals="1" fieldPosition="0"/>
    </format>
    <format dxfId="7544">
      <pivotArea field="5" type="button" dataOnly="0" labelOnly="1" outline="0"/>
    </format>
    <format dxfId="7543">
      <pivotArea dataOnly="0" labelOnly="1" grandRow="1" outline="0" fieldPosition="0"/>
    </format>
    <format dxfId="7542">
      <pivotArea dataOnly="0" labelOnly="1" outline="0" fieldPosition="0">
        <references count="1">
          <reference field="4294967294" count="2">
            <x v="1"/>
            <x v="3"/>
          </reference>
        </references>
      </pivotArea>
    </format>
    <format dxfId="7541">
      <pivotArea dataOnly="0" labelOnly="1" grandRow="1" outline="0" fieldPosition="0"/>
    </format>
    <format dxfId="7540">
      <pivotArea grandRow="1" outline="0" collapsedLevelsAreSubtotals="1" fieldPosition="0"/>
    </format>
    <format dxfId="7539">
      <pivotArea dataOnly="0" labelOnly="1" grandRow="1" outline="0" fieldPosition="0"/>
    </format>
    <format dxfId="7538">
      <pivotArea grandRow="1" outline="0" collapsedLevelsAreSubtotals="1" fieldPosition="0"/>
    </format>
    <format dxfId="7537">
      <pivotArea dataOnly="0" labelOnly="1" grandRow="1" outline="0" fieldPosition="0"/>
    </format>
    <format dxfId="7536">
      <pivotArea outline="0" collapsedLevelsAreSubtotals="1" fieldPosition="0">
        <references count="1">
          <reference field="4294967294" count="2" selected="0">
            <x v="1"/>
            <x v="3"/>
          </reference>
        </references>
      </pivotArea>
    </format>
    <format dxfId="7535">
      <pivotArea dataOnly="0" labelOnly="1" outline="0" fieldPosition="0">
        <references count="1">
          <reference field="4294967294" count="2">
            <x v="1"/>
            <x v="3"/>
          </reference>
        </references>
      </pivotArea>
    </format>
    <format dxfId="7534">
      <pivotArea dataOnly="0" labelOnly="1" outline="0" fieldPosition="0">
        <references count="1">
          <reference field="4294967294" count="2">
            <x v="1"/>
            <x v="3"/>
          </reference>
        </references>
      </pivotArea>
    </format>
    <format dxfId="7533">
      <pivotArea field="5" grandRow="1" outline="0" collapsedLevelsAreSubtotals="1">
        <references count="1">
          <reference field="4294967294" count="1" selected="0">
            <x v="1"/>
          </reference>
        </references>
      </pivotArea>
    </format>
    <format dxfId="7532">
      <pivotArea field="5" grandRow="1" outline="0" collapsedLevelsAreSubtotals="1">
        <references count="1">
          <reference field="4294967294" count="1" selected="0">
            <x v="3"/>
          </reference>
        </references>
      </pivotArea>
    </format>
    <format dxfId="7531">
      <pivotArea dataOnly="0" labelOnly="1" outline="0" fieldPosition="0">
        <references count="1">
          <reference field="4294967294" count="1">
            <x v="4"/>
          </reference>
        </references>
      </pivotArea>
    </format>
    <format dxfId="7530">
      <pivotArea field="5" grandRow="1" outline="0" collapsedLevelsAreSubtotals="1">
        <references count="1">
          <reference field="4294967294" count="3" selected="0">
            <x v="1"/>
            <x v="3"/>
            <x v="4"/>
          </reference>
        </references>
      </pivotArea>
    </format>
    <format dxfId="7529">
      <pivotArea field="5" grandRow="1" outline="0" collapsedLevelsAreSubtotals="1">
        <references count="1">
          <reference field="4294967294" count="3" selected="0">
            <x v="1"/>
            <x v="3"/>
            <x v="4"/>
          </reference>
        </references>
      </pivotArea>
    </format>
    <format dxfId="7528">
      <pivotArea field="5" grandRow="1" outline="0" collapsedLevelsAreSubtotals="1">
        <references count="1">
          <reference field="4294967294" count="3" selected="0">
            <x v="1"/>
            <x v="3"/>
            <x v="4"/>
          </reference>
        </references>
      </pivotArea>
    </format>
    <format dxfId="7527">
      <pivotArea field="5" grandRow="1" outline="0" collapsedLevelsAreSubtotals="1">
        <references count="1">
          <reference field="4294967294" count="3" selected="0">
            <x v="1"/>
            <x v="3"/>
            <x v="4"/>
          </reference>
        </references>
      </pivotArea>
    </format>
    <format dxfId="7526">
      <pivotArea field="4" type="button" dataOnly="0" labelOnly="1" outline="0"/>
    </format>
    <format dxfId="7525">
      <pivotArea field="4" grandRow="1" outline="0" collapsedLevelsAreSubtotals="1">
        <references count="1">
          <reference field="4294967294" count="2" selected="0">
            <x v="3"/>
            <x v="4"/>
          </reference>
        </references>
      </pivotArea>
    </format>
    <format dxfId="7524">
      <pivotArea field="4" grandRow="1" outline="0" collapsedLevelsAreSubtotals="1">
        <references count="1">
          <reference field="4294967294" count="3" selected="0">
            <x v="1"/>
            <x v="3"/>
            <x v="4"/>
          </reference>
        </references>
      </pivotArea>
    </format>
    <format dxfId="7523">
      <pivotArea field="4" grandRow="1" outline="0" collapsedLevelsAreSubtotals="1">
        <references count="1">
          <reference field="4294967294" count="3" selected="0">
            <x v="1"/>
            <x v="3"/>
            <x v="4"/>
          </reference>
        </references>
      </pivotArea>
    </format>
    <format dxfId="7522">
      <pivotArea outline="0" collapsedLevelsAreSubtotals="1" fieldPosition="0">
        <references count="1">
          <reference field="4294967294" count="2" selected="0">
            <x v="1"/>
            <x v="3"/>
          </reference>
        </references>
      </pivotArea>
    </format>
    <format dxfId="7521">
      <pivotArea dataOnly="0" labelOnly="1" outline="0" fieldPosition="0">
        <references count="1">
          <reference field="4294967294" count="2">
            <x v="1"/>
            <x v="3"/>
          </reference>
        </references>
      </pivotArea>
    </format>
    <format dxfId="7520">
      <pivotArea outline="0" collapsedLevelsAreSubtotals="1" fieldPosition="0">
        <references count="1">
          <reference field="4294967294" count="1" selected="0">
            <x v="4"/>
          </reference>
        </references>
      </pivotArea>
    </format>
    <format dxfId="7519">
      <pivotArea dataOnly="0" labelOnly="1" outline="0" fieldPosition="0">
        <references count="1">
          <reference field="4294967294" count="1">
            <x v="4"/>
          </reference>
        </references>
      </pivotArea>
    </format>
    <format dxfId="7518">
      <pivotArea type="all" dataOnly="0" outline="0" fieldPosition="0"/>
    </format>
    <format dxfId="7517">
      <pivotArea outline="0" collapsedLevelsAreSubtotals="1" fieldPosition="0"/>
    </format>
    <format dxfId="7516">
      <pivotArea field="4" type="button" dataOnly="0" labelOnly="1" outline="0"/>
    </format>
    <format dxfId="7515">
      <pivotArea dataOnly="0" labelOnly="1" grandRow="1" outline="0" fieldPosition="0"/>
    </format>
    <format dxfId="7514">
      <pivotArea dataOnly="0" labelOnly="1" outline="0" fieldPosition="0">
        <references count="1">
          <reference field="4294967294" count="3">
            <x v="1"/>
            <x v="3"/>
            <x v="4"/>
          </reference>
        </references>
      </pivotArea>
    </format>
    <format dxfId="7513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  <format dxfId="7512">
      <pivotArea field="4" grandRow="1" outline="0" collapsedLevelsAreSubtotals="1">
        <references count="1">
          <reference field="4294967294" count="4" selected="0">
            <x v="0"/>
            <x v="1"/>
            <x v="3"/>
            <x v="4"/>
          </reference>
        </references>
      </pivotArea>
    </format>
    <format dxfId="7511">
      <pivotArea field="4" grandRow="1" outline="0" collapsedLevelsAreSubtotals="1">
        <references count="1">
          <reference field="4294967294" count="4" selected="0">
            <x v="0"/>
            <x v="1"/>
            <x v="3"/>
            <x v="4"/>
          </reference>
        </references>
      </pivotArea>
    </format>
    <format dxfId="7510">
      <pivotArea field="4" grandRow="1" outline="0" collapsedLevelsAreSubtotals="1">
        <references count="1">
          <reference field="4294967294" count="4" selected="0">
            <x v="0"/>
            <x v="1"/>
            <x v="3"/>
            <x v="4"/>
          </reference>
        </references>
      </pivotArea>
    </format>
    <format dxfId="7509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7508">
      <pivotArea outline="0" collapsedLevelsAreSubtotals="1" fieldPosition="0">
        <references count="1">
          <reference field="4294967294" count="1" selected="0">
            <x v="4"/>
          </reference>
        </references>
      </pivotArea>
    </format>
    <format dxfId="7507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7506">
      <pivotArea dataOnly="0" labelOnly="1" outline="0" fieldPosition="0">
        <references count="1">
          <reference field="4294967294" count="1">
            <x v="2"/>
          </reference>
        </references>
      </pivotArea>
    </format>
  </formats>
  <conditionalFormats count="1">
    <conditionalFormat priority="1">
      <pivotAreas count="1">
        <pivotArea type="data" outline="0" collapsedLevelsAreSubtotals="1" fieldPosition="0">
          <references count="1">
            <reference field="4294967294" count="3" selected="0">
              <x v="0"/>
              <x v="1"/>
              <x v="3"/>
            </reference>
          </references>
        </pivotArea>
      </pivotAreas>
    </conditionalFormat>
  </conditionalFormats>
  <pivotTableStyleInfo name="PivotStyleMedium10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Supervisor" xr10:uid="{00000000-0013-0000-FFFF-FFFF01000000}" sourceName="Supervisor">
  <pivotTables>
    <pivotTable tabId="23" name="TablaDinámica3"/>
    <pivotTable tabId="29" name="TablaDinámica4"/>
    <pivotTable tabId="31" name="TablaDinámica1"/>
    <pivotTable tabId="27" name="proceso"/>
    <pivotTable tabId="29" name="Resumen Agente"/>
  </pivotTables>
  <data>
    <tabular pivotCacheId="2142520812">
      <items count="26">
        <i x="2" s="1"/>
        <i x="5" s="1" nd="1"/>
        <i x="9" s="1" nd="1"/>
        <i x="22" s="1" nd="1"/>
        <i x="20" s="1" nd="1"/>
        <i x="13" s="1" nd="1"/>
        <i x="19" s="1" nd="1"/>
        <i x="17" s="1" nd="1"/>
        <i x="18" s="1" nd="1"/>
        <i x="21" s="1" nd="1"/>
        <i x="14" s="1" nd="1"/>
        <i x="11" s="1" nd="1"/>
        <i x="25" s="1" nd="1"/>
        <i x="1" s="1" nd="1"/>
        <i x="6" s="1" nd="1"/>
        <i x="8" s="1" nd="1"/>
        <i x="24" s="1" nd="1"/>
        <i x="16" s="1" nd="1"/>
        <i x="0" s="1" nd="1"/>
        <i x="12" s="1" nd="1"/>
        <i x="3" s="1" nd="1"/>
        <i x="23" s="1" nd="1"/>
        <i x="7" s="1" nd="1"/>
        <i x="10" s="1" nd="1"/>
        <i x="15" s="1" nd="1"/>
        <i x="4" s="1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Antigüedad" xr10:uid="{00000000-0013-0000-FFFF-FFFF05000000}" sourceName="Antigüedad">
  <pivotTables>
    <pivotTable tabId="29" name="TablaDinámica4"/>
    <pivotTable tabId="29" name="Resumen Agente"/>
  </pivotTables>
  <data>
    <tabular pivotCacheId="2142520812">
      <items count="2">
        <i x="1" s="1"/>
        <i x="0" s="1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mes" xr10:uid="{00000000-0013-0000-FFFF-FFFF06000000}" sourceName="mes">
  <pivotTables>
    <pivotTable tabId="23" name="TablaDinámica3"/>
    <pivotTable tabId="29" name="TablaDinámica4"/>
    <pivotTable tabId="27" name="proceso"/>
    <pivotTable tabId="31" name="TablaDinámica1"/>
    <pivotTable tabId="29" name="Resumen Agente"/>
  </pivotTables>
  <data>
    <tabular pivotCacheId="2142520812">
      <items count="14">
        <i x="1" s="1"/>
        <i x="0"/>
        <i x="7" nd="1"/>
        <i x="6" nd="1"/>
        <i x="13" nd="1"/>
        <i x="8" nd="1"/>
        <i x="10" nd="1"/>
        <i x="3" nd="1"/>
        <i x="4" nd="1"/>
        <i x="11" nd="1"/>
        <i x="12" nd="1"/>
        <i x="5" nd="1"/>
        <i x="9" nd="1"/>
        <i x="2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4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mes1" xr10:uid="{00000000-0013-0000-FFFF-FFFF07000000}" sourceName="mes">
  <pivotTables>
    <pivotTable tabId="36" name="TablaDinámica1"/>
  </pivotTables>
  <data>
    <tabular pivotCacheId="2142520812">
      <items count="14">
        <i x="1" s="1"/>
        <i x="0" s="1"/>
        <i x="7" s="1" nd="1"/>
        <i x="6" s="1" nd="1"/>
        <i x="13" s="1" nd="1"/>
        <i x="8" s="1" nd="1"/>
        <i x="10" s="1" nd="1"/>
        <i x="3" s="1" nd="1"/>
        <i x="4" s="1" nd="1"/>
        <i x="11" s="1" nd="1"/>
        <i x="12" s="1" nd="1"/>
        <i x="5" s="1" nd="1"/>
        <i x="9" s="1" nd="1"/>
        <i x="2" s="1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5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Antigüedad1" xr10:uid="{EF33767A-0069-4F62-89E0-CBBDB043D5FE}" sourceName="Antigüedad">
  <pivotTables>
    <pivotTable tabId="31" name="TablaDinámica1"/>
  </pivotTables>
  <data>
    <tabular pivotCacheId="2142520812">
      <items count="2">
        <i x="1" s="1"/>
        <i x="0" s="1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6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Antigüedad2" xr10:uid="{4A2C5C29-8F38-4A78-966C-EE9DDE2020E3}" sourceName="Antigüedad">
  <pivotTables>
    <pivotTable tabId="27" name="proceso"/>
  </pivotTables>
  <data>
    <tabular pivotCacheId="2142520812">
      <items count="2">
        <i x="1" s="1"/>
        <i x="0" s="1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Supervisor 3" xr10:uid="{00000000-0014-0000-FFFF-FFFF01000000}" cache="SegmentaciónDeDatos_Supervisor" caption="Supervisor" style="SlicerStyleDark3" rowHeight="241300"/>
  <slicer name="mes 2" xr10:uid="{00000000-0014-0000-FFFF-FFFF04000000}" cache="SegmentaciónDeDatos_mes" caption="mes" style="SlicerStyleDark3" rowHeight="241300"/>
  <slicer name="Antigüedad 2" xr10:uid="{F22F932F-8781-474E-BCD6-428E2E3DB156}" cache="SegmentaciónDeDatos_Antigüedad2" caption="Antigüedad" style="SlicerStyleOther1" rowHeight="241300"/>
</slicers>
</file>

<file path=xl/slicers/slicer2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Supervisor 2" xr10:uid="{00000000-0014-0000-FFFF-FFFF05000000}" cache="SegmentaciónDeDatos_Supervisor" caption="Supervisor" style="SlicerStyleDark3" rowHeight="241300"/>
  <slicer name="mes 3" xr10:uid="{00000000-0014-0000-FFFF-FFFF08000000}" cache="SegmentaciónDeDatos_mes" caption="mes" style="SlicerStyleDark3" rowHeight="241300"/>
  <slicer name="Antigüedad 1" xr10:uid="{4F42F90A-EE73-449F-8D17-CB3C7E7F09D8}" cache="SegmentaciónDeDatos_Antigüedad1" caption="Antigüedad" style="SlicerStyleOther1" rowHeight="241300"/>
</slicers>
</file>

<file path=xl/slicers/slicer3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Supervisor 1" xr10:uid="{00000000-0014-0000-FFFF-FFFF09000000}" cache="SegmentaciónDeDatos_Supervisor" caption="Supervisor" style="SlicerStyleDark3" rowHeight="241300"/>
  <slicer name="Antigüedad" xr10:uid="{00000000-0014-0000-FFFF-FFFF0C000000}" cache="SegmentaciónDeDatos_Antigüedad" caption="Antigüedad" style="SlicerStyleDark3" rowHeight="241300"/>
  <slicer name="mes 1" xr10:uid="{00000000-0014-0000-FFFF-FFFF0D000000}" cache="SegmentaciónDeDatos_mes" caption="mes" style="SlicerStyleDark3" rowHeight="241300"/>
</slicers>
</file>

<file path=xl/slicers/slicer4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Supervisor" xr10:uid="{00000000-0014-0000-FFFF-FFFF0E000000}" cache="SegmentaciónDeDatos_Supervisor" caption="Supervisor" style="SlicerStyleDark3" rowHeight="241300"/>
  <slicer name="mes" xr10:uid="{00000000-0014-0000-FFFF-FFFF12000000}" cache="SegmentaciónDeDatos_mes" caption="mes" style="SlicerStyleDark3" rowHeight="241300"/>
</slicers>
</file>

<file path=xl/slicers/slicer5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mes 4" xr10:uid="{00000000-0014-0000-FFFF-FFFF13000000}" cache="SegmentaciónDeDatos_mes1" caption="mes" columnCount="3" style="SlicerStyleDark2" rowHeight="241300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0000000}" name="Data" displayName="Data" ref="A3:IS36" totalsRowShown="0" headerRowDxfId="8159" dataDxfId="8158" tableBorderDxfId="8157">
  <autoFilter ref="A3:IS36" xr:uid="{00000000-0009-0000-0100-000003000000}"/>
  <tableColumns count="253">
    <tableColumn id="1" xr3:uid="{00000000-0010-0000-0000-000001000000}" name="Nombre del Agente:" dataDxfId="8156"/>
    <tableColumn id="2" xr3:uid="{00000000-0010-0000-0000-000002000000}" name="ID Transacción:" dataDxfId="8155"/>
    <tableColumn id="3" xr3:uid="{00000000-0010-0000-0000-000003000000}" name="Fecha:" dataDxfId="8154"/>
    <tableColumn id="4" xr3:uid="{00000000-0010-0000-0000-000004000000}" name="Campaña:" dataDxfId="8153"/>
    <tableColumn id="5" xr3:uid="{00000000-0010-0000-0000-000005000000}" name="Supervisor" dataDxfId="8152"/>
    <tableColumn id="6" xr3:uid="{00000000-0010-0000-0000-000006000000}" name="Proceso" dataDxfId="8151"/>
    <tableColumn id="7" xr3:uid="{00000000-0010-0000-0000-000007000000}" name="Auditor" dataDxfId="8150"/>
    <tableColumn id="8" xr3:uid="{00000000-0010-0000-0000-000008000000}" name="Semana" dataDxfId="8149"/>
    <tableColumn id="9" xr3:uid="{00000000-0010-0000-0000-000009000000}" name="Tipo de Muestra" dataDxfId="8148"/>
    <tableColumn id="10" xr3:uid="{00000000-0010-0000-0000-00000A000000}" name="¿El agente realiza despedida corporativa? " dataDxfId="8147"/>
    <tableColumn id="11" xr3:uid="{00000000-0010-0000-0000-00000B000000}" name="¿El agente personaliza la interacción? " dataDxfId="8146"/>
    <tableColumn id="12" xr3:uid="{00000000-0010-0000-0000-00000C000000}" name="¿El agente cumple con la identificación formal y profesional? " dataDxfId="8145"/>
    <tableColumn id="13" xr3:uid="{00000000-0010-0000-0000-00000D000000}" name="¿El agente demuestra escucha activa durante la gestión? " dataDxfId="8144"/>
    <tableColumn id="14" xr3:uid="{00000000-0010-0000-0000-00000E000000}" name="¿El agente evita interrumpir al cliente? " dataDxfId="8143"/>
    <tableColumn id="15" xr3:uid="{00000000-0010-0000-0000-00000F000000}" name="¿El agente se comunica con claridad y estructura? " dataDxfId="8142"/>
    <tableColumn id="16" xr3:uid="{00000000-0010-0000-0000-000010000000}" name="¿El agente parafrasea para confirmar entendimiento? " dataDxfId="8141"/>
    <tableColumn id="17" xr3:uid="{00000000-0010-0000-0000-000011000000}" name="¿El agente muestra entusiasmo genuino? " dataDxfId="8140"/>
    <tableColumn id="18" xr3:uid="{00000000-0010-0000-0000-000012000000}" name="¿El agente adapta su comunicación al cliente? " dataDxfId="8139"/>
    <tableColumn id="19" xr3:uid="{00000000-0010-0000-0000-000013000000}" name="¿El agente transmite confianza durante la llamada? " dataDxfId="8138"/>
    <tableColumn id="20" xr3:uid="{00000000-0010-0000-0000-000014000000}" name="¿El agente utiliza el plural corporativo correctamente? " dataDxfId="8137"/>
    <tableColumn id="190" xr3:uid="{00000000-0010-0000-0000-0000BE000000}" name="¿El agente gestiona bien el tiempo de la interacción? " dataDxfId="8136"/>
    <tableColumn id="21" xr3:uid="{00000000-0010-0000-0000-000015000000}" name="¿El agente informa correctamente sobre los centros de pago? " dataDxfId="8135"/>
    <tableColumn id="22" xr3:uid="{00000000-0010-0000-0000-000016000000}" name="¿El agente comunica claramente el precio mensual más impuestos? " dataDxfId="8134"/>
    <tableColumn id="23" xr3:uid="{00000000-0010-0000-0000-000017000000}" name="¿El agente informa sobre cargos adicionales relacionados? " dataDxfId="8133"/>
    <tableColumn id="24" xr3:uid="{00000000-0010-0000-0000-000018000000}" name="¿El agente explica el ciclo de facturación adecuadamente? " dataDxfId="8132"/>
    <tableColumn id="25" xr3:uid="{00000000-0010-0000-0000-000019000000}" name="¿El agente presenta correctamente los beneficios del producto? " dataDxfId="8131"/>
    <tableColumn id="26" xr3:uid="{00000000-0010-0000-0000-00001A000000}" name="¿El agente comunica beneficios emocionales al cliente? " dataDxfId="8130"/>
    <tableColumn id="27" xr3:uid="{00000000-0010-0000-0000-00001B000000}" name="¿El agente realiza un resumen comercial adecuado? " dataDxfId="8129"/>
    <tableColumn id="28" xr3:uid="{00000000-0010-0000-0000-00001C000000}" name="¿El agente detalla correctamente los tiempos operativos? " dataDxfId="8128"/>
    <tableColumn id="199" xr3:uid="{00000000-0010-0000-0000-0000C7000000}" name="¿El agente explica los términos y condiciones del servicio? " dataDxfId="8127"/>
    <tableColumn id="200" xr3:uid="{00000000-0010-0000-0000-0000C8000000}" name="¿El agente identifica correctamente la solicitud del cliente? " dataDxfId="8126"/>
    <tableColumn id="197" xr3:uid="{00000000-0010-0000-0000-0000C5000000}" name="¿El agente evita activar un servicio diferente al solicitado? " dataDxfId="8125"/>
    <tableColumn id="198" xr3:uid="{00000000-0010-0000-0000-0000C6000000}" name="¿El agente utiliza correctamente la herramienta de activación? " dataDxfId="8124"/>
    <tableColumn id="195" xr3:uid="{00000000-0010-0000-0000-0000C3000000}" name="¿El agente configura adecuadamente el producto contratado? " dataDxfId="8123"/>
    <tableColumn id="196" xr3:uid="{00000000-0010-0000-0000-0000C4000000}" name="¿El agente mantiene respeto y cordialidad en toda la interacción? " dataDxfId="8122"/>
    <tableColumn id="193" xr3:uid="{00000000-0010-0000-0000-0000C1000000}" name="¿El agente utiliza un lenguaje adecuado y profesional? " dataDxfId="8121"/>
    <tableColumn id="194" xr3:uid="{00000000-0010-0000-0000-0000C2000000}" name="¿El agente verifica correctamente la cobertura? " dataDxfId="8120"/>
    <tableColumn id="203" xr3:uid="{00000000-0010-0000-0000-0000CB000000}" name="¿El agente solicita la documentación requerida? " dataDxfId="8119"/>
    <tableColumn id="204" xr3:uid="{00000000-0010-0000-0000-0000CC000000}" name="¿El agente adjunta correctamente la documentación al sistema? " dataDxfId="8118"/>
    <tableColumn id="205" xr3:uid="{00000000-0010-0000-0000-0000CD000000}" name="¿El agente identifica cuentas malas cuando corresponde? " dataDxfId="8117"/>
    <tableColumn id="201" xr3:uid="{00000000-0010-0000-0000-0000C9000000}" name="¿El agente realiza la verificación APC según procedimiento? " dataDxfId="8116"/>
    <tableColumn id="202" xr3:uid="{00000000-0010-0000-0000-0000CA000000}" name="¿El agente aplica las políticas comerciales de forma correcta? " dataDxfId="8115"/>
    <tableColumn id="192" xr3:uid="{00000000-0010-0000-0000-0000C0000000}" name="¿El agente agenda citas o gestiones cuando es necesario? " dataDxfId="8114"/>
    <tableColumn id="29" xr3:uid="{00000000-0010-0000-0000-00001D000000}" name="¿El agente ofrece adecuadamente un producto adicional? " dataDxfId="8113"/>
    <tableColumn id="30" xr3:uid="{00000000-0010-0000-0000-00001E000000}" name="¿El agente realiza venta cruzada cuando corresponde? " dataDxfId="8112"/>
    <tableColumn id="31" xr3:uid="{00000000-0010-0000-0000-00001F000000}" name="¿El agente indaga o sondea adecuadamente las necesidades del cliente? " dataDxfId="8111"/>
    <tableColumn id="32" xr3:uid="{00000000-0010-0000-0000-000020000000}" name="¿El agente solicita y gestiona referidos cuando aplica?" dataDxfId="8110"/>
    <tableColumn id="33" xr3:uid="{00000000-0010-0000-0000-000021000000}" name="¿El agente realiza seguimiento adecuado al caso o solicitud? " dataDxfId="8109"/>
    <tableColumn id="34" xr3:uid="{00000000-0010-0000-0000-000022000000}" name="¿El agente maneja correctamente las objeciones del cliente? " dataDxfId="8108"/>
    <tableColumn id="35" xr3:uid="{00000000-0010-0000-0000-000023000000}" name="¿El agente gestiona la oferta según la campaña vigente? " dataDxfId="8107"/>
    <tableColumn id="36" xr3:uid="{00000000-0010-0000-0000-000024000000}" name="¿El agente solicita coordenadas cuando es necesario? " dataDxfId="8106"/>
    <tableColumn id="37" xr3:uid="{00000000-0010-0000-0000-000025000000}" name="¿El agente gestiona la recepción de documentos por WhatsApp o correo? " dataDxfId="8105"/>
    <tableColumn id="38" xr3:uid="{00000000-0010-0000-0000-000026000000}" name="¿El agente maneja adecuadamente llamadas en conferencia? " dataDxfId="8104"/>
    <tableColumn id="39" xr3:uid="{00000000-0010-0000-0000-000027000000}" name="¿El agente registra correctamente todas las interacciones? " dataDxfId="8103"/>
    <tableColumn id="40" xr3:uid="{00000000-0010-0000-0000-000028000000}" name="¿El agente confirma la titularidad del cliente adecuadamente? " dataDxfId="8102"/>
    <tableColumn id="41" xr3:uid="{00000000-0010-0000-0000-000029000000}" name="¿El agente evita la omisión de alertas importantes? " dataDxfId="8101"/>
    <tableColumn id="42" xr3:uid="{00000000-0010-0000-0000-00002A000000}" name="¿El agente mantiene conducta ética durante la interacción? " dataDxfId="8100"/>
    <tableColumn id="43" xr3:uid="{00000000-0010-0000-0000-00002B000000}" name="¿El agente evita compartir información sensible? " dataDxfId="8099"/>
    <tableColumn id="48" xr3:uid="{00000000-0010-0000-0000-000030000000}" name="Observaciones" dataDxfId="8098"/>
    <tableColumn id="49" xr3:uid="{00000000-0010-0000-0000-000031000000}" name="Resultado auditoria" dataDxfId="8097">
      <calculatedColumnFormula>Data[[#This Row],[Tipo de Muestra]]</calculatedColumnFormula>
    </tableColumn>
    <tableColumn id="206" xr3:uid="{00000000-0010-0000-0000-0000CE000000}" name="Acepta Oferta" dataDxfId="8096"/>
    <tableColumn id="46" xr3:uid="{00000000-0010-0000-0000-00002E000000}" name="Motivo de no aceptacion" dataDxfId="8095"/>
    <tableColumn id="212" xr3:uid="{00000000-0010-0000-0000-0000D4000000}" name="¿El agente cumple con la identificación formal y profesional?2" dataDxfId="8094">
      <calculatedColumnFormula>IF(OR(J4="Si",J4="N/A"),1,0)</calculatedColumnFormula>
    </tableColumn>
    <tableColumn id="213" xr3:uid="{00000000-0010-0000-0000-0000D5000000}" name="¿El agente personaliza la interacción?3" dataDxfId="8093">
      <calculatedColumnFormula>IF(OR(K4="Si",K4="N/A"),1,0)</calculatedColumnFormula>
    </tableColumn>
    <tableColumn id="214" xr3:uid="{00000000-0010-0000-0000-0000D6000000}" name="¿El agente realiza despedida corporativa?4" dataDxfId="8092">
      <calculatedColumnFormula>IF(OR(L4="Si",L4="N/A"),1,0)</calculatedColumnFormula>
    </tableColumn>
    <tableColumn id="215" xr3:uid="{00000000-0010-0000-0000-0000D7000000}" name="¿El agente demuestra escucha activa durante la gestión?5" dataDxfId="8091">
      <calculatedColumnFormula>IF(OR(M4="Si",M4="N/A"),1,0)</calculatedColumnFormula>
    </tableColumn>
    <tableColumn id="216" xr3:uid="{00000000-0010-0000-0000-0000D8000000}" name="¿El agente evita interrumpir al cliente?6" dataDxfId="8090">
      <calculatedColumnFormula>IF(OR(N4="Si",N4="N/A"),1,0)</calculatedColumnFormula>
    </tableColumn>
    <tableColumn id="217" xr3:uid="{00000000-0010-0000-0000-0000D9000000}" name="¿El agente se comunica con claridad y estructura?7" dataDxfId="8089">
      <calculatedColumnFormula>IF(OR(O4="Si",O4="N/A"),1,0)</calculatedColumnFormula>
    </tableColumn>
    <tableColumn id="218" xr3:uid="{00000000-0010-0000-0000-0000DA000000}" name="¿El agente parafrasea para confirmar entendimiento?8" dataDxfId="8088">
      <calculatedColumnFormula>IF(OR(P4="Si",P4="N/A"),1,0)</calculatedColumnFormula>
    </tableColumn>
    <tableColumn id="219" xr3:uid="{00000000-0010-0000-0000-0000DB000000}" name="¿El agente adapta su comunicación al cliente?9" dataDxfId="8087">
      <calculatedColumnFormula>IF(OR(Q4="Si",Q4="N/A"),1,0)</calculatedColumnFormula>
    </tableColumn>
    <tableColumn id="220" xr3:uid="{00000000-0010-0000-0000-0000DC000000}" name="¿El agente muestra entusiasmo genuino?10" dataDxfId="8086">
      <calculatedColumnFormula>IF(OR(R4="Si",R4="N/A"),1,0)</calculatedColumnFormula>
    </tableColumn>
    <tableColumn id="221" xr3:uid="{00000000-0010-0000-0000-0000DD000000}" name="¿El agente transmite confianza durante la llamada?11" dataDxfId="8085">
      <calculatedColumnFormula>IF(OR(S4="Si",S4="N/A"),1,0)</calculatedColumnFormula>
    </tableColumn>
    <tableColumn id="222" xr3:uid="{00000000-0010-0000-0000-0000DE000000}" name="¿El agente utiliza el plural corporativo correctamente?12" dataDxfId="8084">
      <calculatedColumnFormula>IF(OR(T4="Si",T4="N/A"),1,0)</calculatedColumnFormula>
    </tableColumn>
    <tableColumn id="223" xr3:uid="{00000000-0010-0000-0000-0000DF000000}" name="¿El agente mantiene control de la conversación?13" dataDxfId="8083">
      <calculatedColumnFormula>IF(OR(U4="Si",U4="N/A"),1,0)</calculatedColumnFormula>
    </tableColumn>
    <tableColumn id="51" xr3:uid="{00000000-0010-0000-0000-000033000000}" name="¿El agente informa correctamente sobre los centros de pago?15" dataDxfId="8082">
      <calculatedColumnFormula>IF(OR(V4="Si",V4="N/A"),1,0)</calculatedColumnFormula>
    </tableColumn>
    <tableColumn id="52" xr3:uid="{00000000-0010-0000-0000-000034000000}" name="¿El agente comunica claramente el precio mensual más impuestos?16" dataDxfId="8081">
      <calculatedColumnFormula>IF(OR(W4="Si",W4="N/A"),1,0)</calculatedColumnFormula>
    </tableColumn>
    <tableColumn id="53" xr3:uid="{00000000-0010-0000-0000-000035000000}" name="¿El agente informa sobre cargos adicionales relacionados?17" dataDxfId="8080">
      <calculatedColumnFormula>IF(OR(X4="Sí",X4="N/A"),1,0)</calculatedColumnFormula>
    </tableColumn>
    <tableColumn id="54" xr3:uid="{00000000-0010-0000-0000-000036000000}" name="¿El agente explica el ciclo de facturación adecuadamente?18" dataDxfId="8079">
      <calculatedColumnFormula>IF(OR(Y4="Sí",Y4="N/A"),1,0)</calculatedColumnFormula>
    </tableColumn>
    <tableColumn id="55" xr3:uid="{00000000-0010-0000-0000-000037000000}" name="¿El agente presenta correctamente los beneficios del producto?19" dataDxfId="8078">
      <calculatedColumnFormula>IF(OR(Z4="Sí",Z4="N/A"),1,0)</calculatedColumnFormula>
    </tableColumn>
    <tableColumn id="56" xr3:uid="{00000000-0010-0000-0000-000038000000}" name="¿El agente comunica beneficios emocionales al cliente?20" dataDxfId="8077">
      <calculatedColumnFormula>IF(OR(AA4="Sí",AA4="N/A"),1,0)</calculatedColumnFormula>
    </tableColumn>
    <tableColumn id="57" xr3:uid="{00000000-0010-0000-0000-000039000000}" name="¿El agente realiza un resumen comercial adecuado?21" dataDxfId="8076">
      <calculatedColumnFormula>IF(OR(AB4="Sí",AB4="N/A"),1,0)</calculatedColumnFormula>
    </tableColumn>
    <tableColumn id="58" xr3:uid="{00000000-0010-0000-0000-00003A000000}" name="¿El agente detalla correctamente los tiempos operativos?22" dataDxfId="8075">
      <calculatedColumnFormula>IF(OR(AC4="Sí",AC4="N/A"),1,0)</calculatedColumnFormula>
    </tableColumn>
    <tableColumn id="59" xr3:uid="{00000000-0010-0000-0000-00003B000000}" name="¿El agente formaliza correctamente el acuerdo de venta?23" dataDxfId="8074">
      <calculatedColumnFormula>IF(OR(AD4="Sí",AD4="N/A"),1,0)</calculatedColumnFormula>
    </tableColumn>
    <tableColumn id="60" xr3:uid="{00000000-0010-0000-0000-00003C000000}" name="¿El agente explica los términos y condiciones del servicio?24" dataDxfId="8073">
      <calculatedColumnFormula>IF(OR(AE4="Sí",AE4="N/A"),1,0)</calculatedColumnFormula>
    </tableColumn>
    <tableColumn id="61" xr3:uid="{00000000-0010-0000-0000-00003D000000}" name="¿El agente identifica correctamente la solicitud del cliente?25" dataDxfId="8072">
      <calculatedColumnFormula>IF(OR(AF4="Sí",AF4="N/A"),1,0)</calculatedColumnFormula>
    </tableColumn>
    <tableColumn id="62" xr3:uid="{00000000-0010-0000-0000-00003E000000}" name="¿El agente evita activar un servicio diferente al solicitado?26" dataDxfId="8071">
      <calculatedColumnFormula>IF(OR(AG4="Sí",AG4="N/A"),1,0)</calculatedColumnFormula>
    </tableColumn>
    <tableColumn id="63" xr3:uid="{00000000-0010-0000-0000-00003F000000}" name="¿El agente utiliza correctamente la herramienta de activación?27" dataDxfId="8070">
      <calculatedColumnFormula>IF(OR(AH4="Sí",AH4="N/A"),1,0)</calculatedColumnFormula>
    </tableColumn>
    <tableColumn id="64" xr3:uid="{00000000-0010-0000-0000-000040000000}" name="¿El agente configura adecuadamente el producto contratado?28" dataDxfId="8069">
      <calculatedColumnFormula>IF(OR(AI4="Sí",AI4="N/A"),1,0)</calculatedColumnFormula>
    </tableColumn>
    <tableColumn id="65" xr3:uid="{00000000-0010-0000-0000-000041000000}" name="¿El agente mantiene respeto y cordialidad en toda la interacción?29" dataDxfId="8068">
      <calculatedColumnFormula>IF(OR(AJ4="Sí",AJ4="N/A"),1,0)</calculatedColumnFormula>
    </tableColumn>
    <tableColumn id="66" xr3:uid="{00000000-0010-0000-0000-000042000000}" name="¿El agente utiliza un lenguaje adecuado y profesional?30" dataDxfId="8067">
      <calculatedColumnFormula>IF(OR(AK4="Sí",AK4="N/A"),1,0)</calculatedColumnFormula>
    </tableColumn>
    <tableColumn id="67" xr3:uid="{00000000-0010-0000-0000-000043000000}" name="¿El agente verifica correctamente la cobertura?31" dataDxfId="8066">
      <calculatedColumnFormula>IF(OR(AL4="Sí",AL4="N/A"),1,0)</calculatedColumnFormula>
    </tableColumn>
    <tableColumn id="68" xr3:uid="{00000000-0010-0000-0000-000044000000}" name="¿El agente solicita la documentación requerida?32" dataDxfId="8065">
      <calculatedColumnFormula>IF(OR(AM4="Sí",AM4="N/A"),1,0)</calculatedColumnFormula>
    </tableColumn>
    <tableColumn id="69" xr3:uid="{00000000-0010-0000-0000-000045000000}" name="¿El agente adjunta correctamente la documentación al sistema?33" dataDxfId="8064">
      <calculatedColumnFormula>IF(OR(AN4="Sí",AN4="N/A"),1,0)</calculatedColumnFormula>
    </tableColumn>
    <tableColumn id="70" xr3:uid="{00000000-0010-0000-0000-000046000000}" name="¿El agente identifica cuentas malas cuando corresponde?34" dataDxfId="8063">
      <calculatedColumnFormula>IF(OR(AO4="Sí",AO4="N/A"),1,0)</calculatedColumnFormula>
    </tableColumn>
    <tableColumn id="71" xr3:uid="{00000000-0010-0000-0000-000047000000}" name="¿El agente realiza la verificación APC según procedimiento?35" dataDxfId="8062">
      <calculatedColumnFormula>IF(OR(AP4="Sí",AP4="N/A"),1,0)</calculatedColumnFormula>
    </tableColumn>
    <tableColumn id="72" xr3:uid="{00000000-0010-0000-0000-000048000000}" name="¿El agente aplica las políticas comerciales de forma correcta?36" dataDxfId="8061">
      <calculatedColumnFormula>IF(OR(AQ4="Sí",AQ4="N/A"),1,0)</calculatedColumnFormula>
    </tableColumn>
    <tableColumn id="74" xr3:uid="{00000000-0010-0000-0000-00004A000000}" name="¿El agente ofrece adecuadamente un producto adicional?38" dataDxfId="8060">
      <calculatedColumnFormula>IF(OR(AR4="Sí",AR4="N/A"),1,0)</calculatedColumnFormula>
    </tableColumn>
    <tableColumn id="75" xr3:uid="{00000000-0010-0000-0000-00004B000000}" name="¿El agente realiza venta cruzada cuando corresponde?39" dataDxfId="8059">
      <calculatedColumnFormula>IF(OR(AS4="Sí",AS4="N/A"),1,0)</calculatedColumnFormula>
    </tableColumn>
    <tableColumn id="76" xr3:uid="{00000000-0010-0000-0000-00004C000000}" name="¿El agente indaga o sondea adecuadamente las necesidades del cliente?40" dataDxfId="8058">
      <calculatedColumnFormula>IF(OR(AT4="Sí",AT4="N/A"),1,0)</calculatedColumnFormula>
    </tableColumn>
    <tableColumn id="77" xr3:uid="{00000000-0010-0000-0000-00004D000000}" name="El agente solicita y gestiona referidos cuando aplica?41" dataDxfId="8057">
      <calculatedColumnFormula>IF(OR(AU4="Sí",AU4="N/A"),1,0)</calculatedColumnFormula>
    </tableColumn>
    <tableColumn id="78" xr3:uid="{00000000-0010-0000-0000-00004E000000}" name="¿El agente realiza seguimiento adecuado al caso o solicitud?42" dataDxfId="8056">
      <calculatedColumnFormula>IF(OR(AV4="Sí",AV4="N/A"),1,0)</calculatedColumnFormula>
    </tableColumn>
    <tableColumn id="79" xr3:uid="{00000000-0010-0000-0000-00004F000000}" name="¿El agente maneja correctamente las objeciones del cliente?43" dataDxfId="8055">
      <calculatedColumnFormula>IF(OR(AW4="Sí",AW4="N/A"),1,0)</calculatedColumnFormula>
    </tableColumn>
    <tableColumn id="80" xr3:uid="{00000000-0010-0000-0000-000050000000}" name="¿El agente gestiona la oferta según la campaña vigente?44" dataDxfId="8054">
      <calculatedColumnFormula>IF(OR(AX4="Sí",AX4="N/A"),1,0)</calculatedColumnFormula>
    </tableColumn>
    <tableColumn id="81" xr3:uid="{00000000-0010-0000-0000-000051000000}" name="¿El agente solicita coordenadas cuando es necesario?45" dataDxfId="8053">
      <calculatedColumnFormula>IF(OR(AY4="Sí",AY4="N/A"),1,0)</calculatedColumnFormula>
    </tableColumn>
    <tableColumn id="82" xr3:uid="{00000000-0010-0000-0000-000052000000}" name="¿El agente gestiona la recepción de documentos por WhatsApp o correo?46" dataDxfId="8052">
      <calculatedColumnFormula>IF(OR(AZ4="Sí",AZ4="N/A"),1,0)</calculatedColumnFormula>
    </tableColumn>
    <tableColumn id="83" xr3:uid="{00000000-0010-0000-0000-000053000000}" name="¿El agente maneja adecuadamente llamadas en conferencia?47" dataDxfId="8051">
      <calculatedColumnFormula>IF(OR(BA4="Sí",BA4="N/A"),1,0)</calculatedColumnFormula>
    </tableColumn>
    <tableColumn id="84" xr3:uid="{00000000-0010-0000-0000-000054000000}" name="¿El agente registra correctamente todas las interacciones?48" dataDxfId="8050">
      <calculatedColumnFormula>IF(OR(BB4="Sí",BB4="N/A"),1,0)</calculatedColumnFormula>
    </tableColumn>
    <tableColumn id="85" xr3:uid="{00000000-0010-0000-0000-000055000000}" name="¿El agente confirma la titularidad del cliente adecuadamente?49" dataDxfId="8049">
      <calculatedColumnFormula>IF(OR(BC4="Sí",BC4="N/A"),1,0)</calculatedColumnFormula>
    </tableColumn>
    <tableColumn id="86" xr3:uid="{00000000-0010-0000-0000-000056000000}" name="¿El agente evita la omisión de alertas importantes?50" dataDxfId="8048">
      <calculatedColumnFormula>IF(OR(BD4="Sí",BD4="N/A"),1,0)</calculatedColumnFormula>
    </tableColumn>
    <tableColumn id="87" xr3:uid="{00000000-0010-0000-0000-000057000000}" name="¿El agente mantiene conducta ética durante la interacción?51" dataDxfId="8047">
      <calculatedColumnFormula>IF(OR(BE4="Sí",BE4="N/A"),1,0)</calculatedColumnFormula>
    </tableColumn>
    <tableColumn id="88" xr3:uid="{00000000-0010-0000-0000-000058000000}" name="¿El agente evita compartir información sensible?52" dataDxfId="8046">
      <calculatedColumnFormula>IF(OR(BF4="Si",BF4="N/A"),1,0)</calculatedColumnFormula>
    </tableColumn>
    <tableColumn id="237" xr3:uid="{00000000-0010-0000-0000-0000ED000000}" name="¿El agente cumple con la identificación formal y profesional?3" dataDxfId="8045">
      <calculatedColumnFormula>IF((J4="No"),0,$DH$2)</calculatedColumnFormula>
    </tableColumn>
    <tableColumn id="233" xr3:uid="{00000000-0010-0000-0000-0000E9000000}" name="¿El agente personaliza la interacción?4" dataDxfId="8044">
      <calculatedColumnFormula>IF((K4="No"),0,$DH$2)</calculatedColumnFormula>
    </tableColumn>
    <tableColumn id="234" xr3:uid="{00000000-0010-0000-0000-0000EA000000}" name="¿El agente realiza despedida corporativa?5" dataDxfId="8043">
      <calculatedColumnFormula>IF((L4="No"),0,$DH$2)</calculatedColumnFormula>
    </tableColumn>
    <tableColumn id="235" xr3:uid="{00000000-0010-0000-0000-0000EB000000}" name="Apertura y cierre corporativo Score" dataDxfId="8042">
      <calculatedColumnFormula>IF(MIN(Data[[#This Row],[¿El agente cumple con la identificación formal y profesional?3]:[¿El agente realiza despedida corporativa?5]])=0,0,15%)</calculatedColumnFormula>
    </tableColumn>
    <tableColumn id="236" xr3:uid="{00000000-0010-0000-0000-0000EC000000}" name="¿El agente demuestra escucha activa durante la gestión?6" dataDxfId="8041">
      <calculatedColumnFormula>IF((M4="No"),0,$DL$2)</calculatedColumnFormula>
    </tableColumn>
    <tableColumn id="229" xr3:uid="{00000000-0010-0000-0000-0000E5000000}" name="¿El agente evita interrumpir al cliente?7" dataDxfId="8040">
      <calculatedColumnFormula>IF((N4="No"),0,$DL$2)</calculatedColumnFormula>
    </tableColumn>
    <tableColumn id="230" xr3:uid="{00000000-0010-0000-0000-0000E6000000}" name="¿El agente se comunica con claridad y estructura?8" dataDxfId="8039">
      <calculatedColumnFormula>IF((O4="No"),0,$DL$2)</calculatedColumnFormula>
    </tableColumn>
    <tableColumn id="231" xr3:uid="{00000000-0010-0000-0000-0000E7000000}" name="¿El agente parafrasea para confirmar entendimiento?9" dataDxfId="8038">
      <calculatedColumnFormula>IF((P4="No"),0,$DL$2)</calculatedColumnFormula>
    </tableColumn>
    <tableColumn id="232" xr3:uid="{00000000-0010-0000-0000-0000E8000000}" name="Comunicación comercial Score" dataDxfId="8037">
      <calculatedColumnFormula>IF(MIN(Data[[#This Row],[¿El agente demuestra escucha activa durante la gestión?6]:[¿El agente parafrasea para confirmar entendimiento?9]])=0,0,30%)</calculatedColumnFormula>
    </tableColumn>
    <tableColumn id="227" xr3:uid="{00000000-0010-0000-0000-0000E3000000}" name="¿El agente adapta su comunicación al cliente?11" dataDxfId="8036">
      <calculatedColumnFormula>IF((Q4="No"),0,$DQ$2)</calculatedColumnFormula>
    </tableColumn>
    <tableColumn id="228" xr3:uid="{00000000-0010-0000-0000-0000E4000000}" name="¿El agente muestra entusiasmo genuino?12" dataDxfId="8035">
      <calculatedColumnFormula>IF((R4="No"),0,$DQ$2)</calculatedColumnFormula>
    </tableColumn>
    <tableColumn id="226" xr3:uid="{00000000-0010-0000-0000-0000E2000000}" name="¿El agente transmite confianza durante la llamada?13" dataDxfId="8034">
      <calculatedColumnFormula>IF((S4="No"),0,$DQ$2)</calculatedColumnFormula>
    </tableColumn>
    <tableColumn id="239" xr3:uid="{00000000-0010-0000-0000-0000EF000000}" name="¿El agente utiliza el plural corporativo correctamente?14" dataDxfId="8033">
      <calculatedColumnFormula>IF((T4="No"),0,$DQ$2)</calculatedColumnFormula>
    </tableColumn>
    <tableColumn id="240" xr3:uid="{00000000-0010-0000-0000-0000F0000000}" name="Inteligencia emocional en venta Score" dataDxfId="8032">
      <calculatedColumnFormula>IF(MIN(Data[[#This Row],[¿El agente adapta su comunicación al cliente?11]:[¿El agente utiliza el plural corporativo correctamente?14]])=0,0,30%)</calculatedColumnFormula>
    </tableColumn>
    <tableColumn id="238" xr3:uid="{00000000-0010-0000-0000-0000EE000000}" name="¿El agente mantiene control de la conversación?16" dataDxfId="8031">
      <calculatedColumnFormula>IF((U4="No"),0,$DV$2)</calculatedColumnFormula>
    </tableColumn>
    <tableColumn id="225" xr3:uid="{00000000-0010-0000-0000-0000E1000000}" name="Profesionalismo y control de la llamada Score" dataDxfId="8030">
      <calculatedColumnFormula>IF(MIN(DV4)=0,0,25%)</calculatedColumnFormula>
    </tableColumn>
    <tableColumn id="89" xr3:uid="{00000000-0010-0000-0000-000059000000}" name="SCORE PENC" dataDxfId="8029">
      <calculatedColumnFormula>IF(SUM(DK4,DP4,DU4,DW4)&gt;335%,100%,SUM(DK4,DP4,DU4,DW4)/100%)</calculatedColumnFormula>
    </tableColumn>
    <tableColumn id="90" xr3:uid="{00000000-0010-0000-0000-00005A000000}" name="¿El agente informa correctamente sobre los centros de pago?19" dataDxfId="8028">
      <calculatedColumnFormula>IF((W4="No"),0,$DY$2)</calculatedColumnFormula>
    </tableColumn>
    <tableColumn id="91" xr3:uid="{00000000-0010-0000-0000-00005B000000}" name="¿El agente comunica claramente el precio mensual más impuestos?20" dataDxfId="8027">
      <calculatedColumnFormula>IF((X4="No"),0,$DY$2)</calculatedColumnFormula>
    </tableColumn>
    <tableColumn id="92" xr3:uid="{00000000-0010-0000-0000-00005C000000}" name="¿El agente informa sobre cargos adicionales relacionados?21" dataDxfId="8026">
      <calculatedColumnFormula>IF((Y4="No"),0,$DY$2)</calculatedColumnFormula>
    </tableColumn>
    <tableColumn id="93" xr3:uid="{00000000-0010-0000-0000-00005D000000}" name="¿El agente explica el ciclo de facturación adecuadamente?22" dataDxfId="8025">
      <calculatedColumnFormula>IF((Z4="No"),0,$DY$2)</calculatedColumnFormula>
    </tableColumn>
    <tableColumn id="259" xr3:uid="{C39BF257-2C8D-4200-9EF9-F6CFA571A211}" name="Facturación" dataDxfId="8024">
      <calculatedColumnFormula>IF(SUM(Data[[#This Row],[¿El agente informa correctamente sobre los centros de pago?19]:[¿El agente explica el ciclo de facturación adecuadamente?22]])=400%,100%,0%)</calculatedColumnFormula>
    </tableColumn>
    <tableColumn id="94" xr3:uid="{00000000-0010-0000-0000-00005E000000}" name="¿El agente presenta correctamente los beneficios del producto?23" dataDxfId="8023">
      <calculatedColumnFormula>IF((AA4="No"),0,$DY$2)</calculatedColumnFormula>
    </tableColumn>
    <tableColumn id="95" xr3:uid="{00000000-0010-0000-0000-00005F000000}" name="¿El agente comunica beneficios emocionales al cliente?24" dataDxfId="8022">
      <calculatedColumnFormula>IF((AB4="No"),0,$DY$2)</calculatedColumnFormula>
    </tableColumn>
    <tableColumn id="211" xr3:uid="{1FE6262F-D249-4ECE-A6FF-614ABB20927D}" name="Presentación de valor del producto2" dataDxfId="8021">
      <calculatedColumnFormula>IF(SUM(Data[[#This Row],[¿El agente presenta correctamente los beneficios del producto?23]:[¿El agente comunica beneficios emocionales al cliente?24]])=200%,100%,0%)</calculatedColumnFormula>
    </tableColumn>
    <tableColumn id="96" xr3:uid="{00000000-0010-0000-0000-000060000000}" name="¿El agente realiza un resumen comercial adecuado?25" dataDxfId="8020">
      <calculatedColumnFormula>IF((AC4="No"),0,$DY$2)</calculatedColumnFormula>
    </tableColumn>
    <tableColumn id="97" xr3:uid="{00000000-0010-0000-0000-000061000000}" name="¿El agente detalla correctamente los tiempos operativos?26" dataDxfId="8019">
      <calculatedColumnFormula>IF((AD4="No"),0,$DY$2)</calculatedColumnFormula>
    </tableColumn>
    <tableColumn id="98" xr3:uid="{00000000-0010-0000-0000-000062000000}" name="¿El agente formaliza correctamente el acuerdo de venta?27" dataDxfId="8018">
      <calculatedColumnFormula>IF((AE4="No"),0,$DY$2)</calculatedColumnFormula>
    </tableColumn>
    <tableColumn id="210" xr3:uid="{7C35C3E3-4944-47F3-A597-CF1A3F6E4F74}" name="Confirmación Operativa 2" dataDxfId="8017">
      <calculatedColumnFormula>IF(SUM(Data[[#This Row],[¿El agente realiza un resumen comercial adecuado?25]:[¿El agente formaliza correctamente el acuerdo de venta?27]])=300%,100%,0%)</calculatedColumnFormula>
    </tableColumn>
    <tableColumn id="99" xr3:uid="{00000000-0010-0000-0000-000063000000}" name="¿El agente explica los términos y condiciones del servicio?28" dataDxfId="8016">
      <calculatedColumnFormula>IF((AF4="No"),0,$DY$2)</calculatedColumnFormula>
    </tableColumn>
    <tableColumn id="209" xr3:uid="{29ABDD58-E612-469F-AF19-1E7185662988}" name="Terminos y condiciones2" dataDxfId="8015">
      <calculatedColumnFormula>+Data[[#This Row],[¿El agente explica los términos y condiciones del servicio?28]]</calculatedColumnFormula>
    </tableColumn>
    <tableColumn id="100" xr3:uid="{00000000-0010-0000-0000-000064000000}" name="¿El agente identifica correctamente la solicitud del cliente?29" dataDxfId="8014">
      <calculatedColumnFormula>IF((AG4="No"),0,$DY$2)</calculatedColumnFormula>
    </tableColumn>
    <tableColumn id="208" xr3:uid="{4A522839-561B-4FAB-8F44-06B07B05A459}" name="Derivación erronea" dataDxfId="8013">
      <calculatedColumnFormula>+Data[[#This Row],[¿El agente identifica correctamente la solicitud del cliente?29]]</calculatedColumnFormula>
    </tableColumn>
    <tableColumn id="101" xr3:uid="{00000000-0010-0000-0000-000065000000}" name="¿El agente evita activar un servicio diferente al solicitado?30" dataDxfId="8012">
      <calculatedColumnFormula>IF((AH4="No"),0,$DY$2)</calculatedColumnFormula>
    </tableColumn>
    <tableColumn id="102" xr3:uid="{00000000-0010-0000-0000-000066000000}" name="¿El agente utiliza correctamente la herramienta de activación?31" dataDxfId="8011">
      <calculatedColumnFormula>IF((AI4="No"),0,$DY$2)</calculatedColumnFormula>
    </tableColumn>
    <tableColumn id="103" xr3:uid="{00000000-0010-0000-0000-000067000000}" name="¿El agente configura adecuadamente el producto contratado?32" dataDxfId="8010">
      <calculatedColumnFormula>IF((AJ4="No"),0,$DY$2)</calculatedColumnFormula>
    </tableColumn>
    <tableColumn id="207" xr3:uid="{66C208E5-8FCF-4AD0-B8CC-15CD0724DFF4}" name="Activación errada2" dataDxfId="8009">
      <calculatedColumnFormula>IF(SUM(Data[[#This Row],[¿El agente evita activar un servicio diferente al solicitado?30]:[¿El agente configura adecuadamente el producto contratado?32]])=300%,100%,0%)</calculatedColumnFormula>
    </tableColumn>
    <tableColumn id="104" xr3:uid="{00000000-0010-0000-0000-000068000000}" name="¿El agente mantiene respeto y cordialidad en toda la interacción?33" dataDxfId="8008">
      <calculatedColumnFormula>IF((AK4="No"),0,$DY$2)</calculatedColumnFormula>
    </tableColumn>
    <tableColumn id="105" xr3:uid="{00000000-0010-0000-0000-000069000000}" name="¿El agente utiliza un lenguaje adecuado y profesional?34" dataDxfId="8007">
      <calculatedColumnFormula>IF((AL4="No"),0,$DY$2)</calculatedColumnFormula>
    </tableColumn>
    <tableColumn id="188" xr3:uid="{9F4761E2-37CD-4280-A37A-0F2A73167E20}" name="Trato profesional2" dataDxfId="8006">
      <calculatedColumnFormula>IF(SUM(Data[[#This Row],[¿El agente mantiene respeto y cordialidad en toda la interacción?33]:[¿El agente utiliza un lenguaje adecuado y profesional?34]])=200%,100%,0%)</calculatedColumnFormula>
    </tableColumn>
    <tableColumn id="106" xr3:uid="{00000000-0010-0000-0000-00006A000000}" name="¿El agente verifica correctamente la cobertura?35" dataDxfId="8005">
      <calculatedColumnFormula>IF((AM4="No"),0,$DY$2)</calculatedColumnFormula>
    </tableColumn>
    <tableColumn id="107" xr3:uid="{00000000-0010-0000-0000-00006B000000}" name="¿El agente solicita la documentación requerida?36" dataDxfId="8004">
      <calculatedColumnFormula>IF((AN4="No"),0,$DY$2)</calculatedColumnFormula>
    </tableColumn>
    <tableColumn id="108" xr3:uid="{00000000-0010-0000-0000-00006C000000}" name="¿El agente adjunta correctamente la documentación al sistema?37" dataDxfId="8003">
      <calculatedColumnFormula>IF((AO4="No"),0,$DY$2)</calculatedColumnFormula>
    </tableColumn>
    <tableColumn id="109" xr3:uid="{00000000-0010-0000-0000-00006D000000}" name="¿El agente identifica cuentas malas cuando corresponde?38" dataDxfId="8002">
      <calculatedColumnFormula>IF((AP4="No"),0,$DY$2)</calculatedColumnFormula>
    </tableColumn>
    <tableColumn id="110" xr3:uid="{00000000-0010-0000-0000-00006E000000}" name="¿El agente realiza la verificación APC según procedimiento?39" dataDxfId="8001">
      <calculatedColumnFormula>IF((AQ4="No"),0,$DY$2)</calculatedColumnFormula>
    </tableColumn>
    <tableColumn id="112" xr3:uid="{00000000-0010-0000-0000-000070000000}" name="¿El agente agenda citas o gestiones cuando es necesario?41" dataDxfId="8000">
      <calculatedColumnFormula>IF((AR4="No"),0,$DY$2)</calculatedColumnFormula>
    </tableColumn>
    <tableColumn id="187" xr3:uid="{03F06710-AB6E-4E7B-898E-1034B7D34C54}" name="Politicas de activación" dataDxfId="7999">
      <calculatedColumnFormula>IF(SUM(Data[[#This Row],[¿El agente verifica correctamente la cobertura?35]:[¿El agente agenda citas o gestiones cuando es necesario?41]])=600%,100%,0%)</calculatedColumnFormula>
    </tableColumn>
    <tableColumn id="113" xr3:uid="{00000000-0010-0000-0000-000071000000}" name="PECUF" dataDxfId="7998">
      <calculatedColumnFormula>IF(SUM(EC4,EF4,EL4,EJ4,EN4,ER4,EU4,FB4)=800%,100%,0%)</calculatedColumnFormula>
    </tableColumn>
    <tableColumn id="114" xr3:uid="{00000000-0010-0000-0000-000072000000}" name="¿El agente ofrece adecuadamente un producto adicional?42" dataDxfId="7997">
      <calculatedColumnFormula>IF((AR4="No"),0,$DY$2)</calculatedColumnFormula>
    </tableColumn>
    <tableColumn id="115" xr3:uid="{00000000-0010-0000-0000-000073000000}" name="¿El agente realiza venta cruzada cuando corresponde?43" dataDxfId="7996">
      <calculatedColumnFormula>IF((AS4="No"),0,$DY$2)</calculatedColumnFormula>
    </tableColumn>
    <tableColumn id="116" xr3:uid="{00000000-0010-0000-0000-000074000000}" name="¿El agente indaga o sondea adecuadamente las necesidades del cliente?44" dataDxfId="7995">
      <calculatedColumnFormula>IF((AT4="No"),0,$DY$2)</calculatedColumnFormula>
    </tableColumn>
    <tableColumn id="117" xr3:uid="{00000000-0010-0000-0000-000075000000}" name="El agente solicita y gestiona referidos cuando aplica?45" dataDxfId="7994">
      <calculatedColumnFormula>IF((AU4="No"),0,$DY$2)</calculatedColumnFormula>
    </tableColumn>
    <tableColumn id="118" xr3:uid="{00000000-0010-0000-0000-000076000000}" name="¿El agente realiza seguimiento adecuado al caso o solicitud?46" dataDxfId="7993">
      <calculatedColumnFormula>IF((AV4="No"),0,$DY$2)</calculatedColumnFormula>
    </tableColumn>
    <tableColumn id="119" xr3:uid="{00000000-0010-0000-0000-000077000000}" name="¿El agente maneja correctamente las objeciones del cliente?47" dataDxfId="7992">
      <calculatedColumnFormula>IF((AW4="No"),0,$DY$2)</calculatedColumnFormula>
    </tableColumn>
    <tableColumn id="174" xr3:uid="{B2961817-A738-4118-B02F-514BDEFC0DBE}" name="Identificación de oportunidad comercial" dataDxfId="7991">
      <calculatedColumnFormula>IF(SUM(Data[[#This Row],[¿El agente ofrece adecuadamente un producto adicional?42]:[¿El agente maneja correctamente las objeciones del cliente?47]])=600%,100%,)</calculatedColumnFormula>
    </tableColumn>
    <tableColumn id="120" xr3:uid="{00000000-0010-0000-0000-000078000000}" name="¿El agente gestiona la oferta según la campaña vigente?48" dataDxfId="7990">
      <calculatedColumnFormula>IF((AX4="No"),0,$DY$2)</calculatedColumnFormula>
    </tableColumn>
    <tableColumn id="173" xr3:uid="{A2FB240E-D7AB-4386-A343-492571B78196}" name="Adherencia a la oferta2" dataDxfId="7989">
      <calculatedColumnFormula>+Data[[#This Row],[¿El agente gestiona la oferta según la campaña vigente?48]]</calculatedColumnFormula>
    </tableColumn>
    <tableColumn id="121" xr3:uid="{00000000-0010-0000-0000-000079000000}" name="¿El agente solicita coordenadas cuando es necesario?49" dataDxfId="7988">
      <calculatedColumnFormula>IF((AY4="No"),0,$DY$2)</calculatedColumnFormula>
    </tableColumn>
    <tableColumn id="122" xr3:uid="{00000000-0010-0000-0000-00007A000000}" name="¿El agente gestiona la recepción de documentos por WhatsApp o correo?50" dataDxfId="7987">
      <calculatedColumnFormula>IF((AZ4="No"),0,$DY$2)</calculatedColumnFormula>
    </tableColumn>
    <tableColumn id="123" xr3:uid="{00000000-0010-0000-0000-00007B000000}" name="¿El agente maneja adecuadamente llamadas en conferencia?51" dataDxfId="7986">
      <calculatedColumnFormula>IF((BA4="No"),0,$DY$2)</calculatedColumnFormula>
    </tableColumn>
    <tableColumn id="172" xr3:uid="{B7D621A4-D39E-40CE-9460-23B2ED737E98}" name="Utilización herramientas de apoyo2" dataDxfId="7985">
      <calculatedColumnFormula>IF(SUM(Data[[#This Row],[¿El agente solicita coordenadas cuando es necesario?49]:[¿El agente maneja adecuadamente llamadas en conferencia?51]])=300%,100%,)</calculatedColumnFormula>
    </tableColumn>
    <tableColumn id="124" xr3:uid="{00000000-0010-0000-0000-00007C000000}" name="¿El agente registra correctamente todas las interacciones?52" dataDxfId="7984">
      <calculatedColumnFormula>IF((BB4="No"),0,$DY$2)</calculatedColumnFormula>
    </tableColumn>
    <tableColumn id="171" xr3:uid="{1B56A213-5DF4-48D5-A3A1-D0A7A3253804}" name="Registro en CRM2" dataDxfId="7983">
      <calculatedColumnFormula>+Data[[#This Row],[¿El agente registra correctamente todas las interacciones?52]]</calculatedColumnFormula>
    </tableColumn>
    <tableColumn id="125" xr3:uid="{00000000-0010-0000-0000-00007D000000}" name="PECNE2" dataDxfId="7982">
      <calculatedColumnFormula>IF(SUM(FJ4,FL4,FP4,FR4)=400%,100%,0)</calculatedColumnFormula>
    </tableColumn>
    <tableColumn id="126" xr3:uid="{00000000-0010-0000-0000-00007E000000}" name="¿El agente confirma la titularidad del cliente adecuadamente?53" dataDxfId="7981">
      <calculatedColumnFormula>IF((BC4="No"),0,$DY$2)</calculatedColumnFormula>
    </tableColumn>
    <tableColumn id="45" xr3:uid="{8A4FA358-66B0-4F08-9C82-39FADFBC42F7}" name="Titularidad" dataDxfId="7980">
      <calculatedColumnFormula>+Data[[#This Row],[¿El agente confirma la titularidad del cliente adecuadamente?53]]</calculatedColumnFormula>
    </tableColumn>
    <tableColumn id="127" xr3:uid="{00000000-0010-0000-0000-00007F000000}" name="¿El agente evita la omisión de alertas importantes?54" dataDxfId="7979">
      <calculatedColumnFormula>IF((BD4="No"),0,$DY$2)</calculatedColumnFormula>
    </tableColumn>
    <tableColumn id="128" xr3:uid="{00000000-0010-0000-0000-000080000000}" name="¿El agente mantiene conducta ética durante la interacción?55" dataDxfId="7978">
      <calculatedColumnFormula>IF((BE4="No"),0,$DY$2)</calculatedColumnFormula>
    </tableColumn>
    <tableColumn id="47" xr3:uid="{C0B65C71-1374-4523-8F5D-8A0A36F09EAC}" name="Fraude" dataDxfId="7977">
      <calculatedColumnFormula>IF(SUM(Data[[#This Row],[¿El agente evita la omisión de alertas importantes?54]]:Data[[#This Row],[¿El agente mantiene conducta ética durante la interacción?55]])=200%,100%,)</calculatedColumnFormula>
    </tableColumn>
    <tableColumn id="129" xr3:uid="{00000000-0010-0000-0000-000081000000}" name="¿El agente evita compartir información sensible?56" dataDxfId="7976">
      <calculatedColumnFormula>IF((BF4="No"),0,$DY$2)</calculatedColumnFormula>
    </tableColumn>
    <tableColumn id="50" xr3:uid="{D8B72AE7-DCD9-438D-8F6D-86E8C4CCF740}" name="Protección de datos y privacidad" dataDxfId="7975">
      <calculatedColumnFormula>+Data[[#This Row],[¿El agente evita compartir información sensible?56]]</calculatedColumnFormula>
    </tableColumn>
    <tableColumn id="130" xr3:uid="{00000000-0010-0000-0000-000082000000}" name="PECCUM" dataDxfId="7974">
      <calculatedColumnFormula>IF(SUM(FU4,FX4,FZ4)=300%,100%,)</calculatedColumnFormula>
    </tableColumn>
    <tableColumn id="131" xr3:uid="{00000000-0010-0000-0000-000083000000}" name="PESO PENC" dataDxfId="7973">
      <calculatedColumnFormula>$GB$2*DX4</calculatedColumnFormula>
    </tableColumn>
    <tableColumn id="132" xr3:uid="{00000000-0010-0000-0000-000084000000}" name="PESO PECUF" dataDxfId="7972">
      <calculatedColumnFormula>$GC$2*FC4</calculatedColumnFormula>
    </tableColumn>
    <tableColumn id="133" xr3:uid="{00000000-0010-0000-0000-000085000000}" name="PESO PECNE" dataDxfId="7971">
      <calculatedColumnFormula>$GD$2*FS4</calculatedColumnFormula>
    </tableColumn>
    <tableColumn id="134" xr3:uid="{00000000-0010-0000-0000-000086000000}" name="PESO PECCUM" dataDxfId="7970">
      <calculatedColumnFormula>$GE$2*GA4</calculatedColumnFormula>
    </tableColumn>
    <tableColumn id="135" xr3:uid="{00000000-0010-0000-0000-000087000000}" name="SCORE CALIDAD" dataDxfId="7969">
      <calculatedColumnFormula>SUM(Data[[#This Row],[PESO PENC]:[PESO PECCUM]])</calculatedColumnFormula>
    </tableColumn>
    <tableColumn id="186" xr3:uid="{00000000-0010-0000-0000-0000BA000000}" name="Muestra" dataDxfId="7968">
      <calculatedColumnFormula>1</calculatedColumnFormula>
    </tableColumn>
    <tableColumn id="136" xr3:uid="{00000000-0010-0000-0000-000088000000}" name="Muestra Critica" dataDxfId="7967">
      <calculatedColumnFormula>IF((BH4="Critica"),1,0)</calculatedColumnFormula>
    </tableColumn>
    <tableColumn id="248" xr3:uid="{00000000-0010-0000-0000-0000F8000000}" name="¿El agente cumple con la identificación formal y profesional?4" dataDxfId="7966">
      <calculatedColumnFormula>IF(J4="No",J$3,"")</calculatedColumnFormula>
    </tableColumn>
    <tableColumn id="249" xr3:uid="{00000000-0010-0000-0000-0000F9000000}" name="¿El agente personaliza la interacción?5" dataDxfId="7965">
      <calculatedColumnFormula>IF(K4="No",K$3,"")</calculatedColumnFormula>
    </tableColumn>
    <tableColumn id="250" xr3:uid="{00000000-0010-0000-0000-0000FA000000}" name="¿El agente realiza despedida corporativa?6" dataDxfId="7964">
      <calculatedColumnFormula>IF(L4="No",L$3,"")</calculatedColumnFormula>
    </tableColumn>
    <tableColumn id="251" xr3:uid="{00000000-0010-0000-0000-0000FB000000}" name="¿El agente demuestra escucha activa durante la gestión?7" dataDxfId="7963"/>
    <tableColumn id="252" xr3:uid="{00000000-0010-0000-0000-0000FC000000}" name="¿El agente evita interrumpir al cliente?8" dataDxfId="7962"/>
    <tableColumn id="253" xr3:uid="{00000000-0010-0000-0000-0000FD000000}" name="¿El agente se comunica con claridad y estructura?9" dataDxfId="7961">
      <calculatedColumnFormula>IF(O4="No",O$3,"")</calculatedColumnFormula>
    </tableColumn>
    <tableColumn id="242" xr3:uid="{00000000-0010-0000-0000-0000F2000000}" name="¿El agente parafrasea para confirmar entendimiento?10" dataDxfId="7960">
      <calculatedColumnFormula>IF(P4="No",P$3,"")</calculatedColumnFormula>
    </tableColumn>
    <tableColumn id="254" xr3:uid="{00000000-0010-0000-0000-0000FE000000}" name="¿El agente adapta su comunicación al cliente?12" dataDxfId="7959">
      <calculatedColumnFormula>IF(Q4="No",Q$3,"")</calculatedColumnFormula>
    </tableColumn>
    <tableColumn id="255" xr3:uid="{00000000-0010-0000-0000-0000FF000000}" name="¿El agente muestra entusiasmo genuino?13" dataDxfId="7958">
      <calculatedColumnFormula>IF(R4="No",R$3,"")</calculatedColumnFormula>
    </tableColumn>
    <tableColumn id="256" xr3:uid="{00000000-0010-0000-0000-000000010000}" name="¿El agente transmite confianza durante la llamada?14" dataDxfId="7957">
      <calculatedColumnFormula>IF(S4="No",S$3,"")</calculatedColumnFormula>
    </tableColumn>
    <tableColumn id="257" xr3:uid="{00000000-0010-0000-0000-000001010000}" name="¿El agente utiliza el plural corporativo correctamente?15" dataDxfId="7956">
      <calculatedColumnFormula>IF(T4="No",T$3,"")</calculatedColumnFormula>
    </tableColumn>
    <tableColumn id="258" xr3:uid="{00000000-0010-0000-0000-000002010000}" name="¿El agente mantiene control de la conversación?17" dataDxfId="7955">
      <calculatedColumnFormula>IF(U4="No",U$3,"")</calculatedColumnFormula>
    </tableColumn>
    <tableColumn id="243" xr3:uid="{00000000-0010-0000-0000-0000F3000000}" name="¿El agente gestiona bien el tiempo de la interacción?18" dataDxfId="7954">
      <calculatedColumnFormula>IF(#REF!="No",#REF!,"")</calculatedColumnFormula>
    </tableColumn>
    <tableColumn id="244" xr3:uid="{00000000-0010-0000-0000-0000F4000000}" name="¿El agente informa correctamente sobre los centros de pago?20" dataDxfId="7953">
      <calculatedColumnFormula>IF(V4="No",V$3,"")</calculatedColumnFormula>
    </tableColumn>
    <tableColumn id="245" xr3:uid="{00000000-0010-0000-0000-0000F5000000}" name="¿El agente comunica claramente el precio mensual más impuestos?21" dataDxfId="7952">
      <calculatedColumnFormula>IF(W4="No",W$3,"")</calculatedColumnFormula>
    </tableColumn>
    <tableColumn id="246" xr3:uid="{00000000-0010-0000-0000-0000F6000000}" name="¿El agente informa sobre cargos adicionales relacionados?22" dataDxfId="7951">
      <calculatedColumnFormula>IF(X4="No",X$3,"")</calculatedColumnFormula>
    </tableColumn>
    <tableColumn id="247" xr3:uid="{00000000-0010-0000-0000-0000F7000000}" name="¿El agente explica el ciclo de facturación adecuadamente?23" dataDxfId="7950">
      <calculatedColumnFormula>IF(Y4="No",Y$3,"")</calculatedColumnFormula>
    </tableColumn>
    <tableColumn id="137" xr3:uid="{00000000-0010-0000-0000-000089000000}" name="¿El agente presenta correctamente los beneficios del producto?24" dataDxfId="7949">
      <calculatedColumnFormula>IF(Z4="No",Z$3,"")</calculatedColumnFormula>
    </tableColumn>
    <tableColumn id="138" xr3:uid="{00000000-0010-0000-0000-00008A000000}" name="¿El agente comunica beneficios emocionales al cliente?25" dataDxfId="7948">
      <calculatedColumnFormula>IF(AA4="No",AA$3,"")</calculatedColumnFormula>
    </tableColumn>
    <tableColumn id="139" xr3:uid="{00000000-0010-0000-0000-00008B000000}" name="¿El agente realiza un resumen comercial adecuado?26" dataDxfId="7947">
      <calculatedColumnFormula>IF(AB4="No",AB$3,"")</calculatedColumnFormula>
    </tableColumn>
    <tableColumn id="140" xr3:uid="{00000000-0010-0000-0000-00008C000000}" name="¿El agente detalla correctamente los tiempos operativos?27" dataDxfId="7946">
      <calculatedColumnFormula>IF(AC4="No",AC$3,"")</calculatedColumnFormula>
    </tableColumn>
    <tableColumn id="141" xr3:uid="{00000000-0010-0000-0000-00008D000000}" name="¿El agente formaliza correctamente el acuerdo de venta?28" dataDxfId="7945">
      <calculatedColumnFormula>IF(AD4="No",AD$3,"")</calculatedColumnFormula>
    </tableColumn>
    <tableColumn id="142" xr3:uid="{00000000-0010-0000-0000-00008E000000}" name="¿El agente explica los términos y condiciones del servicio?29" dataDxfId="7944">
      <calculatedColumnFormula>IF(AE4="No",AE$3,"")</calculatedColumnFormula>
    </tableColumn>
    <tableColumn id="143" xr3:uid="{00000000-0010-0000-0000-00008F000000}" name="¿El agente identifica correctamente la solicitud del cliente?30" dataDxfId="7943">
      <calculatedColumnFormula>IF(AF4="No",AF$3,"")</calculatedColumnFormula>
    </tableColumn>
    <tableColumn id="144" xr3:uid="{00000000-0010-0000-0000-000090000000}" name="¿El agente evita activar un servicio diferente al solicitado?31" dataDxfId="7942">
      <calculatedColumnFormula>IF(AG4="No",AG$3,"")</calculatedColumnFormula>
    </tableColumn>
    <tableColumn id="145" xr3:uid="{00000000-0010-0000-0000-000091000000}" name="¿El agente utiliza correctamente la herramienta de activación?32" dataDxfId="7941">
      <calculatedColumnFormula>IF(AH4="No",AH$3,"")</calculatedColumnFormula>
    </tableColumn>
    <tableColumn id="146" xr3:uid="{00000000-0010-0000-0000-000092000000}" name="¿El agente configura adecuadamente el producto contratado?33" dataDxfId="7940">
      <calculatedColumnFormula>IF(AI4="No",AI$3,"")</calculatedColumnFormula>
    </tableColumn>
    <tableColumn id="147" xr3:uid="{00000000-0010-0000-0000-000093000000}" name="¿El agente mantiene respeto y cordialidad en toda la interacción?34" dataDxfId="7939">
      <calculatedColumnFormula>IF(AJ4="No",AJ$3,"")</calculatedColumnFormula>
    </tableColumn>
    <tableColumn id="148" xr3:uid="{00000000-0010-0000-0000-000094000000}" name="¿El agente utiliza un lenguaje adecuado y profesional?35" dataDxfId="7938">
      <calculatedColumnFormula>IF(AK4="No",AK$3,"")</calculatedColumnFormula>
    </tableColumn>
    <tableColumn id="149" xr3:uid="{00000000-0010-0000-0000-000095000000}" name="¿El agente verifica correctamente la cobertura?36" dataDxfId="7937">
      <calculatedColumnFormula>IF(AL4="No",AL$3,"")</calculatedColumnFormula>
    </tableColumn>
    <tableColumn id="150" xr3:uid="{00000000-0010-0000-0000-000096000000}" name="¿El agente solicita la documentación requerida?37" dataDxfId="7936">
      <calculatedColumnFormula>IF(AM4="No",AM$3,"")</calculatedColumnFormula>
    </tableColumn>
    <tableColumn id="151" xr3:uid="{00000000-0010-0000-0000-000097000000}" name="¿El agente adjunta correctamente la documentación al sistema?38" dataDxfId="7935">
      <calculatedColumnFormula>IF(AN4="No",AN$3,"")</calculatedColumnFormula>
    </tableColumn>
    <tableColumn id="152" xr3:uid="{00000000-0010-0000-0000-000098000000}" name="¿El agente identifica cuentas malas cuando corresponde?39" dataDxfId="7934">
      <calculatedColumnFormula>IF(AO4="No",AO$3,"")</calculatedColumnFormula>
    </tableColumn>
    <tableColumn id="153" xr3:uid="{00000000-0010-0000-0000-000099000000}" name="¿El agente realiza la verificación APC según procedimiento?40" dataDxfId="7933">
      <calculatedColumnFormula>IF(AP4="No",AP$3,"")</calculatedColumnFormula>
    </tableColumn>
    <tableColumn id="154" xr3:uid="{00000000-0010-0000-0000-00009A000000}" name="¿El agente aplica las políticas comerciales de forma correcta?41" dataDxfId="7932">
      <calculatedColumnFormula>IF(AQ4="No",AQ$3,"")</calculatedColumnFormula>
    </tableColumn>
    <tableColumn id="155" xr3:uid="{00000000-0010-0000-0000-00009B000000}" name="¿El agente agenda citas o gestiones cuando es necesario?42" dataDxfId="7931">
      <calculatedColumnFormula>IF(#REF!="No",#REF!,"")</calculatedColumnFormula>
    </tableColumn>
    <tableColumn id="156" xr3:uid="{00000000-0010-0000-0000-00009C000000}" name="¿El agente ofrece adecuadamente un producto adicional?43" dataDxfId="7930">
      <calculatedColumnFormula>IF(AR4="No",AR$3,"")</calculatedColumnFormula>
    </tableColumn>
    <tableColumn id="157" xr3:uid="{00000000-0010-0000-0000-00009D000000}" name="¿El agente realiza venta cruzada cuando corresponde?44" dataDxfId="7929">
      <calculatedColumnFormula>IF(AS4="No",AS$3,"")</calculatedColumnFormula>
    </tableColumn>
    <tableColumn id="158" xr3:uid="{00000000-0010-0000-0000-00009E000000}" name="¿El agente indaga o sondea adecuadamente las necesidades del cliente?45" dataDxfId="7928">
      <calculatedColumnFormula>IF(AT4="No",AT$3,"")</calculatedColumnFormula>
    </tableColumn>
    <tableColumn id="159" xr3:uid="{00000000-0010-0000-0000-00009F000000}" name="El agente solicita y gestiona referidos cuando aplica?46" dataDxfId="7927">
      <calculatedColumnFormula>IF(AU4="No",AU$3,"")</calculatedColumnFormula>
    </tableColumn>
    <tableColumn id="160" xr3:uid="{00000000-0010-0000-0000-0000A0000000}" name="¿El agente realiza seguimiento adecuado al caso o solicitud?47" dataDxfId="7926">
      <calculatedColumnFormula>IF(AV4="No",AV$3,"")</calculatedColumnFormula>
    </tableColumn>
    <tableColumn id="161" xr3:uid="{00000000-0010-0000-0000-0000A1000000}" name="¿El agente maneja correctamente las objeciones del cliente?48" dataDxfId="7925">
      <calculatedColumnFormula>IF(AW4="No",AW$3,"")</calculatedColumnFormula>
    </tableColumn>
    <tableColumn id="162" xr3:uid="{00000000-0010-0000-0000-0000A2000000}" name="¿El agente gestiona la oferta según la campaña vigente?49" dataDxfId="7924">
      <calculatedColumnFormula>IF(AX4="No",AX$3,"")</calculatedColumnFormula>
    </tableColumn>
    <tableColumn id="163" xr3:uid="{00000000-0010-0000-0000-0000A3000000}" name="¿El agente solicita coordenadas cuando es necesario?50" dataDxfId="7923">
      <calculatedColumnFormula>IF(AY4="No",AY$3,"")</calculatedColumnFormula>
    </tableColumn>
    <tableColumn id="164" xr3:uid="{00000000-0010-0000-0000-0000A4000000}" name="¿El agente gestiona la recepción de documentos por WhatsApp o correo?51" dataDxfId="7922">
      <calculatedColumnFormula>IF(AZ4="No",AZ$3,"")</calculatedColumnFormula>
    </tableColumn>
    <tableColumn id="165" xr3:uid="{00000000-0010-0000-0000-0000A5000000}" name="¿El agente maneja adecuadamente llamadas en conferencia?52" dataDxfId="7921">
      <calculatedColumnFormula>IF(BA4="No",BA$3,"")</calculatedColumnFormula>
    </tableColumn>
    <tableColumn id="166" xr3:uid="{00000000-0010-0000-0000-0000A6000000}" name="¿El agente registra correctamente todas las interacciones?53" dataDxfId="7920">
      <calculatedColumnFormula>IF(BB4="No",BB$3,"")</calculatedColumnFormula>
    </tableColumn>
    <tableColumn id="167" xr3:uid="{00000000-0010-0000-0000-0000A7000000}" name="¿El agente confirma la titularidad del cliente adecuadamente?54" dataDxfId="7919">
      <calculatedColumnFormula>IF(BC4="No",BC$3,"")</calculatedColumnFormula>
    </tableColumn>
    <tableColumn id="168" xr3:uid="{00000000-0010-0000-0000-0000A8000000}" name="¿El agente evita la omisión de alertas importantes?55" dataDxfId="7918">
      <calculatedColumnFormula>IF(BD4="No",BD$3,"")</calculatedColumnFormula>
    </tableColumn>
    <tableColumn id="169" xr3:uid="{00000000-0010-0000-0000-0000A9000000}" name="¿El agente mantiene conducta ética durante la interacción?56" dataDxfId="7917">
      <calculatedColumnFormula>IF(BE4="No",BE$3,"")</calculatedColumnFormula>
    </tableColumn>
    <tableColumn id="170" xr3:uid="{00000000-0010-0000-0000-0000AA000000}" name="¿El agente evita compartir información sensible?57" dataDxfId="7916">
      <calculatedColumnFormula>IF(BF4="No",BF$3,"")</calculatedColumnFormula>
    </tableColumn>
    <tableColumn id="175" xr3:uid="{00000000-0010-0000-0000-0000AF000000}" name="agent key" dataDxfId="7915">
      <calculatedColumnFormula>A4&amp;" "&amp;F4&amp;" "&amp;Data[[#This Row],[mes]]</calculatedColumnFormula>
    </tableColumn>
    <tableColumn id="176" xr3:uid="{00000000-0010-0000-0000-0000B0000000}" name="agent count" dataDxfId="7914">
      <calculatedColumnFormula>COUNTIF($IH4:$IH37,IH4)</calculatedColumnFormula>
    </tableColumn>
    <tableColumn id="177" xr3:uid="{00000000-0010-0000-0000-0000B1000000}" name="agent unico" dataDxfId="7913">
      <calculatedColumnFormula>IF(COUNTIF($IH$4:IH4,IH4)=1,1,0)</calculatedColumnFormula>
    </tableColumn>
    <tableColumn id="178" xr3:uid="{00000000-0010-0000-0000-0000B2000000}" name="agente critico  key" dataDxfId="7912">
      <calculatedColumnFormula>IF(Data[[#This Row],[Muestra Critica]]&gt;0,Data[[#This Row],[Muestra Critica]],"")</calculatedColumnFormula>
    </tableColumn>
    <tableColumn id="179" xr3:uid="{00000000-0010-0000-0000-0000B3000000}" name="agent critico count" dataDxfId="7911">
      <calculatedColumnFormula>IF(IK4="","",COUNTIF($IK$4:$IK36,IK4))</calculatedColumnFormula>
    </tableColumn>
    <tableColumn id="180" xr3:uid="{00000000-0010-0000-0000-0000B4000000}" name="agent critico unico" dataDxfId="7910">
      <calculatedColumnFormula>IF(IL4=1,1,0)</calculatedColumnFormula>
    </tableColumn>
    <tableColumn id="181" xr3:uid="{00000000-0010-0000-0000-0000B5000000}" name="mes" dataDxfId="4283">
      <calculatedColumnFormula>TEXT(C4,"mmm-yy")</calculatedColumnFormula>
    </tableColumn>
    <tableColumn id="182" xr3:uid="{00000000-0010-0000-0000-0000B6000000}" name=" Precisión Error No Crítico" dataDxfId="7909"/>
    <tableColumn id="183" xr3:uid="{00000000-0010-0000-0000-0000B7000000}" name=" Precisión Error Crítico Usuario Final" dataDxfId="7908"/>
    <tableColumn id="184" xr3:uid="{00000000-0010-0000-0000-0000B8000000}" name=" Precisión Error Crítico Negocio" dataDxfId="7907"/>
    <tableColumn id="185" xr3:uid="{00000000-0010-0000-0000-0000B9000000}" name=" Precisión Error Crítico Cumplimiento" dataDxfId="7906"/>
    <tableColumn id="44" xr3:uid="{00000000-0010-0000-0000-00002C000000}" name="Antigüedad" dataDxfId="7905">
      <calculatedColumnFormula>IFERROR(_xlfn.XLOOKUP(A:A,HC!B:B,HC!E:E,,0),0)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8DC3BBC-42EF-4A49-AC4F-F6B228E27A37}" name="Tabla1" displayName="Tabla1" ref="A1:E73" totalsRowShown="0" headerRowDxfId="7505" tableBorderDxfId="7504">
  <autoFilter ref="A1:E73" xr:uid="{78DC3BBC-42EF-4A49-AC4F-F6B228E27A37}"/>
  <tableColumns count="5">
    <tableColumn id="1" xr3:uid="{1939DF57-6A38-4CAA-9B46-CF26BA854D56}" name="Supervisor" dataDxfId="7503"/>
    <tableColumn id="2" xr3:uid="{477A3BE9-9E3E-4391-8353-B4C476D48A36}" name="Nombre" dataDxfId="7502"/>
    <tableColumn id="3" xr3:uid="{9FE7BFD6-E8D3-4342-8A49-44A1DDB8F911}" name="Fecha de Ingreso"/>
    <tableColumn id="4" xr3:uid="{0A1732B7-C3BE-46EF-8F5B-BD8F0D502B24}" name="Campaña" dataDxfId="7501"/>
    <tableColumn id="5" xr3:uid="{49984F84-C8D0-4988-B5C3-72645E15AE2B}" name="Antigüedad" dataDxfId="7500">
      <calculatedColumnFormula>IF(TODAY()-C2&lt;=30,"1 a 30 dias",IF(TODAY()-C2&lt;=60,"31 a 60 dias","&gt; 60 dias"))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1.xml"/><Relationship Id="rId4" Type="http://schemas.microsoft.com/office/2007/relationships/slicer" Target="../slicers/slicer1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5.bin"/><Relationship Id="rId1" Type="http://schemas.openxmlformats.org/officeDocument/2006/relationships/pivotTable" Target="../pivotTables/pivotTable2.xml"/><Relationship Id="rId4" Type="http://schemas.microsoft.com/office/2007/relationships/slicer" Target="../slicers/slicer2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6.bin"/><Relationship Id="rId2" Type="http://schemas.openxmlformats.org/officeDocument/2006/relationships/pivotTable" Target="../pivotTables/pivotTable4.xml"/><Relationship Id="rId1" Type="http://schemas.openxmlformats.org/officeDocument/2006/relationships/pivotTable" Target="../pivotTables/pivotTable3.xml"/><Relationship Id="rId5" Type="http://schemas.microsoft.com/office/2007/relationships/slicer" Target="../slicers/slicer3.xml"/><Relationship Id="rId4" Type="http://schemas.openxmlformats.org/officeDocument/2006/relationships/drawing" Target="../drawings/drawing6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7.bin"/><Relationship Id="rId1" Type="http://schemas.openxmlformats.org/officeDocument/2006/relationships/pivotTable" Target="../pivotTables/pivotTable5.xml"/><Relationship Id="rId4" Type="http://schemas.microsoft.com/office/2007/relationships/slicer" Target="../slicers/slicer4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8.bin"/><Relationship Id="rId2" Type="http://schemas.openxmlformats.org/officeDocument/2006/relationships/pivotTable" Target="../pivotTables/pivotTable7.xml"/><Relationship Id="rId1" Type="http://schemas.openxmlformats.org/officeDocument/2006/relationships/pivotTable" Target="../pivotTables/pivotTable6.xml"/><Relationship Id="rId5" Type="http://schemas.microsoft.com/office/2007/relationships/slicer" Target="../slicers/slicer5.xml"/><Relationship Id="rId4" Type="http://schemas.openxmlformats.org/officeDocument/2006/relationships/drawing" Target="../drawings/drawing8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D28989-F32F-405A-8D30-D806777C990C}">
  <sheetPr codeName="Hoja1"/>
  <dimension ref="A1:O65"/>
  <sheetViews>
    <sheetView showGridLines="0" workbookViewId="0">
      <selection activeCell="E29" sqref="E29:E50"/>
    </sheetView>
  </sheetViews>
  <sheetFormatPr baseColWidth="10" defaultColWidth="11.453125" defaultRowHeight="14.5" x14ac:dyDescent="0.35"/>
  <cols>
    <col min="1" max="1" width="18" bestFit="1" customWidth="1"/>
    <col min="2" max="2" width="37" bestFit="1" customWidth="1"/>
    <col min="3" max="3" width="52" customWidth="1"/>
    <col min="4" max="4" width="14.453125" style="52" customWidth="1"/>
    <col min="5" max="5" width="16.81640625" bestFit="1" customWidth="1"/>
    <col min="6" max="6" width="9.54296875" customWidth="1"/>
    <col min="7" max="7" width="13.81640625" bestFit="1" customWidth="1"/>
    <col min="8" max="9" width="13.81640625" customWidth="1"/>
    <col min="11" max="11" width="22.1796875" style="82" customWidth="1"/>
  </cols>
  <sheetData>
    <row r="1" spans="1:11" x14ac:dyDescent="0.35">
      <c r="A1" s="273" t="s">
        <v>327</v>
      </c>
      <c r="B1" s="273"/>
      <c r="C1" s="273"/>
      <c r="D1" s="273"/>
      <c r="E1" s="273"/>
      <c r="F1" s="273"/>
      <c r="G1" s="273"/>
      <c r="H1" s="273"/>
      <c r="I1" s="273"/>
      <c r="J1" s="273"/>
      <c r="K1" s="273"/>
    </row>
    <row r="2" spans="1:11" x14ac:dyDescent="0.35">
      <c r="A2" s="273" t="s">
        <v>328</v>
      </c>
      <c r="B2" s="273"/>
      <c r="C2" s="273"/>
      <c r="D2" s="273"/>
      <c r="E2" s="273"/>
      <c r="F2" s="273"/>
      <c r="G2" s="273"/>
      <c r="H2" s="273"/>
      <c r="I2" s="273"/>
      <c r="J2" s="273"/>
      <c r="K2" s="273"/>
    </row>
    <row r="3" spans="1:11" x14ac:dyDescent="0.35">
      <c r="A3" s="273" t="s">
        <v>329</v>
      </c>
      <c r="B3" s="273"/>
      <c r="C3" s="273"/>
      <c r="D3" s="273"/>
      <c r="E3" s="273"/>
      <c r="F3" s="273"/>
      <c r="G3" s="273"/>
      <c r="H3" s="273"/>
      <c r="I3" s="273"/>
      <c r="J3" s="273"/>
      <c r="K3" s="273"/>
    </row>
    <row r="4" spans="1:11" ht="15" thickBot="1" x14ac:dyDescent="0.4"/>
    <row r="5" spans="1:11" x14ac:dyDescent="0.35">
      <c r="A5" s="274" t="s">
        <v>330</v>
      </c>
      <c r="B5" s="274"/>
      <c r="F5" s="275" t="s">
        <v>331</v>
      </c>
      <c r="G5" s="276"/>
      <c r="K5" s="60"/>
    </row>
    <row r="6" spans="1:11" ht="15.5" x14ac:dyDescent="0.35">
      <c r="A6" s="230" t="s">
        <v>332</v>
      </c>
      <c r="B6" s="1" t="s">
        <v>437</v>
      </c>
      <c r="F6" s="206" t="s">
        <v>333</v>
      </c>
      <c r="G6" s="229">
        <f>+SUM(H17:H65)</f>
        <v>0.4</v>
      </c>
      <c r="I6" s="203"/>
      <c r="K6" s="204"/>
    </row>
    <row r="7" spans="1:11" ht="15.75" customHeight="1" thickBot="1" x14ac:dyDescent="0.4">
      <c r="A7" s="230" t="s">
        <v>334</v>
      </c>
      <c r="B7" s="362">
        <v>65247182</v>
      </c>
      <c r="F7" s="207" t="s">
        <v>269</v>
      </c>
      <c r="G7" s="208">
        <f>+H17</f>
        <v>0.1</v>
      </c>
      <c r="I7" s="203"/>
      <c r="K7" s="204"/>
    </row>
    <row r="8" spans="1:11" ht="15.75" customHeight="1" x14ac:dyDescent="0.35">
      <c r="A8" s="230" t="s">
        <v>335</v>
      </c>
      <c r="B8" s="231">
        <v>46216</v>
      </c>
      <c r="F8" s="209" t="s">
        <v>12</v>
      </c>
      <c r="G8" s="208">
        <f>+H29</f>
        <v>0</v>
      </c>
      <c r="I8" s="203"/>
      <c r="K8" s="204"/>
    </row>
    <row r="9" spans="1:11" ht="15.75" customHeight="1" x14ac:dyDescent="0.35">
      <c r="A9" s="230" t="s">
        <v>336</v>
      </c>
      <c r="B9" s="1" t="s">
        <v>440</v>
      </c>
      <c r="F9" s="209" t="s">
        <v>337</v>
      </c>
      <c r="G9" s="208">
        <f>+H51</f>
        <v>0</v>
      </c>
      <c r="I9" s="203"/>
      <c r="K9" s="204"/>
    </row>
    <row r="10" spans="1:11" ht="15" thickBot="1" x14ac:dyDescent="0.4">
      <c r="A10" s="230" t="s">
        <v>9</v>
      </c>
      <c r="B10" s="1" t="s">
        <v>439</v>
      </c>
      <c r="F10" s="210" t="s">
        <v>13</v>
      </c>
      <c r="G10" s="211">
        <f>+H62</f>
        <v>0.3</v>
      </c>
      <c r="I10" s="203"/>
      <c r="K10" s="204"/>
    </row>
    <row r="11" spans="1:11" x14ac:dyDescent="0.35">
      <c r="A11" s="230" t="s">
        <v>2</v>
      </c>
      <c r="B11" s="1" t="s">
        <v>32</v>
      </c>
      <c r="F11" s="130"/>
      <c r="G11" s="129"/>
      <c r="I11" s="203"/>
      <c r="K11" s="204"/>
    </row>
    <row r="12" spans="1:11" x14ac:dyDescent="0.35">
      <c r="A12" s="230" t="s">
        <v>10</v>
      </c>
      <c r="B12" s="1" t="s">
        <v>402</v>
      </c>
      <c r="D12" s="156"/>
      <c r="F12" s="130"/>
      <c r="G12" s="129"/>
      <c r="I12" s="203"/>
      <c r="K12" s="204"/>
    </row>
    <row r="13" spans="1:11" x14ac:dyDescent="0.35">
      <c r="A13" s="230" t="s">
        <v>7</v>
      </c>
      <c r="B13" s="1" t="str">
        <f>IFERROR("Semana "&amp;WEEKNUM(B8),"")</f>
        <v>Semana 29</v>
      </c>
      <c r="F13" s="130"/>
      <c r="G13" s="129"/>
      <c r="I13" s="203"/>
      <c r="K13" s="204"/>
    </row>
    <row r="14" spans="1:11" x14ac:dyDescent="0.35">
      <c r="A14" s="230" t="s">
        <v>410</v>
      </c>
      <c r="B14" s="1" t="str">
        <f>IF($G$6&lt;=80%,"Critica","No Critica")</f>
        <v>Critica</v>
      </c>
      <c r="F14" s="130"/>
      <c r="G14" s="129"/>
      <c r="I14" s="203"/>
      <c r="K14" s="205"/>
    </row>
    <row r="15" spans="1:11" ht="15.75" customHeight="1" thickBot="1" x14ac:dyDescent="0.4"/>
    <row r="16" spans="1:11" ht="27.75" customHeight="1" thickBot="1" x14ac:dyDescent="0.4">
      <c r="A16" s="96" t="s">
        <v>338</v>
      </c>
      <c r="B16" s="97" t="s">
        <v>404</v>
      </c>
      <c r="C16" s="98" t="s">
        <v>340</v>
      </c>
      <c r="D16" s="99" t="s">
        <v>341</v>
      </c>
      <c r="E16" s="100" t="s">
        <v>342</v>
      </c>
      <c r="F16" s="101" t="s">
        <v>343</v>
      </c>
      <c r="G16" s="102" t="s">
        <v>325</v>
      </c>
      <c r="H16" s="100" t="s">
        <v>344</v>
      </c>
      <c r="I16" s="103" t="s">
        <v>345</v>
      </c>
      <c r="J16" s="104" t="s">
        <v>346</v>
      </c>
    </row>
    <row r="17" spans="1:15" ht="18" customHeight="1" x14ac:dyDescent="0.35">
      <c r="A17" s="260" t="s">
        <v>269</v>
      </c>
      <c r="B17" s="262" t="s">
        <v>35</v>
      </c>
      <c r="C17" s="106" t="s">
        <v>347</v>
      </c>
      <c r="D17" s="107" t="s">
        <v>33</v>
      </c>
      <c r="E17" s="265">
        <f>+SUM(I17:I19)</f>
        <v>0.15000000000000002</v>
      </c>
      <c r="F17" s="268">
        <f>+SUM(E17:E28)</f>
        <v>1</v>
      </c>
      <c r="G17" s="270">
        <v>0.1</v>
      </c>
      <c r="H17" s="295">
        <f>+F17*1/G17/100</f>
        <v>0.1</v>
      </c>
      <c r="I17" s="108">
        <f>+IF(D17="No",0,K17*1)</f>
        <v>0.05</v>
      </c>
      <c r="J17" s="296">
        <v>0.15</v>
      </c>
      <c r="K17" s="110">
        <v>0.05</v>
      </c>
    </row>
    <row r="18" spans="1:15" ht="18" customHeight="1" x14ac:dyDescent="0.35">
      <c r="A18" s="260"/>
      <c r="B18" s="263"/>
      <c r="C18" s="1" t="s">
        <v>348</v>
      </c>
      <c r="D18" s="15" t="s">
        <v>33</v>
      </c>
      <c r="E18" s="266"/>
      <c r="F18" s="269"/>
      <c r="G18" s="271"/>
      <c r="H18" s="295"/>
      <c r="I18" s="108">
        <f>+IF(D18="No",0,K18*1)</f>
        <v>0.05</v>
      </c>
      <c r="J18" s="296"/>
      <c r="K18" s="110">
        <v>0.05</v>
      </c>
    </row>
    <row r="19" spans="1:15" ht="18" customHeight="1" thickBot="1" x14ac:dyDescent="0.4">
      <c r="A19" s="260"/>
      <c r="B19" s="264"/>
      <c r="C19" s="113" t="s">
        <v>349</v>
      </c>
      <c r="D19" s="114" t="s">
        <v>33</v>
      </c>
      <c r="E19" s="267"/>
      <c r="F19" s="269"/>
      <c r="G19" s="271"/>
      <c r="H19" s="295"/>
      <c r="I19" s="108">
        <f>+IF(D19="No",0,K19*1)</f>
        <v>0.05</v>
      </c>
      <c r="J19" s="296"/>
      <c r="K19" s="110">
        <v>0.05</v>
      </c>
    </row>
    <row r="20" spans="1:15" ht="18" customHeight="1" x14ac:dyDescent="0.35">
      <c r="A20" s="260"/>
      <c r="B20" s="262" t="s">
        <v>36</v>
      </c>
      <c r="C20" s="106" t="s">
        <v>350</v>
      </c>
      <c r="D20" s="107" t="s">
        <v>33</v>
      </c>
      <c r="E20" s="265">
        <f>+SUM(I20:I23)</f>
        <v>0.3</v>
      </c>
      <c r="F20" s="269"/>
      <c r="G20" s="271"/>
      <c r="H20" s="295"/>
      <c r="I20" s="108">
        <f>+IF(D20="No",0,K20*1)</f>
        <v>7.4999999999999997E-2</v>
      </c>
      <c r="J20" s="296">
        <v>0.3</v>
      </c>
      <c r="K20" s="115">
        <v>7.4999999999999997E-2</v>
      </c>
    </row>
    <row r="21" spans="1:15" ht="18" customHeight="1" x14ac:dyDescent="0.35">
      <c r="A21" s="260"/>
      <c r="B21" s="263"/>
      <c r="C21" s="1" t="s">
        <v>351</v>
      </c>
      <c r="D21" s="15" t="s">
        <v>33</v>
      </c>
      <c r="E21" s="266"/>
      <c r="F21" s="269"/>
      <c r="G21" s="271"/>
      <c r="H21" s="295"/>
      <c r="I21" s="108">
        <f t="shared" ref="I21:I27" si="0">+IF(D21="No",0,K21*1)</f>
        <v>7.4999999999999997E-2</v>
      </c>
      <c r="J21" s="296"/>
      <c r="K21" s="115">
        <v>7.4999999999999997E-2</v>
      </c>
      <c r="N21" s="82">
        <f>30/4</f>
        <v>7.5</v>
      </c>
      <c r="O21" s="82"/>
    </row>
    <row r="22" spans="1:15" ht="18" customHeight="1" x14ac:dyDescent="0.35">
      <c r="A22" s="260"/>
      <c r="B22" s="263"/>
      <c r="C22" s="1" t="s">
        <v>352</v>
      </c>
      <c r="D22" s="15" t="s">
        <v>33</v>
      </c>
      <c r="E22" s="266"/>
      <c r="F22" s="269"/>
      <c r="G22" s="271"/>
      <c r="H22" s="295"/>
      <c r="I22" s="108">
        <f t="shared" si="0"/>
        <v>7.4999999999999997E-2</v>
      </c>
      <c r="J22" s="296"/>
      <c r="K22" s="115">
        <v>7.4999999999999997E-2</v>
      </c>
      <c r="N22" s="82"/>
      <c r="O22" s="82"/>
    </row>
    <row r="23" spans="1:15" ht="18" customHeight="1" thickBot="1" x14ac:dyDescent="0.4">
      <c r="A23" s="260"/>
      <c r="B23" s="264"/>
      <c r="C23" s="113" t="s">
        <v>353</v>
      </c>
      <c r="D23" s="114" t="s">
        <v>33</v>
      </c>
      <c r="E23" s="267"/>
      <c r="F23" s="269"/>
      <c r="G23" s="271"/>
      <c r="H23" s="295"/>
      <c r="I23" s="108">
        <f t="shared" si="0"/>
        <v>7.4999999999999997E-2</v>
      </c>
      <c r="J23" s="296"/>
      <c r="K23" s="115">
        <v>7.4999999999999997E-2</v>
      </c>
      <c r="N23" s="82">
        <f>25/2</f>
        <v>12.5</v>
      </c>
      <c r="O23" s="82"/>
    </row>
    <row r="24" spans="1:15" ht="18" customHeight="1" x14ac:dyDescent="0.35">
      <c r="A24" s="260"/>
      <c r="B24" s="262" t="s">
        <v>37</v>
      </c>
      <c r="C24" s="106" t="s">
        <v>354</v>
      </c>
      <c r="D24" s="107" t="s">
        <v>33</v>
      </c>
      <c r="E24" s="265">
        <f>+SUM(I24:I27)</f>
        <v>0.3</v>
      </c>
      <c r="F24" s="269"/>
      <c r="G24" s="271"/>
      <c r="H24" s="295"/>
      <c r="I24" s="108">
        <f t="shared" si="0"/>
        <v>7.4999999999999997E-2</v>
      </c>
      <c r="J24" s="296">
        <v>0.3</v>
      </c>
      <c r="K24" s="115">
        <v>7.4999999999999997E-2</v>
      </c>
      <c r="N24" s="82"/>
      <c r="O24" s="82"/>
    </row>
    <row r="25" spans="1:15" ht="18" customHeight="1" x14ac:dyDescent="0.35">
      <c r="A25" s="260"/>
      <c r="B25" s="263"/>
      <c r="C25" s="1" t="s">
        <v>355</v>
      </c>
      <c r="D25" s="15" t="s">
        <v>33</v>
      </c>
      <c r="E25" s="266"/>
      <c r="F25" s="269"/>
      <c r="G25" s="271"/>
      <c r="H25" s="295"/>
      <c r="I25" s="108">
        <f t="shared" si="0"/>
        <v>7.4999999999999997E-2</v>
      </c>
      <c r="J25" s="296"/>
      <c r="K25" s="115">
        <v>7.4999999999999997E-2</v>
      </c>
      <c r="N25" s="82"/>
      <c r="O25" s="82"/>
    </row>
    <row r="26" spans="1:15" ht="18" customHeight="1" x14ac:dyDescent="0.35">
      <c r="A26" s="260"/>
      <c r="B26" s="263"/>
      <c r="C26" s="1" t="s">
        <v>356</v>
      </c>
      <c r="D26" s="15" t="s">
        <v>33</v>
      </c>
      <c r="E26" s="266"/>
      <c r="F26" s="269"/>
      <c r="G26" s="271"/>
      <c r="H26" s="295"/>
      <c r="I26" s="108">
        <f t="shared" si="0"/>
        <v>7.4999999999999997E-2</v>
      </c>
      <c r="J26" s="296"/>
      <c r="K26" s="115">
        <v>7.4999999999999997E-2</v>
      </c>
      <c r="N26" s="82"/>
      <c r="O26" s="82"/>
    </row>
    <row r="27" spans="1:15" ht="18" customHeight="1" thickBot="1" x14ac:dyDescent="0.4">
      <c r="A27" s="260"/>
      <c r="B27" s="264"/>
      <c r="C27" s="113" t="s">
        <v>357</v>
      </c>
      <c r="D27" s="114" t="s">
        <v>33</v>
      </c>
      <c r="E27" s="267"/>
      <c r="F27" s="269"/>
      <c r="G27" s="271"/>
      <c r="H27" s="295"/>
      <c r="I27" s="108">
        <f t="shared" si="0"/>
        <v>7.4999999999999997E-2</v>
      </c>
      <c r="J27" s="296"/>
      <c r="K27" s="115">
        <v>7.4999999999999997E-2</v>
      </c>
    </row>
    <row r="28" spans="1:15" ht="18" customHeight="1" thickBot="1" x14ac:dyDescent="0.4">
      <c r="A28" s="261"/>
      <c r="B28" s="112" t="s">
        <v>407</v>
      </c>
      <c r="C28" s="113" t="s">
        <v>358</v>
      </c>
      <c r="D28" s="114" t="s">
        <v>33</v>
      </c>
      <c r="E28" s="116">
        <f>+I28</f>
        <v>0.25</v>
      </c>
      <c r="F28" s="269"/>
      <c r="G28" s="272"/>
      <c r="H28" s="295"/>
      <c r="I28" s="108">
        <f>+IF(D28="No",0,K28*1)</f>
        <v>0.25</v>
      </c>
      <c r="J28" s="109">
        <v>0.25</v>
      </c>
      <c r="K28" s="115">
        <v>0.25</v>
      </c>
    </row>
    <row r="29" spans="1:15" ht="18" customHeight="1" thickBot="1" x14ac:dyDescent="0.4">
      <c r="A29" s="277" t="s">
        <v>12</v>
      </c>
      <c r="B29" s="262" t="s">
        <v>39</v>
      </c>
      <c r="C29" s="106" t="s">
        <v>359</v>
      </c>
      <c r="D29" s="107" t="s">
        <v>33</v>
      </c>
      <c r="E29" s="280">
        <f>+IF(COUNTIF(D29:D50,"No")&gt;E327,0,1)</f>
        <v>0</v>
      </c>
      <c r="F29" s="283">
        <f>+SUM(E29:E50)</f>
        <v>0</v>
      </c>
      <c r="G29" s="286">
        <v>0.3</v>
      </c>
      <c r="H29" s="290">
        <f>+IF(F29&lt;&gt;1,0,0.3)</f>
        <v>0</v>
      </c>
      <c r="I29" s="118"/>
      <c r="J29" s="272">
        <v>1</v>
      </c>
    </row>
    <row r="30" spans="1:15" ht="18" customHeight="1" thickBot="1" x14ac:dyDescent="0.4">
      <c r="A30" s="278"/>
      <c r="B30" s="263"/>
      <c r="C30" s="1" t="s">
        <v>360</v>
      </c>
      <c r="D30" s="107" t="s">
        <v>33</v>
      </c>
      <c r="E30" s="281"/>
      <c r="F30" s="269"/>
      <c r="G30" s="287"/>
      <c r="H30" s="291"/>
      <c r="I30" s="118"/>
      <c r="J30" s="292"/>
    </row>
    <row r="31" spans="1:15" ht="18" customHeight="1" thickBot="1" x14ac:dyDescent="0.4">
      <c r="A31" s="278"/>
      <c r="B31" s="263"/>
      <c r="C31" s="1" t="s">
        <v>361</v>
      </c>
      <c r="D31" s="107" t="s">
        <v>33</v>
      </c>
      <c r="E31" s="281"/>
      <c r="F31" s="269"/>
      <c r="G31" s="287"/>
      <c r="H31" s="291"/>
      <c r="I31" s="118"/>
      <c r="J31" s="292"/>
    </row>
    <row r="32" spans="1:15" ht="18" customHeight="1" thickBot="1" x14ac:dyDescent="0.4">
      <c r="A32" s="278"/>
      <c r="B32" s="264"/>
      <c r="C32" s="113" t="s">
        <v>362</v>
      </c>
      <c r="D32" s="107" t="s">
        <v>33</v>
      </c>
      <c r="E32" s="281"/>
      <c r="F32" s="269"/>
      <c r="G32" s="287"/>
      <c r="H32" s="291"/>
      <c r="I32" s="118"/>
      <c r="J32" s="292"/>
    </row>
    <row r="33" spans="1:10" ht="18" customHeight="1" thickBot="1" x14ac:dyDescent="0.4">
      <c r="A33" s="278"/>
      <c r="B33" s="262" t="s">
        <v>40</v>
      </c>
      <c r="C33" s="106" t="s">
        <v>363</v>
      </c>
      <c r="D33" s="107" t="s">
        <v>34</v>
      </c>
      <c r="E33" s="281"/>
      <c r="F33" s="269"/>
      <c r="G33" s="287"/>
      <c r="H33" s="291"/>
      <c r="I33" s="118"/>
      <c r="J33" s="292"/>
    </row>
    <row r="34" spans="1:10" ht="18" customHeight="1" thickBot="1" x14ac:dyDescent="0.4">
      <c r="A34" s="278"/>
      <c r="B34" s="264"/>
      <c r="C34" s="113" t="s">
        <v>364</v>
      </c>
      <c r="D34" s="107" t="s">
        <v>33</v>
      </c>
      <c r="E34" s="281"/>
      <c r="F34" s="269"/>
      <c r="G34" s="287"/>
      <c r="H34" s="291"/>
      <c r="I34" s="118"/>
      <c r="J34" s="292"/>
    </row>
    <row r="35" spans="1:10" ht="18" customHeight="1" thickBot="1" x14ac:dyDescent="0.4">
      <c r="A35" s="278"/>
      <c r="B35" s="262" t="s">
        <v>41</v>
      </c>
      <c r="C35" s="106" t="s">
        <v>365</v>
      </c>
      <c r="D35" s="107" t="s">
        <v>33</v>
      </c>
      <c r="E35" s="281"/>
      <c r="F35" s="269"/>
      <c r="G35" s="287"/>
      <c r="H35" s="291"/>
      <c r="I35" s="118"/>
      <c r="J35" s="292"/>
    </row>
    <row r="36" spans="1:10" ht="18" customHeight="1" thickBot="1" x14ac:dyDescent="0.4">
      <c r="A36" s="278"/>
      <c r="B36" s="263"/>
      <c r="C36" s="1" t="s">
        <v>366</v>
      </c>
      <c r="D36" s="107" t="s">
        <v>33</v>
      </c>
      <c r="E36" s="281"/>
      <c r="F36" s="269"/>
      <c r="G36" s="287"/>
      <c r="H36" s="291"/>
      <c r="I36" s="118"/>
      <c r="J36" s="292"/>
    </row>
    <row r="37" spans="1:10" ht="18" customHeight="1" thickBot="1" x14ac:dyDescent="0.4">
      <c r="A37" s="278"/>
      <c r="B37" s="105" t="s">
        <v>42</v>
      </c>
      <c r="C37" s="106" t="s">
        <v>367</v>
      </c>
      <c r="D37" s="107" t="s">
        <v>33</v>
      </c>
      <c r="E37" s="281"/>
      <c r="F37" s="269"/>
      <c r="G37" s="287"/>
      <c r="H37" s="291"/>
      <c r="I37" s="118"/>
      <c r="J37" s="292"/>
    </row>
    <row r="38" spans="1:10" ht="18" customHeight="1" thickBot="1" x14ac:dyDescent="0.4">
      <c r="A38" s="278"/>
      <c r="B38" s="111" t="s">
        <v>43</v>
      </c>
      <c r="C38" s="1" t="s">
        <v>368</v>
      </c>
      <c r="D38" s="107" t="s">
        <v>33</v>
      </c>
      <c r="E38" s="281"/>
      <c r="F38" s="269"/>
      <c r="G38" s="287"/>
      <c r="H38" s="291"/>
      <c r="I38" s="118"/>
      <c r="J38" s="292"/>
    </row>
    <row r="39" spans="1:10" ht="18" customHeight="1" thickBot="1" x14ac:dyDescent="0.4">
      <c r="A39" s="278"/>
      <c r="B39" s="263" t="s">
        <v>44</v>
      </c>
      <c r="C39" s="1" t="s">
        <v>369</v>
      </c>
      <c r="D39" s="107" t="s">
        <v>33</v>
      </c>
      <c r="E39" s="281"/>
      <c r="F39" s="269"/>
      <c r="G39" s="287"/>
      <c r="H39" s="291"/>
      <c r="I39" s="118"/>
      <c r="J39" s="292"/>
    </row>
    <row r="40" spans="1:10" ht="18" customHeight="1" thickBot="1" x14ac:dyDescent="0.4">
      <c r="A40" s="278"/>
      <c r="B40" s="263"/>
      <c r="C40" s="1" t="s">
        <v>370</v>
      </c>
      <c r="D40" s="107" t="s">
        <v>33</v>
      </c>
      <c r="E40" s="281"/>
      <c r="F40" s="269"/>
      <c r="G40" s="287"/>
      <c r="H40" s="291"/>
      <c r="I40" s="118"/>
      <c r="J40" s="292"/>
    </row>
    <row r="41" spans="1:10" ht="18" customHeight="1" thickBot="1" x14ac:dyDescent="0.4">
      <c r="A41" s="278"/>
      <c r="B41" s="263"/>
      <c r="C41" s="181" t="s">
        <v>408</v>
      </c>
      <c r="D41" s="107" t="s">
        <v>33</v>
      </c>
      <c r="E41" s="281"/>
      <c r="F41" s="269"/>
      <c r="G41" s="287"/>
      <c r="H41" s="291"/>
      <c r="I41" s="118"/>
      <c r="J41" s="292"/>
    </row>
    <row r="42" spans="1:10" ht="18" customHeight="1" thickBot="1" x14ac:dyDescent="0.4">
      <c r="A42" s="278"/>
      <c r="B42" s="263" t="s">
        <v>371</v>
      </c>
      <c r="C42" s="1" t="s">
        <v>372</v>
      </c>
      <c r="D42" s="107" t="s">
        <v>33</v>
      </c>
      <c r="E42" s="281"/>
      <c r="F42" s="269"/>
      <c r="G42" s="287"/>
      <c r="H42" s="291"/>
      <c r="I42" s="118"/>
      <c r="J42" s="292"/>
    </row>
    <row r="43" spans="1:10" ht="18" customHeight="1" thickBot="1" x14ac:dyDescent="0.4">
      <c r="A43" s="278"/>
      <c r="B43" s="264"/>
      <c r="C43" s="113" t="s">
        <v>373</v>
      </c>
      <c r="D43" s="107" t="s">
        <v>33</v>
      </c>
      <c r="E43" s="281"/>
      <c r="F43" s="269"/>
      <c r="G43" s="287"/>
      <c r="H43" s="291"/>
      <c r="I43" s="118"/>
      <c r="J43" s="292"/>
    </row>
    <row r="44" spans="1:10" ht="18" customHeight="1" thickBot="1" x14ac:dyDescent="0.4">
      <c r="A44" s="278"/>
      <c r="B44" s="262" t="s">
        <v>46</v>
      </c>
      <c r="C44" s="106" t="s">
        <v>374</v>
      </c>
      <c r="D44" s="107" t="s">
        <v>33</v>
      </c>
      <c r="E44" s="281"/>
      <c r="F44" s="269"/>
      <c r="G44" s="287"/>
      <c r="H44" s="291"/>
      <c r="I44" s="118"/>
      <c r="J44" s="292"/>
    </row>
    <row r="45" spans="1:10" ht="18" customHeight="1" thickBot="1" x14ac:dyDescent="0.4">
      <c r="A45" s="278"/>
      <c r="B45" s="263"/>
      <c r="C45" s="1" t="s">
        <v>375</v>
      </c>
      <c r="D45" s="107" t="s">
        <v>33</v>
      </c>
      <c r="E45" s="281"/>
      <c r="F45" s="269"/>
      <c r="G45" s="287"/>
      <c r="H45" s="291"/>
      <c r="I45" s="118"/>
      <c r="J45" s="292"/>
    </row>
    <row r="46" spans="1:10" ht="18" customHeight="1" thickBot="1" x14ac:dyDescent="0.4">
      <c r="A46" s="278"/>
      <c r="B46" s="263"/>
      <c r="C46" s="1" t="s">
        <v>376</v>
      </c>
      <c r="D46" s="107" t="s">
        <v>33</v>
      </c>
      <c r="E46" s="281"/>
      <c r="F46" s="269"/>
      <c r="G46" s="287"/>
      <c r="H46" s="291"/>
      <c r="I46" s="118"/>
      <c r="J46" s="292"/>
    </row>
    <row r="47" spans="1:10" ht="18" customHeight="1" thickBot="1" x14ac:dyDescent="0.4">
      <c r="A47" s="278"/>
      <c r="B47" s="263"/>
      <c r="C47" s="1" t="s">
        <v>377</v>
      </c>
      <c r="D47" s="107" t="s">
        <v>33</v>
      </c>
      <c r="E47" s="281"/>
      <c r="F47" s="269"/>
      <c r="G47" s="287"/>
      <c r="H47" s="291"/>
      <c r="I47" s="118"/>
      <c r="J47" s="292"/>
    </row>
    <row r="48" spans="1:10" ht="18" customHeight="1" thickBot="1" x14ac:dyDescent="0.4">
      <c r="A48" s="278"/>
      <c r="B48" s="263"/>
      <c r="C48" s="1" t="s">
        <v>378</v>
      </c>
      <c r="D48" s="107" t="s">
        <v>33</v>
      </c>
      <c r="E48" s="281"/>
      <c r="F48" s="269"/>
      <c r="G48" s="287"/>
      <c r="H48" s="291"/>
      <c r="I48" s="118"/>
      <c r="J48" s="292"/>
    </row>
    <row r="49" spans="1:10" ht="18" customHeight="1" thickBot="1" x14ac:dyDescent="0.4">
      <c r="A49" s="278"/>
      <c r="B49" s="297"/>
      <c r="C49" s="113" t="s">
        <v>379</v>
      </c>
      <c r="D49" s="107" t="s">
        <v>33</v>
      </c>
      <c r="E49" s="281"/>
      <c r="F49" s="284"/>
      <c r="G49" s="288"/>
      <c r="H49" s="291"/>
      <c r="I49" s="118"/>
      <c r="J49" s="293"/>
    </row>
    <row r="50" spans="1:10" ht="18" customHeight="1" thickBot="1" x14ac:dyDescent="0.4">
      <c r="A50" s="279"/>
      <c r="B50" s="264"/>
      <c r="C50" s="181" t="s">
        <v>409</v>
      </c>
      <c r="D50" s="107" t="s">
        <v>33</v>
      </c>
      <c r="E50" s="282"/>
      <c r="F50" s="285"/>
      <c r="G50" s="289"/>
      <c r="H50" s="291"/>
      <c r="I50" s="118"/>
      <c r="J50" s="294"/>
    </row>
    <row r="51" spans="1:10" ht="18" customHeight="1" thickBot="1" x14ac:dyDescent="0.4">
      <c r="A51" s="298" t="s">
        <v>337</v>
      </c>
      <c r="B51" s="301" t="s">
        <v>47</v>
      </c>
      <c r="C51" s="106" t="s">
        <v>380</v>
      </c>
      <c r="D51" s="107" t="s">
        <v>33</v>
      </c>
      <c r="E51" s="306">
        <f>+IF(COUNTIF(D51:D61,"No")&gt;E327,0,1)</f>
        <v>0</v>
      </c>
      <c r="F51" s="308">
        <f>+E51</f>
        <v>0</v>
      </c>
      <c r="G51" s="308">
        <v>0.3</v>
      </c>
      <c r="H51" s="308">
        <f>+IF(E51&lt;&gt;1,0,0.3)</f>
        <v>0</v>
      </c>
      <c r="I51" s="117"/>
      <c r="J51" s="308">
        <v>1</v>
      </c>
    </row>
    <row r="52" spans="1:10" ht="18" customHeight="1" thickBot="1" x14ac:dyDescent="0.4">
      <c r="A52" s="299"/>
      <c r="B52" s="302"/>
      <c r="C52" s="1" t="s">
        <v>381</v>
      </c>
      <c r="D52" s="107" t="s">
        <v>33</v>
      </c>
      <c r="E52" s="271"/>
      <c r="F52" s="292"/>
      <c r="G52" s="292"/>
      <c r="H52" s="292"/>
      <c r="I52" s="119"/>
      <c r="J52" s="292"/>
    </row>
    <row r="53" spans="1:10" ht="18" customHeight="1" thickBot="1" x14ac:dyDescent="0.4">
      <c r="A53" s="299"/>
      <c r="B53" s="302"/>
      <c r="C53" s="1" t="s">
        <v>382</v>
      </c>
      <c r="D53" s="107" t="s">
        <v>34</v>
      </c>
      <c r="E53" s="271"/>
      <c r="F53" s="292"/>
      <c r="G53" s="292"/>
      <c r="H53" s="292"/>
      <c r="I53" s="119"/>
      <c r="J53" s="292"/>
    </row>
    <row r="54" spans="1:10" ht="18" customHeight="1" thickBot="1" x14ac:dyDescent="0.4">
      <c r="A54" s="299"/>
      <c r="B54" s="302"/>
      <c r="C54" s="1" t="s">
        <v>383</v>
      </c>
      <c r="D54" s="107" t="s">
        <v>33</v>
      </c>
      <c r="E54" s="271"/>
      <c r="F54" s="292"/>
      <c r="G54" s="292"/>
      <c r="H54" s="292"/>
      <c r="I54" s="119"/>
      <c r="J54" s="292"/>
    </row>
    <row r="55" spans="1:10" ht="18" customHeight="1" thickBot="1" x14ac:dyDescent="0.4">
      <c r="A55" s="299"/>
      <c r="B55" s="302"/>
      <c r="C55" s="1" t="s">
        <v>384</v>
      </c>
      <c r="D55" s="107" t="s">
        <v>34</v>
      </c>
      <c r="E55" s="271"/>
      <c r="F55" s="292"/>
      <c r="G55" s="292"/>
      <c r="H55" s="292"/>
      <c r="I55" s="119"/>
      <c r="J55" s="292"/>
    </row>
    <row r="56" spans="1:10" ht="18" customHeight="1" thickBot="1" x14ac:dyDescent="0.4">
      <c r="A56" s="299"/>
      <c r="B56" s="302"/>
      <c r="C56" s="1" t="s">
        <v>385</v>
      </c>
      <c r="D56" s="107" t="s">
        <v>34</v>
      </c>
      <c r="E56" s="271"/>
      <c r="F56" s="292"/>
      <c r="G56" s="292"/>
      <c r="H56" s="292"/>
      <c r="I56" s="119"/>
      <c r="J56" s="292"/>
    </row>
    <row r="57" spans="1:10" ht="18" customHeight="1" thickBot="1" x14ac:dyDescent="0.4">
      <c r="A57" s="299"/>
      <c r="B57" s="122" t="s">
        <v>48</v>
      </c>
      <c r="C57" s="1" t="s">
        <v>386</v>
      </c>
      <c r="D57" s="107" t="s">
        <v>33</v>
      </c>
      <c r="E57" s="271"/>
      <c r="F57" s="292"/>
      <c r="G57" s="292"/>
      <c r="H57" s="292"/>
      <c r="I57" s="119"/>
      <c r="J57" s="292"/>
    </row>
    <row r="58" spans="1:10" ht="18" customHeight="1" thickBot="1" x14ac:dyDescent="0.4">
      <c r="A58" s="299"/>
      <c r="B58" s="302" t="s">
        <v>49</v>
      </c>
      <c r="C58" s="1" t="s">
        <v>387</v>
      </c>
      <c r="D58" s="107" t="s">
        <v>33</v>
      </c>
      <c r="E58" s="271"/>
      <c r="F58" s="292"/>
      <c r="G58" s="292"/>
      <c r="H58" s="292"/>
      <c r="I58" s="119"/>
      <c r="J58" s="292"/>
    </row>
    <row r="59" spans="1:10" ht="18" customHeight="1" thickBot="1" x14ac:dyDescent="0.4">
      <c r="A59" s="299"/>
      <c r="B59" s="302"/>
      <c r="C59" s="1" t="s">
        <v>388</v>
      </c>
      <c r="D59" s="107" t="s">
        <v>33</v>
      </c>
      <c r="E59" s="271"/>
      <c r="F59" s="292"/>
      <c r="G59" s="292"/>
      <c r="H59" s="292"/>
      <c r="I59" s="119"/>
      <c r="J59" s="292"/>
    </row>
    <row r="60" spans="1:10" ht="18" customHeight="1" thickBot="1" x14ac:dyDescent="0.4">
      <c r="A60" s="299"/>
      <c r="B60" s="302"/>
      <c r="C60" s="1" t="s">
        <v>389</v>
      </c>
      <c r="D60" s="107" t="s">
        <v>33</v>
      </c>
      <c r="E60" s="271"/>
      <c r="F60" s="292"/>
      <c r="G60" s="292"/>
      <c r="H60" s="292"/>
      <c r="I60" s="119"/>
      <c r="J60" s="292"/>
    </row>
    <row r="61" spans="1:10" ht="18" customHeight="1" thickBot="1" x14ac:dyDescent="0.4">
      <c r="A61" s="300"/>
      <c r="B61" s="123" t="s">
        <v>50</v>
      </c>
      <c r="C61" s="113" t="s">
        <v>390</v>
      </c>
      <c r="D61" s="107" t="s">
        <v>33</v>
      </c>
      <c r="E61" s="307"/>
      <c r="F61" s="294"/>
      <c r="G61" s="294"/>
      <c r="H61" s="294"/>
      <c r="I61" s="120"/>
      <c r="J61" s="294"/>
    </row>
    <row r="62" spans="1:10" ht="18" customHeight="1" thickBot="1" x14ac:dyDescent="0.4">
      <c r="A62" s="303" t="s">
        <v>13</v>
      </c>
      <c r="B62" s="121" t="s">
        <v>51</v>
      </c>
      <c r="C62" s="106" t="s">
        <v>391</v>
      </c>
      <c r="D62" s="107" t="s">
        <v>33</v>
      </c>
      <c r="E62" s="306">
        <f>+IF(COUNTIF(D62:D65,"No")&gt;E327,0,1)</f>
        <v>1</v>
      </c>
      <c r="F62" s="308">
        <f>+E62</f>
        <v>1</v>
      </c>
      <c r="G62" s="309">
        <v>0.3</v>
      </c>
      <c r="H62" s="309">
        <f>+IF(F62&lt;&gt;1,0,0.3)</f>
        <v>0.3</v>
      </c>
      <c r="I62" s="124"/>
      <c r="J62" s="309">
        <v>1</v>
      </c>
    </row>
    <row r="63" spans="1:10" ht="18" customHeight="1" thickBot="1" x14ac:dyDescent="0.4">
      <c r="A63" s="304"/>
      <c r="B63" s="302" t="s">
        <v>52</v>
      </c>
      <c r="C63" s="1" t="s">
        <v>392</v>
      </c>
      <c r="D63" s="107" t="s">
        <v>33</v>
      </c>
      <c r="E63" s="271"/>
      <c r="F63" s="292"/>
      <c r="G63" s="287"/>
      <c r="H63" s="310"/>
      <c r="I63" s="125"/>
      <c r="J63" s="287"/>
    </row>
    <row r="64" spans="1:10" ht="18" customHeight="1" thickBot="1" x14ac:dyDescent="0.4">
      <c r="A64" s="304"/>
      <c r="B64" s="302"/>
      <c r="C64" s="1" t="s">
        <v>393</v>
      </c>
      <c r="D64" s="107" t="s">
        <v>33</v>
      </c>
      <c r="E64" s="271"/>
      <c r="F64" s="292"/>
      <c r="G64" s="287"/>
      <c r="H64" s="310"/>
      <c r="I64" s="125"/>
      <c r="J64" s="287"/>
    </row>
    <row r="65" spans="1:10" ht="18" customHeight="1" thickBot="1" x14ac:dyDescent="0.4">
      <c r="A65" s="305"/>
      <c r="B65" s="123" t="s">
        <v>53</v>
      </c>
      <c r="C65" s="113" t="s">
        <v>394</v>
      </c>
      <c r="D65" s="107" t="s">
        <v>33</v>
      </c>
      <c r="E65" s="307"/>
      <c r="F65" s="294"/>
      <c r="G65" s="289"/>
      <c r="H65" s="311"/>
      <c r="I65" s="126"/>
      <c r="J65" s="289"/>
    </row>
  </sheetData>
  <mergeCells count="45">
    <mergeCell ref="G62:G65"/>
    <mergeCell ref="H62:H65"/>
    <mergeCell ref="J62:J65"/>
    <mergeCell ref="B63:B64"/>
    <mergeCell ref="F51:F61"/>
    <mergeCell ref="G51:G61"/>
    <mergeCell ref="H51:H61"/>
    <mergeCell ref="J51:J61"/>
    <mergeCell ref="B58:B60"/>
    <mergeCell ref="E51:E61"/>
    <mergeCell ref="A51:A61"/>
    <mergeCell ref="B51:B56"/>
    <mergeCell ref="A62:A65"/>
    <mergeCell ref="E62:E65"/>
    <mergeCell ref="F62:F65"/>
    <mergeCell ref="H29:H50"/>
    <mergeCell ref="J29:J50"/>
    <mergeCell ref="B33:B34"/>
    <mergeCell ref="B35:B36"/>
    <mergeCell ref="H17:H28"/>
    <mergeCell ref="J17:J19"/>
    <mergeCell ref="B20:B23"/>
    <mergeCell ref="E20:E23"/>
    <mergeCell ref="J20:J23"/>
    <mergeCell ref="B24:B27"/>
    <mergeCell ref="B39:B41"/>
    <mergeCell ref="B42:B43"/>
    <mergeCell ref="B44:B50"/>
    <mergeCell ref="E24:E27"/>
    <mergeCell ref="J24:J27"/>
    <mergeCell ref="A29:A50"/>
    <mergeCell ref="B29:B32"/>
    <mergeCell ref="E29:E50"/>
    <mergeCell ref="F29:F50"/>
    <mergeCell ref="G29:G50"/>
    <mergeCell ref="A1:K1"/>
    <mergeCell ref="A2:K2"/>
    <mergeCell ref="A3:K3"/>
    <mergeCell ref="A5:B5"/>
    <mergeCell ref="F5:G5"/>
    <mergeCell ref="A17:A28"/>
    <mergeCell ref="B17:B19"/>
    <mergeCell ref="E17:E19"/>
    <mergeCell ref="F17:F28"/>
    <mergeCell ref="G17:G28"/>
  </mergeCells>
  <phoneticPr fontId="36" type="noConversion"/>
  <conditionalFormatting sqref="G6">
    <cfRule type="cellIs" dxfId="102" priority="1" operator="between">
      <formula>0</formula>
      <formula>0.6</formula>
    </cfRule>
    <cfRule type="cellIs" dxfId="101" priority="2" operator="between">
      <formula>0.61</formula>
      <formula>0.79</formula>
    </cfRule>
    <cfRule type="cellIs" dxfId="100" priority="3" operator="between">
      <formula>0.8</formula>
      <formula>1</formula>
    </cfRule>
  </conditionalFormatting>
  <dataValidations count="3">
    <dataValidation type="list" allowBlank="1" showInputMessage="1" showErrorMessage="1" sqref="B9" xr:uid="{85E71778-64A6-448C-80BA-306AD949CDBB}">
      <formula1>"Pre2Pos,Renovacion"</formula1>
    </dataValidation>
    <dataValidation type="list" allowBlank="1" showInputMessage="1" showErrorMessage="1" sqref="B11" xr:uid="{82A43A33-617D-4337-89E6-68ABBC650AA8}">
      <formula1>"Outbound"</formula1>
    </dataValidation>
    <dataValidation type="list" allowBlank="1" showInputMessage="1" showErrorMessage="1" sqref="D17:D65" xr:uid="{182DF857-6646-4F49-8EC5-0CDCC9679D29}">
      <formula1>"Si,No,N/A"</formula1>
    </dataValidation>
  </dataValidation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6C6BEECF-1F29-4A53-8C61-C826A4810036}">
          <x14:formula1>
            <xm:f>HC!$B$2:$B$73</xm:f>
          </x14:formula1>
          <xm:sqref>B6</xm:sqref>
        </x14:dataValidation>
        <x14:dataValidation type="list" allowBlank="1" showInputMessage="1" showErrorMessage="1" xr:uid="{0DF33D97-E5E4-4841-AE38-6418CE228160}">
          <x14:formula1>
            <xm:f>HC!$L$1:$P$1</xm:f>
          </x14:formula1>
          <xm:sqref>B10</xm:sqref>
        </x14:dataValidation>
        <x14:dataValidation type="list" allowBlank="1" showInputMessage="1" showErrorMessage="1" xr:uid="{89DFCBAC-A525-4B59-AB85-B6F3022046DB}">
          <x14:formula1>
            <xm:f>HC!$R$2:$R$8</xm:f>
          </x14:formula1>
          <xm:sqref>B12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2"/>
  <dimension ref="A1:IS112"/>
  <sheetViews>
    <sheetView showGridLines="0" topLeftCell="GB1" zoomScale="68" zoomScaleNormal="85" workbookViewId="0">
      <selection activeCell="IJ30" sqref="IJ30"/>
    </sheetView>
  </sheetViews>
  <sheetFormatPr baseColWidth="10" defaultColWidth="10.81640625" defaultRowHeight="14.5" x14ac:dyDescent="0.35"/>
  <cols>
    <col min="1" max="1" width="17.453125" customWidth="1"/>
    <col min="2" max="2" width="14.54296875" bestFit="1" customWidth="1"/>
    <col min="3" max="3" width="16.453125" customWidth="1"/>
    <col min="4" max="4" width="16.81640625" customWidth="1"/>
    <col min="5" max="5" width="24.81640625" customWidth="1"/>
    <col min="6" max="6" width="20.453125" customWidth="1"/>
    <col min="7" max="7" width="12.81640625" customWidth="1"/>
    <col min="8" max="8" width="18.54296875" customWidth="1"/>
    <col min="9" max="9" width="16.81640625" style="214" customWidth="1"/>
    <col min="10" max="10" width="67.54296875" style="215" bestFit="1" customWidth="1"/>
    <col min="11" max="11" width="46.81640625" style="215" customWidth="1"/>
    <col min="12" max="12" width="34.453125" style="215" customWidth="1"/>
    <col min="13" max="13" width="71" style="215" bestFit="1" customWidth="1"/>
    <col min="14" max="14" width="33.1796875" style="215" customWidth="1"/>
    <col min="15" max="19" width="46.81640625" customWidth="1"/>
    <col min="20" max="21" width="43.81640625" customWidth="1"/>
    <col min="22" max="45" width="46.81640625" customWidth="1"/>
    <col min="46" max="46" width="42.1796875" customWidth="1"/>
    <col min="47" max="58" width="46.81640625" customWidth="1"/>
    <col min="59" max="59" width="15" customWidth="1"/>
    <col min="60" max="60" width="17.81640625" bestFit="1" customWidth="1"/>
    <col min="61" max="74" width="19.1796875" customWidth="1"/>
    <col min="75" max="76" width="46.81640625" customWidth="1"/>
    <col min="77" max="77" width="35.453125" customWidth="1"/>
    <col min="78" max="78" width="46.81640625" customWidth="1"/>
    <col min="79" max="79" width="34.1796875" customWidth="1"/>
    <col min="80" max="84" width="46.81640625" customWidth="1"/>
    <col min="85" max="85" width="44.81640625" customWidth="1"/>
    <col min="86" max="95" width="46.81640625" customWidth="1"/>
    <col min="96" max="96" width="43.1796875" customWidth="1"/>
    <col min="97" max="127" width="46.81640625" customWidth="1"/>
    <col min="128" max="129" width="46.81640625" style="9" customWidth="1"/>
    <col min="130" max="130" width="35.453125" style="9" customWidth="1"/>
    <col min="131" max="131" width="46.81640625" style="9" customWidth="1"/>
    <col min="132" max="133" width="34.1796875" style="9" customWidth="1"/>
    <col min="134" max="140" width="46.81640625" style="9" customWidth="1"/>
    <col min="141" max="142" width="44.81640625" style="9" customWidth="1"/>
    <col min="143" max="144" width="10.81640625" style="9"/>
    <col min="145" max="154" width="46.81640625" style="9" customWidth="1"/>
    <col min="155" max="155" width="10.81640625" style="9"/>
    <col min="156" max="156" width="46.81640625" style="9" customWidth="1"/>
    <col min="157" max="158" width="43.1796875" style="9" customWidth="1"/>
    <col min="159" max="170" width="46.81640625" style="9" customWidth="1"/>
    <col min="171" max="172" width="10.81640625" style="9"/>
    <col min="173" max="182" width="46.81640625" style="9" customWidth="1"/>
    <col min="184" max="184" width="12.1796875" customWidth="1"/>
    <col min="185" max="185" width="13" customWidth="1"/>
    <col min="186" max="186" width="13.1796875" customWidth="1"/>
    <col min="187" max="187" width="14.81640625" customWidth="1"/>
    <col min="188" max="188" width="16.1796875" customWidth="1"/>
    <col min="189" max="190" width="16.1796875" style="23" customWidth="1"/>
    <col min="191" max="207" width="16.1796875" style="23" hidden="1" customWidth="1"/>
    <col min="208" max="209" width="46.81640625" hidden="1" customWidth="1"/>
    <col min="210" max="210" width="35.453125" hidden="1" customWidth="1"/>
    <col min="211" max="211" width="46.81640625" hidden="1" customWidth="1"/>
    <col min="212" max="212" width="34.1796875" hidden="1" customWidth="1"/>
    <col min="213" max="217" width="46.81640625" hidden="1" customWidth="1"/>
    <col min="218" max="218" width="44.81640625" hidden="1" customWidth="1"/>
    <col min="219" max="228" width="46.81640625" hidden="1" customWidth="1"/>
    <col min="229" max="229" width="43.1796875" hidden="1" customWidth="1"/>
    <col min="230" max="241" width="46.81640625" hidden="1" customWidth="1"/>
    <col min="242" max="242" width="53.1796875" customWidth="1"/>
    <col min="243" max="243" width="17.54296875" style="52" customWidth="1"/>
    <col min="244" max="244" width="17.81640625" customWidth="1"/>
    <col min="245" max="245" width="44.81640625" style="52" customWidth="1"/>
    <col min="246" max="246" width="28.54296875" customWidth="1"/>
    <col min="247" max="247" width="18.1796875" customWidth="1"/>
    <col min="252" max="252" width="13.1796875" customWidth="1"/>
    <col min="253" max="253" width="15.54296875" customWidth="1"/>
  </cols>
  <sheetData>
    <row r="1" spans="1:253" x14ac:dyDescent="0.35">
      <c r="I1" s="52"/>
      <c r="J1" s="313" t="s">
        <v>35</v>
      </c>
      <c r="K1" s="313"/>
      <c r="L1" s="313"/>
      <c r="M1" s="314" t="s">
        <v>36</v>
      </c>
      <c r="N1" s="314"/>
      <c r="O1" s="314"/>
      <c r="P1" s="314"/>
      <c r="Q1" s="313" t="s">
        <v>37</v>
      </c>
      <c r="R1" s="313"/>
      <c r="S1" s="313"/>
      <c r="T1" s="313"/>
      <c r="U1" s="94" t="s">
        <v>38</v>
      </c>
      <c r="V1" s="318" t="s">
        <v>39</v>
      </c>
      <c r="W1" s="318"/>
      <c r="X1" s="318"/>
      <c r="Y1" s="318"/>
      <c r="Z1" s="317" t="s">
        <v>40</v>
      </c>
      <c r="AA1" s="317"/>
      <c r="AB1" s="318" t="s">
        <v>41</v>
      </c>
      <c r="AC1" s="318"/>
      <c r="AD1" s="318"/>
      <c r="AE1" s="16" t="s">
        <v>42</v>
      </c>
      <c r="AF1" s="17" t="s">
        <v>43</v>
      </c>
      <c r="AG1" s="317" t="s">
        <v>44</v>
      </c>
      <c r="AH1" s="317"/>
      <c r="AI1" s="317"/>
      <c r="AJ1" s="318" t="s">
        <v>45</v>
      </c>
      <c r="AK1" s="318"/>
      <c r="AL1" s="317" t="s">
        <v>46</v>
      </c>
      <c r="AM1" s="317"/>
      <c r="AN1" s="317"/>
      <c r="AO1" s="317"/>
      <c r="AP1" s="317"/>
      <c r="AQ1" s="317"/>
      <c r="AR1" s="319" t="s">
        <v>47</v>
      </c>
      <c r="AS1" s="319"/>
      <c r="AT1" s="319"/>
      <c r="AU1" s="319"/>
      <c r="AV1" s="319"/>
      <c r="AW1" s="319"/>
      <c r="AX1" s="18" t="s">
        <v>48</v>
      </c>
      <c r="AY1" s="319" t="s">
        <v>49</v>
      </c>
      <c r="AZ1" s="319"/>
      <c r="BA1" s="319"/>
      <c r="BB1" s="19" t="s">
        <v>50</v>
      </c>
      <c r="BC1" s="20" t="s">
        <v>51</v>
      </c>
      <c r="BD1" s="320" t="s">
        <v>52</v>
      </c>
      <c r="BE1" s="320"/>
      <c r="BF1" s="21" t="s">
        <v>53</v>
      </c>
      <c r="DX1" s="22"/>
      <c r="DY1" s="22"/>
      <c r="DZ1" s="22"/>
      <c r="EA1" s="22"/>
      <c r="EB1" s="22"/>
      <c r="EC1" s="22"/>
    </row>
    <row r="2" spans="1:253" ht="15" thickBot="1" x14ac:dyDescent="0.4">
      <c r="I2" s="52"/>
      <c r="J2" s="315">
        <v>0.15</v>
      </c>
      <c r="K2" s="313"/>
      <c r="L2" s="313"/>
      <c r="M2" s="316">
        <v>0.3</v>
      </c>
      <c r="N2" s="314"/>
      <c r="O2" s="314"/>
      <c r="P2" s="314"/>
      <c r="Q2" s="315">
        <v>0.3</v>
      </c>
      <c r="R2" s="315"/>
      <c r="S2" s="315"/>
      <c r="T2" s="315"/>
      <c r="U2" s="95">
        <v>0.25</v>
      </c>
      <c r="V2" s="318"/>
      <c r="W2" s="318"/>
      <c r="X2" s="318"/>
      <c r="Y2" s="318"/>
      <c r="Z2" s="317"/>
      <c r="AA2" s="317"/>
      <c r="AB2" s="318"/>
      <c r="AC2" s="318"/>
      <c r="AD2" s="318"/>
      <c r="AE2" s="16"/>
      <c r="AF2" s="24"/>
      <c r="AG2" s="317"/>
      <c r="AH2" s="317"/>
      <c r="AI2" s="317"/>
      <c r="AJ2" s="318"/>
      <c r="AK2" s="318"/>
      <c r="AL2" s="317"/>
      <c r="AM2" s="317"/>
      <c r="AN2" s="317"/>
      <c r="AO2" s="317"/>
      <c r="AP2" s="317"/>
      <c r="AQ2" s="317"/>
      <c r="AR2" s="319"/>
      <c r="AS2" s="319"/>
      <c r="AT2" s="319"/>
      <c r="AU2" s="319"/>
      <c r="AV2" s="319"/>
      <c r="AW2" s="319"/>
      <c r="AX2" s="19"/>
      <c r="AY2" s="319"/>
      <c r="AZ2" s="319"/>
      <c r="BA2" s="319"/>
      <c r="BB2" s="19"/>
      <c r="BC2" s="21"/>
      <c r="BD2" s="25"/>
      <c r="BE2" s="25"/>
      <c r="BF2" s="21"/>
      <c r="DH2" s="9">
        <v>0.15</v>
      </c>
      <c r="DK2" s="9"/>
      <c r="DL2" s="26">
        <v>0.3</v>
      </c>
      <c r="DQ2" s="26">
        <v>0.3</v>
      </c>
      <c r="DV2" s="26">
        <v>0.25</v>
      </c>
      <c r="DX2"/>
      <c r="DY2" s="26">
        <v>1</v>
      </c>
      <c r="DZ2"/>
      <c r="EA2"/>
      <c r="EB2"/>
      <c r="EC2"/>
      <c r="ED2"/>
      <c r="EE2"/>
      <c r="EF2"/>
      <c r="EG2"/>
      <c r="EH2"/>
      <c r="EI2"/>
      <c r="EJ2"/>
      <c r="EK2"/>
      <c r="EL2"/>
      <c r="EM2"/>
      <c r="EN2"/>
      <c r="EO2"/>
      <c r="EP2"/>
      <c r="EQ2"/>
      <c r="ER2"/>
      <c r="ES2"/>
      <c r="ET2"/>
      <c r="EU2"/>
      <c r="EV2"/>
      <c r="EW2"/>
      <c r="EX2"/>
      <c r="EY2"/>
      <c r="EZ2"/>
      <c r="FA2"/>
      <c r="FB2"/>
      <c r="FC2"/>
      <c r="FD2"/>
      <c r="FE2"/>
      <c r="FF2"/>
      <c r="FG2"/>
      <c r="FH2"/>
      <c r="FI2"/>
      <c r="FJ2"/>
      <c r="FK2"/>
      <c r="FL2"/>
      <c r="FM2"/>
      <c r="FN2"/>
      <c r="FO2"/>
      <c r="FP2"/>
      <c r="FQ2"/>
      <c r="FR2"/>
      <c r="FS2"/>
      <c r="FT2"/>
      <c r="FU2"/>
      <c r="FV2"/>
      <c r="FW2"/>
      <c r="FX2"/>
      <c r="FY2"/>
      <c r="FZ2"/>
      <c r="GB2" s="26">
        <v>0.1</v>
      </c>
      <c r="GC2" s="26">
        <v>0.3</v>
      </c>
      <c r="GD2" s="26">
        <v>0.3</v>
      </c>
      <c r="GE2" s="26">
        <v>0.3</v>
      </c>
    </row>
    <row r="3" spans="1:253" ht="16" thickBot="1" x14ac:dyDescent="0.4">
      <c r="A3" s="199" t="s">
        <v>332</v>
      </c>
      <c r="B3" s="199" t="s">
        <v>334</v>
      </c>
      <c r="C3" s="200" t="s">
        <v>335</v>
      </c>
      <c r="D3" s="199" t="s">
        <v>336</v>
      </c>
      <c r="E3" s="199" t="s">
        <v>9</v>
      </c>
      <c r="F3" s="199" t="s">
        <v>2</v>
      </c>
      <c r="G3" s="201" t="s">
        <v>10</v>
      </c>
      <c r="H3" s="202" t="s">
        <v>7</v>
      </c>
      <c r="I3" s="201" t="s">
        <v>410</v>
      </c>
      <c r="J3" s="188" t="s">
        <v>213</v>
      </c>
      <c r="K3" s="189" t="s">
        <v>214</v>
      </c>
      <c r="L3" s="190" t="s">
        <v>215</v>
      </c>
      <c r="M3" s="188" t="s">
        <v>217</v>
      </c>
      <c r="N3" s="189" t="s">
        <v>218</v>
      </c>
      <c r="O3" s="189" t="s">
        <v>219</v>
      </c>
      <c r="P3" s="190" t="s">
        <v>220</v>
      </c>
      <c r="Q3" s="188" t="s">
        <v>223</v>
      </c>
      <c r="R3" s="189" t="s">
        <v>222</v>
      </c>
      <c r="S3" s="189" t="s">
        <v>224</v>
      </c>
      <c r="T3" s="190" t="s">
        <v>225</v>
      </c>
      <c r="U3" s="190" t="s">
        <v>228</v>
      </c>
      <c r="V3" s="195" t="s">
        <v>229</v>
      </c>
      <c r="W3" s="196" t="s">
        <v>230</v>
      </c>
      <c r="X3" s="196" t="s">
        <v>231</v>
      </c>
      <c r="Y3" s="197" t="s">
        <v>232</v>
      </c>
      <c r="Z3" s="195" t="s">
        <v>233</v>
      </c>
      <c r="AA3" s="197" t="s">
        <v>234</v>
      </c>
      <c r="AB3" s="195" t="s">
        <v>235</v>
      </c>
      <c r="AC3" s="196" t="s">
        <v>236</v>
      </c>
      <c r="AD3" s="198" t="s">
        <v>238</v>
      </c>
      <c r="AE3" s="198" t="s">
        <v>239</v>
      </c>
      <c r="AF3" s="195" t="s">
        <v>240</v>
      </c>
      <c r="AG3" s="196" t="s">
        <v>241</v>
      </c>
      <c r="AH3" s="197" t="s">
        <v>242</v>
      </c>
      <c r="AI3" s="198" t="s">
        <v>243</v>
      </c>
      <c r="AJ3" s="198" t="s">
        <v>244</v>
      </c>
      <c r="AK3" s="195" t="s">
        <v>245</v>
      </c>
      <c r="AL3" s="196" t="s">
        <v>246</v>
      </c>
      <c r="AM3" s="196" t="s">
        <v>247</v>
      </c>
      <c r="AN3" s="196" t="s">
        <v>248</v>
      </c>
      <c r="AO3" s="196" t="s">
        <v>249</v>
      </c>
      <c r="AP3" s="196" t="s">
        <v>250</v>
      </c>
      <c r="AQ3" s="197" t="s">
        <v>251</v>
      </c>
      <c r="AR3" s="163" t="s">
        <v>252</v>
      </c>
      <c r="AS3" s="165" t="s">
        <v>253</v>
      </c>
      <c r="AT3" s="165" t="s">
        <v>254</v>
      </c>
      <c r="AU3" s="165" t="s">
        <v>255</v>
      </c>
      <c r="AV3" s="165" t="s">
        <v>256</v>
      </c>
      <c r="AW3" s="164" t="s">
        <v>257</v>
      </c>
      <c r="AX3" s="167" t="s">
        <v>258</v>
      </c>
      <c r="AY3" s="163" t="s">
        <v>259</v>
      </c>
      <c r="AZ3" s="165" t="s">
        <v>260</v>
      </c>
      <c r="BA3" s="164" t="s">
        <v>261</v>
      </c>
      <c r="BB3" s="167" t="s">
        <v>262</v>
      </c>
      <c r="BC3" s="191" t="s">
        <v>263</v>
      </c>
      <c r="BD3" s="192" t="s">
        <v>264</v>
      </c>
      <c r="BE3" s="193" t="s">
        <v>265</v>
      </c>
      <c r="BF3" s="194" t="s">
        <v>266</v>
      </c>
      <c r="BG3" s="31" t="s">
        <v>28</v>
      </c>
      <c r="BH3" s="31" t="s">
        <v>11</v>
      </c>
      <c r="BI3" s="31" t="s">
        <v>209</v>
      </c>
      <c r="BJ3" s="31" t="s">
        <v>286</v>
      </c>
      <c r="BK3" s="32" t="s">
        <v>54</v>
      </c>
      <c r="BL3" s="32" t="s">
        <v>55</v>
      </c>
      <c r="BM3" s="32" t="s">
        <v>56</v>
      </c>
      <c r="BN3" s="32" t="s">
        <v>57</v>
      </c>
      <c r="BO3" s="32" t="s">
        <v>58</v>
      </c>
      <c r="BP3" s="32" t="s">
        <v>59</v>
      </c>
      <c r="BQ3" s="32" t="s">
        <v>60</v>
      </c>
      <c r="BR3" s="32" t="s">
        <v>61</v>
      </c>
      <c r="BS3" s="32" t="s">
        <v>62</v>
      </c>
      <c r="BT3" s="32" t="s">
        <v>63</v>
      </c>
      <c r="BU3" s="32" t="s">
        <v>64</v>
      </c>
      <c r="BV3" s="32" t="s">
        <v>65</v>
      </c>
      <c r="BW3" s="24" t="s">
        <v>66</v>
      </c>
      <c r="BX3" s="24" t="s">
        <v>67</v>
      </c>
      <c r="BY3" s="24" t="s">
        <v>68</v>
      </c>
      <c r="BZ3" s="24" t="s">
        <v>69</v>
      </c>
      <c r="CA3" s="24" t="s">
        <v>70</v>
      </c>
      <c r="CB3" s="24" t="s">
        <v>71</v>
      </c>
      <c r="CC3" s="24" t="s">
        <v>72</v>
      </c>
      <c r="CD3" s="24" t="s">
        <v>73</v>
      </c>
      <c r="CE3" s="24" t="s">
        <v>74</v>
      </c>
      <c r="CF3" s="24" t="s">
        <v>75</v>
      </c>
      <c r="CG3" s="24" t="s">
        <v>76</v>
      </c>
      <c r="CH3" s="24" t="s">
        <v>77</v>
      </c>
      <c r="CI3" s="24" t="s">
        <v>78</v>
      </c>
      <c r="CJ3" s="24" t="s">
        <v>79</v>
      </c>
      <c r="CK3" s="24" t="s">
        <v>80</v>
      </c>
      <c r="CL3" s="24" t="s">
        <v>81</v>
      </c>
      <c r="CM3" s="24" t="s">
        <v>82</v>
      </c>
      <c r="CN3" s="24" t="s">
        <v>83</v>
      </c>
      <c r="CO3" s="24" t="s">
        <v>84</v>
      </c>
      <c r="CP3" s="24" t="s">
        <v>85</v>
      </c>
      <c r="CQ3" s="24" t="s">
        <v>86</v>
      </c>
      <c r="CR3" s="24" t="s">
        <v>87</v>
      </c>
      <c r="CS3" s="33" t="s">
        <v>88</v>
      </c>
      <c r="CT3" s="33" t="s">
        <v>89</v>
      </c>
      <c r="CU3" s="33" t="s">
        <v>90</v>
      </c>
      <c r="CV3" s="33" t="s">
        <v>91</v>
      </c>
      <c r="CW3" s="33" t="s">
        <v>92</v>
      </c>
      <c r="CX3" s="33" t="s">
        <v>93</v>
      </c>
      <c r="CY3" s="33" t="s">
        <v>94</v>
      </c>
      <c r="CZ3" s="33" t="s">
        <v>95</v>
      </c>
      <c r="DA3" s="33" t="s">
        <v>96</v>
      </c>
      <c r="DB3" s="33" t="s">
        <v>97</v>
      </c>
      <c r="DC3" s="33" t="s">
        <v>98</v>
      </c>
      <c r="DD3" s="34" t="s">
        <v>99</v>
      </c>
      <c r="DE3" s="34" t="s">
        <v>100</v>
      </c>
      <c r="DF3" s="34" t="s">
        <v>101</v>
      </c>
      <c r="DG3" s="34" t="s">
        <v>102</v>
      </c>
      <c r="DH3" s="35" t="s">
        <v>103</v>
      </c>
      <c r="DI3" s="36" t="s">
        <v>104</v>
      </c>
      <c r="DJ3" s="36" t="s">
        <v>105</v>
      </c>
      <c r="DK3" s="37" t="s">
        <v>205</v>
      </c>
      <c r="DL3" s="36" t="s">
        <v>106</v>
      </c>
      <c r="DM3" s="36" t="s">
        <v>107</v>
      </c>
      <c r="DN3" s="36" t="s">
        <v>108</v>
      </c>
      <c r="DO3" s="36" t="s">
        <v>109</v>
      </c>
      <c r="DP3" s="37" t="s">
        <v>206</v>
      </c>
      <c r="DQ3" s="36" t="s">
        <v>110</v>
      </c>
      <c r="DR3" s="36" t="s">
        <v>111</v>
      </c>
      <c r="DS3" s="36" t="s">
        <v>112</v>
      </c>
      <c r="DT3" s="36" t="s">
        <v>113</v>
      </c>
      <c r="DU3" s="38" t="s">
        <v>207</v>
      </c>
      <c r="DV3" s="36" t="s">
        <v>114</v>
      </c>
      <c r="DW3" s="39" t="s">
        <v>208</v>
      </c>
      <c r="DX3" s="39" t="s">
        <v>204</v>
      </c>
      <c r="DY3" s="24" t="s">
        <v>115</v>
      </c>
      <c r="DZ3" s="24" t="s">
        <v>116</v>
      </c>
      <c r="EA3" s="24" t="s">
        <v>117</v>
      </c>
      <c r="EB3" s="24" t="s">
        <v>118</v>
      </c>
      <c r="EC3" s="39" t="s">
        <v>39</v>
      </c>
      <c r="ED3" s="24" t="s">
        <v>119</v>
      </c>
      <c r="EE3" s="24" t="s">
        <v>120</v>
      </c>
      <c r="EF3" s="39" t="s">
        <v>296</v>
      </c>
      <c r="EG3" s="24" t="s">
        <v>121</v>
      </c>
      <c r="EH3" s="24" t="s">
        <v>122</v>
      </c>
      <c r="EI3" s="24" t="s">
        <v>123</v>
      </c>
      <c r="EJ3" s="39" t="s">
        <v>295</v>
      </c>
      <c r="EK3" s="24" t="s">
        <v>124</v>
      </c>
      <c r="EL3" s="39" t="s">
        <v>294</v>
      </c>
      <c r="EM3" s="24" t="s">
        <v>125</v>
      </c>
      <c r="EN3" s="39" t="s">
        <v>43</v>
      </c>
      <c r="EO3" s="24" t="s">
        <v>126</v>
      </c>
      <c r="EP3" s="24" t="s">
        <v>127</v>
      </c>
      <c r="EQ3" s="24" t="s">
        <v>128</v>
      </c>
      <c r="ER3" s="39" t="s">
        <v>293</v>
      </c>
      <c r="ES3" s="24" t="s">
        <v>129</v>
      </c>
      <c r="ET3" s="24" t="s">
        <v>130</v>
      </c>
      <c r="EU3" s="39" t="s">
        <v>292</v>
      </c>
      <c r="EV3" s="24" t="s">
        <v>131</v>
      </c>
      <c r="EW3" s="24" t="s">
        <v>132</v>
      </c>
      <c r="EX3" s="24" t="s">
        <v>133</v>
      </c>
      <c r="EY3" s="24" t="s">
        <v>134</v>
      </c>
      <c r="EZ3" s="24" t="s">
        <v>135</v>
      </c>
      <c r="FA3" s="24" t="s">
        <v>136</v>
      </c>
      <c r="FB3" s="39" t="s">
        <v>46</v>
      </c>
      <c r="FC3" s="39" t="s">
        <v>12</v>
      </c>
      <c r="FD3" s="33" t="s">
        <v>137</v>
      </c>
      <c r="FE3" s="33" t="s">
        <v>138</v>
      </c>
      <c r="FF3" s="33" t="s">
        <v>139</v>
      </c>
      <c r="FG3" s="33" t="s">
        <v>140</v>
      </c>
      <c r="FH3" s="33" t="s">
        <v>141</v>
      </c>
      <c r="FI3" s="33" t="s">
        <v>142</v>
      </c>
      <c r="FJ3" s="39" t="s">
        <v>47</v>
      </c>
      <c r="FK3" s="33" t="s">
        <v>143</v>
      </c>
      <c r="FL3" s="39" t="s">
        <v>291</v>
      </c>
      <c r="FM3" s="33" t="s">
        <v>144</v>
      </c>
      <c r="FN3" s="33" t="s">
        <v>145</v>
      </c>
      <c r="FO3" s="33" t="s">
        <v>146</v>
      </c>
      <c r="FP3" s="39" t="s">
        <v>290</v>
      </c>
      <c r="FQ3" s="33" t="s">
        <v>147</v>
      </c>
      <c r="FR3" s="39" t="s">
        <v>289</v>
      </c>
      <c r="FS3" s="39" t="s">
        <v>288</v>
      </c>
      <c r="FT3" s="34" t="s">
        <v>148</v>
      </c>
      <c r="FU3" s="39" t="s">
        <v>51</v>
      </c>
      <c r="FV3" s="34" t="s">
        <v>149</v>
      </c>
      <c r="FW3" s="34" t="s">
        <v>150</v>
      </c>
      <c r="FX3" s="39" t="s">
        <v>52</v>
      </c>
      <c r="FY3" s="34" t="s">
        <v>151</v>
      </c>
      <c r="FZ3" s="39" t="s">
        <v>53</v>
      </c>
      <c r="GA3" s="39" t="s">
        <v>13</v>
      </c>
      <c r="GB3" s="40" t="s">
        <v>29</v>
      </c>
      <c r="GC3" s="40" t="s">
        <v>30</v>
      </c>
      <c r="GD3" s="40" t="s">
        <v>14</v>
      </c>
      <c r="GE3" s="40" t="s">
        <v>31</v>
      </c>
      <c r="GF3" s="39" t="s">
        <v>15</v>
      </c>
      <c r="GG3" s="40" t="s">
        <v>16</v>
      </c>
      <c r="GH3" s="40" t="s">
        <v>152</v>
      </c>
      <c r="GI3" s="27" t="s">
        <v>153</v>
      </c>
      <c r="GJ3" s="27" t="s">
        <v>154</v>
      </c>
      <c r="GK3" s="27" t="s">
        <v>155</v>
      </c>
      <c r="GL3" s="27" t="s">
        <v>156</v>
      </c>
      <c r="GM3" s="27" t="s">
        <v>157</v>
      </c>
      <c r="GN3" s="27" t="s">
        <v>158</v>
      </c>
      <c r="GO3" s="27" t="s">
        <v>159</v>
      </c>
      <c r="GP3" s="27" t="s">
        <v>160</v>
      </c>
      <c r="GQ3" s="27" t="s">
        <v>161</v>
      </c>
      <c r="GR3" s="27" t="s">
        <v>162</v>
      </c>
      <c r="GS3" s="27" t="s">
        <v>163</v>
      </c>
      <c r="GT3" s="27" t="s">
        <v>164</v>
      </c>
      <c r="GU3" s="27" t="s">
        <v>165</v>
      </c>
      <c r="GV3" s="28" t="s">
        <v>166</v>
      </c>
      <c r="GW3" s="28" t="s">
        <v>167</v>
      </c>
      <c r="GX3" s="28" t="s">
        <v>168</v>
      </c>
      <c r="GY3" s="28" t="s">
        <v>169</v>
      </c>
      <c r="GZ3" s="28" t="s">
        <v>170</v>
      </c>
      <c r="HA3" s="28" t="s">
        <v>171</v>
      </c>
      <c r="HB3" s="28" t="s">
        <v>172</v>
      </c>
      <c r="HC3" s="28" t="s">
        <v>173</v>
      </c>
      <c r="HD3" s="28" t="s">
        <v>174</v>
      </c>
      <c r="HE3" s="28" t="s">
        <v>175</v>
      </c>
      <c r="HF3" s="28" t="s">
        <v>176</v>
      </c>
      <c r="HG3" s="28" t="s">
        <v>177</v>
      </c>
      <c r="HH3" s="28" t="s">
        <v>178</v>
      </c>
      <c r="HI3" s="28" t="s">
        <v>179</v>
      </c>
      <c r="HJ3" s="28" t="s">
        <v>180</v>
      </c>
      <c r="HK3" s="28" t="s">
        <v>181</v>
      </c>
      <c r="HL3" s="28" t="s">
        <v>182</v>
      </c>
      <c r="HM3" s="28" t="s">
        <v>183</v>
      </c>
      <c r="HN3" s="28" t="s">
        <v>184</v>
      </c>
      <c r="HO3" s="28" t="s">
        <v>185</v>
      </c>
      <c r="HP3" s="28" t="s">
        <v>186</v>
      </c>
      <c r="HQ3" s="28" t="s">
        <v>187</v>
      </c>
      <c r="HR3" s="28" t="s">
        <v>188</v>
      </c>
      <c r="HS3" s="29" t="s">
        <v>189</v>
      </c>
      <c r="HT3" s="29" t="s">
        <v>190</v>
      </c>
      <c r="HU3" s="29" t="s">
        <v>191</v>
      </c>
      <c r="HV3" s="29" t="s">
        <v>192</v>
      </c>
      <c r="HW3" s="29" t="s">
        <v>193</v>
      </c>
      <c r="HX3" s="29" t="s">
        <v>194</v>
      </c>
      <c r="HY3" s="29" t="s">
        <v>195</v>
      </c>
      <c r="HZ3" s="29" t="s">
        <v>196</v>
      </c>
      <c r="IA3" s="29" t="s">
        <v>197</v>
      </c>
      <c r="IB3" s="29" t="s">
        <v>198</v>
      </c>
      <c r="IC3" s="29" t="s">
        <v>199</v>
      </c>
      <c r="ID3" s="30" t="s">
        <v>200</v>
      </c>
      <c r="IE3" s="30" t="s">
        <v>201</v>
      </c>
      <c r="IF3" s="30" t="s">
        <v>202</v>
      </c>
      <c r="IG3" s="30" t="s">
        <v>203</v>
      </c>
      <c r="IH3" s="41" t="s">
        <v>17</v>
      </c>
      <c r="II3" s="243" t="s">
        <v>18</v>
      </c>
      <c r="IJ3" s="41" t="s">
        <v>19</v>
      </c>
      <c r="IK3" s="247" t="s">
        <v>20</v>
      </c>
      <c r="IL3" s="42" t="s">
        <v>21</v>
      </c>
      <c r="IM3" s="42" t="s">
        <v>22</v>
      </c>
      <c r="IN3" s="43" t="s">
        <v>23</v>
      </c>
      <c r="IO3" s="44" t="s">
        <v>24</v>
      </c>
      <c r="IP3" s="44" t="s">
        <v>25</v>
      </c>
      <c r="IQ3" s="44" t="s">
        <v>26</v>
      </c>
      <c r="IR3" s="44" t="s">
        <v>27</v>
      </c>
      <c r="IS3" s="51" t="s">
        <v>271</v>
      </c>
    </row>
    <row r="4" spans="1:253" ht="15.5" x14ac:dyDescent="0.35">
      <c r="A4" s="232" t="s">
        <v>414</v>
      </c>
      <c r="B4" s="232">
        <v>64049752</v>
      </c>
      <c r="C4" s="242">
        <v>46192</v>
      </c>
      <c r="D4" s="232" t="s">
        <v>406</v>
      </c>
      <c r="E4" s="232" t="s">
        <v>398</v>
      </c>
      <c r="F4" s="232" t="s">
        <v>32</v>
      </c>
      <c r="G4" s="232" t="s">
        <v>402</v>
      </c>
      <c r="H4" s="232" t="s">
        <v>420</v>
      </c>
      <c r="I4" s="233" t="s">
        <v>412</v>
      </c>
      <c r="J4" s="234" t="s">
        <v>33</v>
      </c>
      <c r="K4" s="234" t="s">
        <v>33</v>
      </c>
      <c r="L4" s="234" t="s">
        <v>33</v>
      </c>
      <c r="M4" s="234" t="s">
        <v>33</v>
      </c>
      <c r="N4" s="234" t="s">
        <v>33</v>
      </c>
      <c r="O4" s="234" t="s">
        <v>33</v>
      </c>
      <c r="P4" s="234" t="s">
        <v>33</v>
      </c>
      <c r="Q4" s="234" t="s">
        <v>33</v>
      </c>
      <c r="R4" s="234" t="s">
        <v>33</v>
      </c>
      <c r="S4" s="234" t="s">
        <v>33</v>
      </c>
      <c r="T4" s="234" t="s">
        <v>33</v>
      </c>
      <c r="U4" s="234" t="s">
        <v>33</v>
      </c>
      <c r="V4" s="235" t="s">
        <v>33</v>
      </c>
      <c r="W4" s="235" t="s">
        <v>33</v>
      </c>
      <c r="X4" s="235" t="s">
        <v>33</v>
      </c>
      <c r="Y4" s="235" t="s">
        <v>33</v>
      </c>
      <c r="Z4" s="235" t="s">
        <v>33</v>
      </c>
      <c r="AA4" s="235" t="s">
        <v>33</v>
      </c>
      <c r="AB4" s="235" t="s">
        <v>33</v>
      </c>
      <c r="AC4" s="235" t="s">
        <v>33</v>
      </c>
      <c r="AD4" s="235" t="s">
        <v>33</v>
      </c>
      <c r="AE4" s="235" t="s">
        <v>33</v>
      </c>
      <c r="AF4" s="235" t="s">
        <v>33</v>
      </c>
      <c r="AG4" s="235" t="s">
        <v>33</v>
      </c>
      <c r="AH4" s="235" t="s">
        <v>33</v>
      </c>
      <c r="AI4" s="235" t="s">
        <v>33</v>
      </c>
      <c r="AJ4" s="235" t="s">
        <v>33</v>
      </c>
      <c r="AK4" s="235" t="s">
        <v>33</v>
      </c>
      <c r="AL4" s="235" t="s">
        <v>33</v>
      </c>
      <c r="AM4" s="235" t="s">
        <v>33</v>
      </c>
      <c r="AN4" s="235" t="s">
        <v>33</v>
      </c>
      <c r="AO4" s="235" t="s">
        <v>33</v>
      </c>
      <c r="AP4" s="235" t="s">
        <v>33</v>
      </c>
      <c r="AQ4" s="235" t="s">
        <v>33</v>
      </c>
      <c r="AR4" s="235" t="s">
        <v>33</v>
      </c>
      <c r="AS4" s="235" t="s">
        <v>33</v>
      </c>
      <c r="AT4" s="235" t="s">
        <v>34</v>
      </c>
      <c r="AU4" s="235" t="s">
        <v>33</v>
      </c>
      <c r="AV4" s="235" t="s">
        <v>33</v>
      </c>
      <c r="AW4" s="235" t="s">
        <v>34</v>
      </c>
      <c r="AX4" s="235" t="s">
        <v>33</v>
      </c>
      <c r="AY4" s="235" t="s">
        <v>33</v>
      </c>
      <c r="AZ4" s="235" t="s">
        <v>33</v>
      </c>
      <c r="BA4" s="235" t="s">
        <v>33</v>
      </c>
      <c r="BB4" s="235" t="s">
        <v>33</v>
      </c>
      <c r="BC4" s="236" t="s">
        <v>33</v>
      </c>
      <c r="BD4" s="236" t="s">
        <v>33</v>
      </c>
      <c r="BE4" s="236" t="s">
        <v>33</v>
      </c>
      <c r="BF4" s="237" t="s">
        <v>33</v>
      </c>
      <c r="BG4" s="241"/>
      <c r="BH4" s="245" t="str">
        <f>Data[[#This Row],[Tipo de Muestra]]</f>
        <v>Critica</v>
      </c>
      <c r="BI4" s="241"/>
      <c r="BJ4" s="241"/>
      <c r="BK4">
        <f t="shared" ref="BK4:BK22" si="0">IF(OR(J4="Si",J4="N/A"),1,0)</f>
        <v>1</v>
      </c>
      <c r="BL4">
        <f t="shared" ref="BL4:BL22" si="1">IF(OR(K4="Si",K4="N/A"),1,0)</f>
        <v>1</v>
      </c>
      <c r="BM4">
        <f t="shared" ref="BM4:BM22" si="2">IF(OR(L4="Si",L4="N/A"),1,0)</f>
        <v>1</v>
      </c>
      <c r="BN4">
        <f t="shared" ref="BN4:BN22" si="3">IF(OR(M4="Si",M4="N/A"),1,0)</f>
        <v>1</v>
      </c>
      <c r="BO4">
        <f t="shared" ref="BO4:BO22" si="4">IF(OR(N4="Si",N4="N/A"),1,0)</f>
        <v>1</v>
      </c>
      <c r="BP4">
        <f t="shared" ref="BP4:BP22" si="5">IF(OR(O4="Si",O4="N/A"),1,0)</f>
        <v>1</v>
      </c>
      <c r="BQ4">
        <f t="shared" ref="BQ4:BQ22" si="6">IF(OR(P4="Si",P4="N/A"),1,0)</f>
        <v>1</v>
      </c>
      <c r="BR4">
        <f t="shared" ref="BR4:BR22" si="7">IF(OR(Q4="Si",Q4="N/A"),1,0)</f>
        <v>1</v>
      </c>
      <c r="BS4">
        <f t="shared" ref="BS4:BS22" si="8">IF(OR(R4="Si",R4="N/A"),1,0)</f>
        <v>1</v>
      </c>
      <c r="BT4">
        <f t="shared" ref="BT4:BT22" si="9">IF(OR(S4="Si",S4="N/A"),1,0)</f>
        <v>1</v>
      </c>
      <c r="BU4">
        <f t="shared" ref="BU4:BU22" si="10">IF(OR(T4="Si",T4="N/A"),1,0)</f>
        <v>1</v>
      </c>
      <c r="BV4">
        <f t="shared" ref="BV4:BV22" si="11">IF(OR(U4="Si",U4="N/A"),1,0)</f>
        <v>1</v>
      </c>
      <c r="BW4">
        <f t="shared" ref="BW4:BW22" si="12">IF(OR(V4="Si",V4="N/A"),1,0)</f>
        <v>1</v>
      </c>
      <c r="BX4">
        <f t="shared" ref="BX4:BX22" si="13">IF(OR(W4="Si",W4="N/A"),1,0)</f>
        <v>1</v>
      </c>
      <c r="BY4">
        <f t="shared" ref="BY4:BY22" si="14">IF(OR(X4="Sí",X4="N/A"),1,0)</f>
        <v>0</v>
      </c>
      <c r="BZ4">
        <f t="shared" ref="BZ4:BZ22" si="15">IF(OR(Y4="Sí",Y4="N/A"),1,0)</f>
        <v>0</v>
      </c>
      <c r="CA4">
        <f t="shared" ref="CA4:CA22" si="16">IF(OR(Z4="Sí",Z4="N/A"),1,0)</f>
        <v>0</v>
      </c>
      <c r="CB4">
        <f t="shared" ref="CB4:CB22" si="17">IF(OR(AA4="Sí",AA4="N/A"),1,0)</f>
        <v>0</v>
      </c>
      <c r="CC4">
        <f t="shared" ref="CC4:CC22" si="18">IF(OR(AB4="Sí",AB4="N/A"),1,0)</f>
        <v>0</v>
      </c>
      <c r="CD4">
        <f t="shared" ref="CD4:CD22" si="19">IF(OR(AC4="Sí",AC4="N/A"),1,0)</f>
        <v>0</v>
      </c>
      <c r="CE4">
        <f t="shared" ref="CE4:CE22" si="20">IF(OR(AD4="Sí",AD4="N/A"),1,0)</f>
        <v>0</v>
      </c>
      <c r="CF4">
        <f t="shared" ref="CF4:CF22" si="21">IF(OR(AE4="Sí",AE4="N/A"),1,0)</f>
        <v>0</v>
      </c>
      <c r="CG4">
        <f t="shared" ref="CG4:CG22" si="22">IF(OR(AF4="Sí",AF4="N/A"),1,0)</f>
        <v>0</v>
      </c>
      <c r="CH4">
        <f t="shared" ref="CH4:CH22" si="23">IF(OR(AG4="Sí",AG4="N/A"),1,0)</f>
        <v>0</v>
      </c>
      <c r="CI4">
        <f t="shared" ref="CI4:CI22" si="24">IF(OR(AH4="Sí",AH4="N/A"),1,0)</f>
        <v>0</v>
      </c>
      <c r="CJ4">
        <f t="shared" ref="CJ4:CJ22" si="25">IF(OR(AI4="Sí",AI4="N/A"),1,0)</f>
        <v>0</v>
      </c>
      <c r="CK4">
        <f t="shared" ref="CK4:CK22" si="26">IF(OR(AJ4="Sí",AJ4="N/A"),1,0)</f>
        <v>0</v>
      </c>
      <c r="CL4">
        <f t="shared" ref="CL4:CL22" si="27">IF(OR(AK4="Sí",AK4="N/A"),1,0)</f>
        <v>0</v>
      </c>
      <c r="CM4">
        <f t="shared" ref="CM4:CM22" si="28">IF(OR(AL4="Sí",AL4="N/A"),1,0)</f>
        <v>0</v>
      </c>
      <c r="CN4">
        <f t="shared" ref="CN4:CN22" si="29">IF(OR(AM4="Sí",AM4="N/A"),1,0)</f>
        <v>0</v>
      </c>
      <c r="CO4">
        <f t="shared" ref="CO4:CO22" si="30">IF(OR(AN4="Sí",AN4="N/A"),1,0)</f>
        <v>0</v>
      </c>
      <c r="CP4">
        <f t="shared" ref="CP4:CP22" si="31">IF(OR(AO4="Sí",AO4="N/A"),1,0)</f>
        <v>0</v>
      </c>
      <c r="CQ4">
        <f t="shared" ref="CQ4:CQ22" si="32">IF(OR(AP4="Sí",AP4="N/A"),1,0)</f>
        <v>0</v>
      </c>
      <c r="CR4">
        <f t="shared" ref="CR4:CR22" si="33">IF(OR(AQ4="Sí",AQ4="N/A"),1,0)</f>
        <v>0</v>
      </c>
      <c r="CS4">
        <f t="shared" ref="CS4:CS22" si="34">IF(OR(AR4="Sí",AR4="N/A"),1,0)</f>
        <v>0</v>
      </c>
      <c r="CT4">
        <f t="shared" ref="CT4:CT22" si="35">IF(OR(AS4="Sí",AS4="N/A"),1,0)</f>
        <v>0</v>
      </c>
      <c r="CU4">
        <f t="shared" ref="CU4:CU22" si="36">IF(OR(AT4="Sí",AT4="N/A"),1,0)</f>
        <v>0</v>
      </c>
      <c r="CV4">
        <f t="shared" ref="CV4:CV22" si="37">IF(OR(AU4="Sí",AU4="N/A"),1,0)</f>
        <v>0</v>
      </c>
      <c r="CW4">
        <f t="shared" ref="CW4:CW22" si="38">IF(OR(AV4="Sí",AV4="N/A"),1,0)</f>
        <v>0</v>
      </c>
      <c r="CX4">
        <f t="shared" ref="CX4:CX22" si="39">IF(OR(AW4="Sí",AW4="N/A"),1,0)</f>
        <v>0</v>
      </c>
      <c r="CY4">
        <f t="shared" ref="CY4:CY22" si="40">IF(OR(AX4="Sí",AX4="N/A"),1,0)</f>
        <v>0</v>
      </c>
      <c r="CZ4">
        <f t="shared" ref="CZ4:CZ22" si="41">IF(OR(AY4="Sí",AY4="N/A"),1,0)</f>
        <v>0</v>
      </c>
      <c r="DA4">
        <f t="shared" ref="DA4:DA22" si="42">IF(OR(AZ4="Sí",AZ4="N/A"),1,0)</f>
        <v>0</v>
      </c>
      <c r="DB4">
        <f t="shared" ref="DB4:DB22" si="43">IF(OR(BA4="Sí",BA4="N/A"),1,0)</f>
        <v>0</v>
      </c>
      <c r="DC4">
        <f t="shared" ref="DC4:DC22" si="44">IF(OR(BB4="Sí",BB4="N/A"),1,0)</f>
        <v>0</v>
      </c>
      <c r="DD4" s="238">
        <f t="shared" ref="DD4:DD22" si="45">IF(OR(BC4="Sí",BC4="N/A"),1,0)</f>
        <v>0</v>
      </c>
      <c r="DE4" s="238">
        <f t="shared" ref="DE4:DE22" si="46">IF(OR(BD4="Sí",BD4="N/A"),1,0)</f>
        <v>0</v>
      </c>
      <c r="DF4" s="238">
        <f t="shared" ref="DF4:DF22" si="47">IF(OR(BE4="Sí",BE4="N/A"),1,0)</f>
        <v>0</v>
      </c>
      <c r="DG4" s="238">
        <f t="shared" ref="DG4:DG22" si="48">IF(OR(BF4="Si",BF4="N/A"),1,0)</f>
        <v>1</v>
      </c>
      <c r="DH4" s="9">
        <f t="shared" ref="DH4:DH22" si="49">IF((J4="No"),0,$DH$2)</f>
        <v>0.15</v>
      </c>
      <c r="DI4" s="9">
        <f t="shared" ref="DI4:DI22" si="50">IF((K4="No"),0,$DH$2)</f>
        <v>0.15</v>
      </c>
      <c r="DJ4" s="9">
        <f t="shared" ref="DJ4:DJ22" si="51">IF((L4="No"),0,$DH$2)</f>
        <v>0.15</v>
      </c>
      <c r="DK4" s="9">
        <f>IF(MIN(Data[[#This Row],[¿El agente cumple con la identificación formal y profesional?3]:[¿El agente realiza despedida corporativa?5]])=0,0,15%)</f>
        <v>0.15</v>
      </c>
      <c r="DL4" s="9">
        <f t="shared" ref="DL4:DL22" si="52">IF((M4="No"),0,$DL$2)</f>
        <v>0.3</v>
      </c>
      <c r="DM4" s="9">
        <f t="shared" ref="DM4:DM22" si="53">IF((N4="No"),0,$DL$2)</f>
        <v>0.3</v>
      </c>
      <c r="DN4" s="9">
        <f t="shared" ref="DN4:DN22" si="54">IF((O4="No"),0,$DL$2)</f>
        <v>0.3</v>
      </c>
      <c r="DO4" s="9">
        <f t="shared" ref="DO4:DO22" si="55">IF((P4="No"),0,$DL$2)</f>
        <v>0.3</v>
      </c>
      <c r="DP4" s="9">
        <f>IF(MIN(Data[[#This Row],[¿El agente demuestra escucha activa durante la gestión?6]:[¿El agente parafrasea para confirmar entendimiento?9]])=0,0,30%)</f>
        <v>0.3</v>
      </c>
      <c r="DQ4" s="9">
        <f t="shared" ref="DQ4:DQ22" si="56">IF((Q4="No"),0,$DQ$2)</f>
        <v>0.3</v>
      </c>
      <c r="DR4" s="9">
        <f t="shared" ref="DR4:DR22" si="57">IF((R4="No"),0,$DQ$2)</f>
        <v>0.3</v>
      </c>
      <c r="DS4" s="9">
        <f t="shared" ref="DS4:DS22" si="58">IF((S4="No"),0,$DQ$2)</f>
        <v>0.3</v>
      </c>
      <c r="DT4" s="9">
        <f t="shared" ref="DT4:DT22" si="59">IF((T4="No"),0,$DQ$2)</f>
        <v>0.3</v>
      </c>
      <c r="DU4" s="239">
        <f>IF(MIN(Data[[#This Row],[¿El agente adapta su comunicación al cliente?11]:[¿El agente utiliza el plural corporativo correctamente?14]])=0,0,30%)</f>
        <v>0.3</v>
      </c>
      <c r="DV4" s="9">
        <f t="shared" ref="DV4:DV22" si="60">IF((U4="No"),0,$DV$2)</f>
        <v>0.25</v>
      </c>
      <c r="DW4" s="9">
        <f>IF(MIN(DV4)=0,0,25%)</f>
        <v>0.25</v>
      </c>
      <c r="DX4" s="9">
        <f>IF(SUM(DK4,DP4,DU4,DW4)&gt;335%,100%,SUM(DK4,DP4,DU4,DW4)/100%)</f>
        <v>1</v>
      </c>
      <c r="DY4" s="9">
        <f t="shared" ref="DY4:DY22" si="61">IF((W4="No"),0,$DY$2)</f>
        <v>1</v>
      </c>
      <c r="DZ4" s="9">
        <f t="shared" ref="DZ4:DZ22" si="62">IF((X4="No"),0,$DY$2)</f>
        <v>1</v>
      </c>
      <c r="EA4" s="9">
        <f t="shared" ref="EA4:EA22" si="63">IF((Y4="No"),0,$DY$2)</f>
        <v>1</v>
      </c>
      <c r="EB4" s="9">
        <f t="shared" ref="EB4:EB22" si="64">IF((Z4="No"),0,$DY$2)</f>
        <v>1</v>
      </c>
      <c r="EC4" s="9">
        <f>IF(SUM(Data[[#This Row],[¿El agente informa correctamente sobre los centros de pago?19]:[¿El agente explica el ciclo de facturación adecuadamente?22]])=400%,100%,0%)</f>
        <v>1</v>
      </c>
      <c r="ED4" s="9">
        <f t="shared" ref="ED4:ED22" si="65">IF((AA4="No"),0,$DY$2)</f>
        <v>1</v>
      </c>
      <c r="EE4" s="9">
        <f t="shared" ref="EE4:EE22" si="66">IF((AB4="No"),0,$DY$2)</f>
        <v>1</v>
      </c>
      <c r="EF4" s="9">
        <f>IF(SUM(Data[[#This Row],[¿El agente presenta correctamente los beneficios del producto?23]:[¿El agente comunica beneficios emocionales al cliente?24]])=200%,100%,0%)</f>
        <v>1</v>
      </c>
      <c r="EG4" s="9">
        <f t="shared" ref="EG4:EG22" si="67">IF((AC4="No"),0,$DY$2)</f>
        <v>1</v>
      </c>
      <c r="EH4" s="9">
        <f t="shared" ref="EH4:EH22" si="68">IF((AD4="No"),0,$DY$2)</f>
        <v>1</v>
      </c>
      <c r="EI4" s="9">
        <f t="shared" ref="EI4:EI22" si="69">IF((AE4="No"),0,$DY$2)</f>
        <v>1</v>
      </c>
      <c r="EJ4" s="9">
        <f>IF(SUM(Data[[#This Row],[¿El agente realiza un resumen comercial adecuado?25]:[¿El agente formaliza correctamente el acuerdo de venta?27]])=300%,100%,0%)</f>
        <v>1</v>
      </c>
      <c r="EK4" s="9">
        <f t="shared" ref="EK4:EK22" si="70">IF((AF4="No"),0,$DY$2)</f>
        <v>1</v>
      </c>
      <c r="EL4" s="9">
        <f>+Data[[#This Row],[¿El agente explica los términos y condiciones del servicio?28]]</f>
        <v>1</v>
      </c>
      <c r="EM4" s="9">
        <f t="shared" ref="EM4:EM22" si="71">IF((AG4="No"),0,$DY$2)</f>
        <v>1</v>
      </c>
      <c r="EN4" s="9">
        <f>+Data[[#This Row],[¿El agente identifica correctamente la solicitud del cliente?29]]</f>
        <v>1</v>
      </c>
      <c r="EO4" s="9">
        <f t="shared" ref="EO4:EO22" si="72">IF((AH4="No"),0,$DY$2)</f>
        <v>1</v>
      </c>
      <c r="EP4" s="9">
        <f t="shared" ref="EP4:EP22" si="73">IF((AI4="No"),0,$DY$2)</f>
        <v>1</v>
      </c>
      <c r="EQ4" s="9">
        <f t="shared" ref="EQ4:EQ22" si="74">IF((AJ4="No"),0,$DY$2)</f>
        <v>1</v>
      </c>
      <c r="ER4" s="9">
        <f>IF(SUM(Data[[#This Row],[¿El agente evita activar un servicio diferente al solicitado?30]:[¿El agente configura adecuadamente el producto contratado?32]])=300%,100%,0%)</f>
        <v>1</v>
      </c>
      <c r="ES4" s="9">
        <f t="shared" ref="ES4:ES22" si="75">IF((AK4="No"),0,$DY$2)</f>
        <v>1</v>
      </c>
      <c r="ET4" s="9">
        <f t="shared" ref="ET4:ET22" si="76">IF((AL4="No"),0,$DY$2)</f>
        <v>1</v>
      </c>
      <c r="EU4" s="9">
        <f>IF(SUM(Data[[#This Row],[¿El agente mantiene respeto y cordialidad en toda la interacción?33]:[¿El agente utiliza un lenguaje adecuado y profesional?34]])=200%,100%,0%)</f>
        <v>1</v>
      </c>
      <c r="EV4" s="9">
        <f t="shared" ref="EV4:EV22" si="77">IF((AM4="No"),0,$DY$2)</f>
        <v>1</v>
      </c>
      <c r="EW4" s="9">
        <f t="shared" ref="EW4:EW22" si="78">IF((AN4="No"),0,$DY$2)</f>
        <v>1</v>
      </c>
      <c r="EX4" s="9">
        <f t="shared" ref="EX4:EX22" si="79">IF((AO4="No"),0,$DY$2)</f>
        <v>1</v>
      </c>
      <c r="EY4" s="9">
        <f t="shared" ref="EY4:EY22" si="80">IF((AP4="No"),0,$DY$2)</f>
        <v>1</v>
      </c>
      <c r="EZ4" s="9">
        <f t="shared" ref="EZ4:EZ22" si="81">IF((AQ4="No"),0,$DY$2)</f>
        <v>1</v>
      </c>
      <c r="FA4" s="9">
        <f t="shared" ref="FA4:FA22" si="82">IF((AR4="No"),0,$DY$2)</f>
        <v>1</v>
      </c>
      <c r="FB4" s="9">
        <f>IF(SUM(Data[[#This Row],[¿El agente verifica correctamente la cobertura?35]:[¿El agente agenda citas o gestiones cuando es necesario?41]])=600%,100%,0%)</f>
        <v>1</v>
      </c>
      <c r="FC4" s="9">
        <f>IF(SUM(EC4,EF4,EL4,EJ4,EN4,ER4,EU4,FB4)=800%,100%,0%)</f>
        <v>1</v>
      </c>
      <c r="FD4" s="9">
        <f t="shared" ref="FD4:FD22" si="83">IF((AR4="No"),0,$DY$2)</f>
        <v>1</v>
      </c>
      <c r="FE4" s="9">
        <f t="shared" ref="FE4:FE22" si="84">IF((AS4="No"),0,$DY$2)</f>
        <v>1</v>
      </c>
      <c r="FF4" s="9">
        <f t="shared" ref="FF4:FF22" si="85">IF((AT4="No"),0,$DY$2)</f>
        <v>0</v>
      </c>
      <c r="FG4" s="9">
        <f t="shared" ref="FG4:FG22" si="86">IF((AU4="No"),0,$DY$2)</f>
        <v>1</v>
      </c>
      <c r="FH4" s="9">
        <f t="shared" ref="FH4:FH22" si="87">IF((AV4="No"),0,$DY$2)</f>
        <v>1</v>
      </c>
      <c r="FI4" s="9">
        <f t="shared" ref="FI4:FI22" si="88">IF((AW4="No"),0,$DY$2)</f>
        <v>0</v>
      </c>
      <c r="FJ4" s="9">
        <f>IF(SUM(Data[[#This Row],[¿El agente ofrece adecuadamente un producto adicional?42]:[¿El agente maneja correctamente las objeciones del cliente?47]])=600%,100%,)</f>
        <v>0</v>
      </c>
      <c r="FK4" s="9">
        <f t="shared" ref="FK4:FK22" si="89">IF((AX4="No"),0,$DY$2)</f>
        <v>1</v>
      </c>
      <c r="FL4" s="9">
        <f>+Data[[#This Row],[¿El agente gestiona la oferta según la campaña vigente?48]]</f>
        <v>1</v>
      </c>
      <c r="FM4" s="9">
        <f t="shared" ref="FM4:FM22" si="90">IF((AY4="No"),0,$DY$2)</f>
        <v>1</v>
      </c>
      <c r="FN4" s="9">
        <f t="shared" ref="FN4:FN22" si="91">IF((AZ4="No"),0,$DY$2)</f>
        <v>1</v>
      </c>
      <c r="FO4" s="9">
        <f t="shared" ref="FO4:FO22" si="92">IF((BA4="No"),0,$DY$2)</f>
        <v>1</v>
      </c>
      <c r="FP4" s="9">
        <f>IF(SUM(Data[[#This Row],[¿El agente solicita coordenadas cuando es necesario?49]:[¿El agente maneja adecuadamente llamadas en conferencia?51]])=300%,100%,)</f>
        <v>1</v>
      </c>
      <c r="FQ4" s="9">
        <f t="shared" ref="FQ4:FQ22" si="93">IF((BB4="No"),0,$DY$2)</f>
        <v>1</v>
      </c>
      <c r="FR4" s="9">
        <f>+Data[[#This Row],[¿El agente registra correctamente todas las interacciones?52]]</f>
        <v>1</v>
      </c>
      <c r="FS4" s="9">
        <f>IF(SUM(FJ4,FL4,FP4,FR4)=400%,100%,0)</f>
        <v>0</v>
      </c>
      <c r="FT4" s="238">
        <f>IF((BC4="No"),0,$DY$2)</f>
        <v>1</v>
      </c>
      <c r="FU4" s="9">
        <f>+Data[[#This Row],[¿El agente confirma la titularidad del cliente adecuadamente?53]]</f>
        <v>1</v>
      </c>
      <c r="FV4" s="238">
        <f t="shared" ref="FV4:FV22" si="94">IF((BD4="No"),0,$DY$2)</f>
        <v>1</v>
      </c>
      <c r="FW4" s="238">
        <f t="shared" ref="FW4:FW22" si="95">IF((BE4="No"),0,$DY$2)</f>
        <v>1</v>
      </c>
      <c r="FX4" s="9">
        <f>IF(SUM(Data[[#This Row],[¿El agente evita la omisión de alertas importantes?54]]:Data[[#This Row],[¿El agente mantiene conducta ética durante la interacción?55]])=200%,100%,)</f>
        <v>1</v>
      </c>
      <c r="FY4" s="238">
        <f t="shared" ref="FY4:FY22" si="96">IF((BF4="No"),0,$DY$2)</f>
        <v>1</v>
      </c>
      <c r="FZ4" s="9">
        <f>+Data[[#This Row],[¿El agente evita compartir información sensible?56]]</f>
        <v>1</v>
      </c>
      <c r="GA4" s="9">
        <f>IF(SUM(FU4,FX4,FZ4)=300%,100%,)</f>
        <v>1</v>
      </c>
      <c r="GB4" s="239">
        <f t="shared" ref="GB4:GB22" si="97">$GB$2*DX4</f>
        <v>0.1</v>
      </c>
      <c r="GC4" s="239">
        <f t="shared" ref="GC4:GC22" si="98">$GC$2*FC4</f>
        <v>0.3</v>
      </c>
      <c r="GD4" s="240">
        <f t="shared" ref="GD4:GD22" si="99">$GD$2*FS4</f>
        <v>0</v>
      </c>
      <c r="GE4" s="240">
        <f t="shared" ref="GE4:GE22" si="100">$GE$2*GA4</f>
        <v>0.3</v>
      </c>
      <c r="GF4" s="9">
        <f>SUM(Data[[#This Row],[PESO PENC]:[PESO PECCUM]])</f>
        <v>0.7</v>
      </c>
      <c r="GG4" s="238">
        <f>1</f>
        <v>1</v>
      </c>
      <c r="GH4" s="238">
        <f t="shared" ref="GH4:GH22" si="101">IF((BH4="Critica"),1,0)</f>
        <v>1</v>
      </c>
      <c r="GI4" t="str">
        <f t="shared" ref="GI4:GI22" si="102">IF(J4="No",J$3,"")</f>
        <v/>
      </c>
      <c r="GJ4" t="str">
        <f t="shared" ref="GJ4:GJ22" si="103">IF(K4="No",K$3,"")</f>
        <v/>
      </c>
      <c r="GK4" t="str">
        <f t="shared" ref="GK4:GK22" si="104">IF(L4="No",L$3,"")</f>
        <v/>
      </c>
      <c r="GN4" t="str">
        <f t="shared" ref="GN4:GN22" si="105">IF(O4="No",O$3,"")</f>
        <v/>
      </c>
      <c r="GO4" t="str">
        <f t="shared" ref="GO4:GO22" si="106">IF(P4="No",P$3,"")</f>
        <v/>
      </c>
      <c r="GP4" t="str">
        <f t="shared" ref="GP4:GP22" si="107">IF(Q4="No",Q$3,"")</f>
        <v/>
      </c>
      <c r="GQ4" t="str">
        <f t="shared" ref="GQ4:GQ22" si="108">IF(R4="No",R$3,"")</f>
        <v/>
      </c>
      <c r="GR4" t="str">
        <f t="shared" ref="GR4:GR22" si="109">IF(S4="No",S$3,"")</f>
        <v/>
      </c>
      <c r="GS4" t="str">
        <f t="shared" ref="GS4:GS22" si="110">IF(T4="No",T$3,"")</f>
        <v/>
      </c>
      <c r="GT4" t="str">
        <f t="shared" ref="GT4:GT22" si="111">IF(U4="No",U$3,"")</f>
        <v/>
      </c>
      <c r="GU4" t="e">
        <f>IF(#REF!="No",#REF!,"")</f>
        <v>#REF!</v>
      </c>
      <c r="GV4" t="str">
        <f t="shared" ref="GV4:GV22" si="112">IF(V4="No",V$3,"")</f>
        <v/>
      </c>
      <c r="GW4" t="str">
        <f t="shared" ref="GW4:GW22" si="113">IF(W4="No",W$3,"")</f>
        <v/>
      </c>
      <c r="GX4" t="str">
        <f t="shared" ref="GX4:GX22" si="114">IF(X4="No",X$3,"")</f>
        <v/>
      </c>
      <c r="GY4" t="str">
        <f t="shared" ref="GY4:GY22" si="115">IF(Y4="No",Y$3,"")</f>
        <v/>
      </c>
      <c r="GZ4" t="str">
        <f t="shared" ref="GZ4:GZ22" si="116">IF(Z4="No",Z$3,"")</f>
        <v/>
      </c>
      <c r="HA4" t="str">
        <f t="shared" ref="HA4:HA22" si="117">IF(AA4="No",AA$3,"")</f>
        <v/>
      </c>
      <c r="HB4" t="str">
        <f t="shared" ref="HB4:HB22" si="118">IF(AB4="No",AB$3,"")</f>
        <v/>
      </c>
      <c r="HC4" t="str">
        <f t="shared" ref="HC4:HC22" si="119">IF(AC4="No",AC$3,"")</f>
        <v/>
      </c>
      <c r="HD4" t="str">
        <f t="shared" ref="HD4:HD22" si="120">IF(AD4="No",AD$3,"")</f>
        <v/>
      </c>
      <c r="HE4" t="str">
        <f t="shared" ref="HE4:HE22" si="121">IF(AE4="No",AE$3,"")</f>
        <v/>
      </c>
      <c r="HF4" t="str">
        <f t="shared" ref="HF4:HF22" si="122">IF(AF4="No",AF$3,"")</f>
        <v/>
      </c>
      <c r="HG4" t="str">
        <f t="shared" ref="HG4:HG22" si="123">IF(AG4="No",AG$3,"")</f>
        <v/>
      </c>
      <c r="HH4" t="str">
        <f t="shared" ref="HH4:HH22" si="124">IF(AH4="No",AH$3,"")</f>
        <v/>
      </c>
      <c r="HI4" t="str">
        <f t="shared" ref="HI4:HI22" si="125">IF(AI4="No",AI$3,"")</f>
        <v/>
      </c>
      <c r="HJ4" t="str">
        <f t="shared" ref="HJ4:HJ22" si="126">IF(AJ4="No",AJ$3,"")</f>
        <v/>
      </c>
      <c r="HK4" t="str">
        <f t="shared" ref="HK4:HK22" si="127">IF(AK4="No",AK$3,"")</f>
        <v/>
      </c>
      <c r="HL4" t="str">
        <f t="shared" ref="HL4:HL22" si="128">IF(AL4="No",AL$3,"")</f>
        <v/>
      </c>
      <c r="HM4" t="str">
        <f t="shared" ref="HM4:HM22" si="129">IF(AM4="No",AM$3,"")</f>
        <v/>
      </c>
      <c r="HN4" t="str">
        <f t="shared" ref="HN4:HN22" si="130">IF(AN4="No",AN$3,"")</f>
        <v/>
      </c>
      <c r="HO4" t="str">
        <f t="shared" ref="HO4:HO22" si="131">IF(AO4="No",AO$3,"")</f>
        <v/>
      </c>
      <c r="HP4" t="str">
        <f t="shared" ref="HP4:HP22" si="132">IF(AP4="No",AP$3,"")</f>
        <v/>
      </c>
      <c r="HQ4" t="str">
        <f t="shared" ref="HQ4:HQ22" si="133">IF(AQ4="No",AQ$3,"")</f>
        <v/>
      </c>
      <c r="HR4" t="e">
        <f>IF(#REF!="No",#REF!,"")</f>
        <v>#REF!</v>
      </c>
      <c r="HS4" t="str">
        <f t="shared" ref="HS4:HS22" si="134">IF(AR4="No",AR$3,"")</f>
        <v/>
      </c>
      <c r="HT4" t="str">
        <f t="shared" ref="HT4:HT22" si="135">IF(AS4="No",AS$3,"")</f>
        <v/>
      </c>
      <c r="HU4" t="str">
        <f t="shared" ref="HU4:HU22" si="136">IF(AT4="No",AT$3,"")</f>
        <v xml:space="preserve">¿El agente indaga o sondea adecuadamente las necesidades del cliente? </v>
      </c>
      <c r="HV4" t="str">
        <f t="shared" ref="HV4:HV22" si="137">IF(AU4="No",AU$3,"")</f>
        <v/>
      </c>
      <c r="HW4" t="str">
        <f t="shared" ref="HW4:HW22" si="138">IF(AV4="No",AV$3,"")</f>
        <v/>
      </c>
      <c r="HX4" t="str">
        <f t="shared" ref="HX4:HX22" si="139">IF(AW4="No",AW$3,"")</f>
        <v xml:space="preserve">¿El agente maneja correctamente las objeciones del cliente? </v>
      </c>
      <c r="HY4" t="str">
        <f t="shared" ref="HY4:HY22" si="140">IF(AX4="No",AX$3,"")</f>
        <v/>
      </c>
      <c r="HZ4" t="str">
        <f t="shared" ref="HZ4:HZ22" si="141">IF(AY4="No",AY$3,"")</f>
        <v/>
      </c>
      <c r="IA4" t="str">
        <f t="shared" ref="IA4:IA22" si="142">IF(AZ4="No",AZ$3,"")</f>
        <v/>
      </c>
      <c r="IB4" t="str">
        <f t="shared" ref="IB4:IB22" si="143">IF(BA4="No",BA$3,"")</f>
        <v/>
      </c>
      <c r="IC4" t="str">
        <f t="shared" ref="IC4:IC22" si="144">IF(BB4="No",BB$3,"")</f>
        <v/>
      </c>
      <c r="ID4" s="238" t="str">
        <f t="shared" ref="ID4:ID22" si="145">IF(BC4="No",BC$3,"")</f>
        <v/>
      </c>
      <c r="IE4" s="238" t="str">
        <f t="shared" ref="IE4:IE22" si="146">IF(BD4="No",BD$3,"")</f>
        <v/>
      </c>
      <c r="IF4" s="238" t="str">
        <f t="shared" ref="IF4:IF22" si="147">IF(BE4="No",BE$3,"")</f>
        <v/>
      </c>
      <c r="IG4" s="238" t="str">
        <f t="shared" ref="IG4:IG22" si="148">IF(BF4="No",BF$3,"")</f>
        <v/>
      </c>
      <c r="IH4" s="241" t="str">
        <f>A4&amp;" "&amp;F4&amp;" "&amp;Data[[#This Row],[mes]]</f>
        <v>Max Heurtematte   Outbound jun-26</v>
      </c>
      <c r="II4" s="244">
        <f>COUNTIF($IH4:$IH37,IH4)</f>
        <v>3</v>
      </c>
      <c r="IJ4" s="241">
        <f>IF(COUNTIF($IH$4:IH4,IH4)=1,1,0)</f>
        <v>1</v>
      </c>
      <c r="IK4" s="244">
        <f>IF(Data[[#This Row],[Muestra Critica]]&gt;0,Data[[#This Row],[Muestra Critica]],"")</f>
        <v>1</v>
      </c>
      <c r="IL4">
        <f>IF(IK4="","",COUNTIF($IK$4:$IK36,IK4))</f>
        <v>26</v>
      </c>
      <c r="IM4">
        <f t="shared" ref="IM4:IM22" si="149">IF(IL4=1,1,0)</f>
        <v>0</v>
      </c>
      <c r="IN4" s="241" t="str">
        <f t="shared" ref="IN4:IN36" si="150">TEXT(C4,"mmm-yy")</f>
        <v>jun-26</v>
      </c>
      <c r="IO4" s="241"/>
      <c r="IP4" s="241"/>
      <c r="IQ4" s="241"/>
      <c r="IR4" s="241"/>
      <c r="IS4" s="241">
        <f>IFERROR(_xlfn.XLOOKUP(A:A,HC!B:B,HC!E:E,,0),0)</f>
        <v>0</v>
      </c>
    </row>
    <row r="5" spans="1:253" ht="15.5" x14ac:dyDescent="0.35">
      <c r="A5" s="232" t="s">
        <v>419</v>
      </c>
      <c r="B5" s="232">
        <v>61203994</v>
      </c>
      <c r="C5" s="242">
        <v>46192</v>
      </c>
      <c r="D5" s="232" t="s">
        <v>406</v>
      </c>
      <c r="E5" s="232" t="s">
        <v>398</v>
      </c>
      <c r="F5" s="232" t="s">
        <v>32</v>
      </c>
      <c r="G5" s="232" t="s">
        <v>402</v>
      </c>
      <c r="H5" s="232" t="s">
        <v>420</v>
      </c>
      <c r="I5" s="233" t="s">
        <v>412</v>
      </c>
      <c r="J5" s="234" t="s">
        <v>33</v>
      </c>
      <c r="K5" s="234" t="s">
        <v>33</v>
      </c>
      <c r="L5" s="234" t="s">
        <v>33</v>
      </c>
      <c r="M5" s="234" t="s">
        <v>33</v>
      </c>
      <c r="N5" s="234" t="s">
        <v>33</v>
      </c>
      <c r="O5" s="234" t="s">
        <v>33</v>
      </c>
      <c r="P5" s="234" t="s">
        <v>33</v>
      </c>
      <c r="Q5" s="234" t="s">
        <v>33</v>
      </c>
      <c r="R5" s="234" t="s">
        <v>33</v>
      </c>
      <c r="S5" s="234" t="s">
        <v>33</v>
      </c>
      <c r="T5" s="234" t="s">
        <v>33</v>
      </c>
      <c r="U5" s="234" t="s">
        <v>33</v>
      </c>
      <c r="V5" s="235" t="s">
        <v>33</v>
      </c>
      <c r="W5" s="235" t="s">
        <v>33</v>
      </c>
      <c r="X5" s="235" t="s">
        <v>33</v>
      </c>
      <c r="Y5" s="235" t="s">
        <v>33</v>
      </c>
      <c r="Z5" s="235" t="s">
        <v>33</v>
      </c>
      <c r="AA5" s="235" t="s">
        <v>33</v>
      </c>
      <c r="AB5" s="235" t="s">
        <v>33</v>
      </c>
      <c r="AC5" s="235" t="s">
        <v>33</v>
      </c>
      <c r="AD5" s="235" t="s">
        <v>33</v>
      </c>
      <c r="AE5" s="235" t="s">
        <v>33</v>
      </c>
      <c r="AF5" s="235" t="s">
        <v>33</v>
      </c>
      <c r="AG5" s="235" t="s">
        <v>33</v>
      </c>
      <c r="AH5" s="235" t="s">
        <v>33</v>
      </c>
      <c r="AI5" s="235" t="s">
        <v>33</v>
      </c>
      <c r="AJ5" s="235" t="s">
        <v>34</v>
      </c>
      <c r="AK5" s="235" t="s">
        <v>33</v>
      </c>
      <c r="AL5" s="235" t="s">
        <v>33</v>
      </c>
      <c r="AM5" s="235" t="s">
        <v>33</v>
      </c>
      <c r="AN5" s="235" t="s">
        <v>33</v>
      </c>
      <c r="AO5" s="235" t="s">
        <v>33</v>
      </c>
      <c r="AP5" s="235" t="s">
        <v>33</v>
      </c>
      <c r="AQ5" s="235" t="s">
        <v>33</v>
      </c>
      <c r="AR5" s="235" t="s">
        <v>33</v>
      </c>
      <c r="AS5" s="235" t="s">
        <v>33</v>
      </c>
      <c r="AT5" s="235" t="s">
        <v>33</v>
      </c>
      <c r="AU5" s="235" t="s">
        <v>33</v>
      </c>
      <c r="AV5" s="235" t="s">
        <v>33</v>
      </c>
      <c r="AW5" s="235" t="s">
        <v>33</v>
      </c>
      <c r="AX5" s="235" t="s">
        <v>33</v>
      </c>
      <c r="AY5" s="235" t="s">
        <v>33</v>
      </c>
      <c r="AZ5" s="235" t="s">
        <v>33</v>
      </c>
      <c r="BA5" s="235" t="s">
        <v>33</v>
      </c>
      <c r="BB5" s="235" t="s">
        <v>33</v>
      </c>
      <c r="BC5" s="236" t="s">
        <v>33</v>
      </c>
      <c r="BD5" s="236" t="s">
        <v>33</v>
      </c>
      <c r="BE5" s="236" t="s">
        <v>33</v>
      </c>
      <c r="BF5" s="237" t="s">
        <v>33</v>
      </c>
      <c r="BG5" s="241"/>
      <c r="BH5" s="245" t="str">
        <f>Data[[#This Row],[Tipo de Muestra]]</f>
        <v>Critica</v>
      </c>
      <c r="BI5" s="241"/>
      <c r="BJ5" s="241"/>
      <c r="BK5">
        <f t="shared" si="0"/>
        <v>1</v>
      </c>
      <c r="BL5">
        <f t="shared" si="1"/>
        <v>1</v>
      </c>
      <c r="BM5">
        <f t="shared" si="2"/>
        <v>1</v>
      </c>
      <c r="BN5">
        <f t="shared" si="3"/>
        <v>1</v>
      </c>
      <c r="BO5">
        <f t="shared" si="4"/>
        <v>1</v>
      </c>
      <c r="BP5">
        <f t="shared" si="5"/>
        <v>1</v>
      </c>
      <c r="BQ5">
        <f t="shared" si="6"/>
        <v>1</v>
      </c>
      <c r="BR5">
        <f t="shared" si="7"/>
        <v>1</v>
      </c>
      <c r="BS5">
        <f t="shared" si="8"/>
        <v>1</v>
      </c>
      <c r="BT5">
        <f t="shared" si="9"/>
        <v>1</v>
      </c>
      <c r="BU5">
        <f t="shared" si="10"/>
        <v>1</v>
      </c>
      <c r="BV5">
        <f t="shared" si="11"/>
        <v>1</v>
      </c>
      <c r="BW5">
        <f t="shared" si="12"/>
        <v>1</v>
      </c>
      <c r="BX5">
        <f t="shared" si="13"/>
        <v>1</v>
      </c>
      <c r="BY5">
        <f t="shared" si="14"/>
        <v>0</v>
      </c>
      <c r="BZ5">
        <f t="shared" si="15"/>
        <v>0</v>
      </c>
      <c r="CA5">
        <f t="shared" si="16"/>
        <v>0</v>
      </c>
      <c r="CB5">
        <f t="shared" si="17"/>
        <v>0</v>
      </c>
      <c r="CC5">
        <f t="shared" si="18"/>
        <v>0</v>
      </c>
      <c r="CD5">
        <f t="shared" si="19"/>
        <v>0</v>
      </c>
      <c r="CE5">
        <f t="shared" si="20"/>
        <v>0</v>
      </c>
      <c r="CF5">
        <f t="shared" si="21"/>
        <v>0</v>
      </c>
      <c r="CG5">
        <f t="shared" si="22"/>
        <v>0</v>
      </c>
      <c r="CH5">
        <f t="shared" si="23"/>
        <v>0</v>
      </c>
      <c r="CI5">
        <f t="shared" si="24"/>
        <v>0</v>
      </c>
      <c r="CJ5">
        <f t="shared" si="25"/>
        <v>0</v>
      </c>
      <c r="CK5">
        <f t="shared" si="26"/>
        <v>0</v>
      </c>
      <c r="CL5">
        <f t="shared" si="27"/>
        <v>0</v>
      </c>
      <c r="CM5">
        <f t="shared" si="28"/>
        <v>0</v>
      </c>
      <c r="CN5">
        <f t="shared" si="29"/>
        <v>0</v>
      </c>
      <c r="CO5">
        <f t="shared" si="30"/>
        <v>0</v>
      </c>
      <c r="CP5">
        <f t="shared" si="31"/>
        <v>0</v>
      </c>
      <c r="CQ5">
        <f t="shared" si="32"/>
        <v>0</v>
      </c>
      <c r="CR5">
        <f t="shared" si="33"/>
        <v>0</v>
      </c>
      <c r="CS5">
        <f t="shared" si="34"/>
        <v>0</v>
      </c>
      <c r="CT5">
        <f t="shared" si="35"/>
        <v>0</v>
      </c>
      <c r="CU5">
        <f t="shared" si="36"/>
        <v>0</v>
      </c>
      <c r="CV5">
        <f t="shared" si="37"/>
        <v>0</v>
      </c>
      <c r="CW5">
        <f t="shared" si="38"/>
        <v>0</v>
      </c>
      <c r="CX5">
        <f t="shared" si="39"/>
        <v>0</v>
      </c>
      <c r="CY5">
        <f t="shared" si="40"/>
        <v>0</v>
      </c>
      <c r="CZ5">
        <f t="shared" si="41"/>
        <v>0</v>
      </c>
      <c r="DA5">
        <f t="shared" si="42"/>
        <v>0</v>
      </c>
      <c r="DB5">
        <f t="shared" si="43"/>
        <v>0</v>
      </c>
      <c r="DC5">
        <f t="shared" si="44"/>
        <v>0</v>
      </c>
      <c r="DD5" s="238">
        <f t="shared" si="45"/>
        <v>0</v>
      </c>
      <c r="DE5" s="238">
        <f t="shared" si="46"/>
        <v>0</v>
      </c>
      <c r="DF5" s="238">
        <f t="shared" si="47"/>
        <v>0</v>
      </c>
      <c r="DG5" s="238">
        <f t="shared" si="48"/>
        <v>1</v>
      </c>
      <c r="DH5" s="9">
        <f t="shared" si="49"/>
        <v>0.15</v>
      </c>
      <c r="DI5" s="9">
        <f t="shared" si="50"/>
        <v>0.15</v>
      </c>
      <c r="DJ5" s="9">
        <f t="shared" si="51"/>
        <v>0.15</v>
      </c>
      <c r="DK5" s="9">
        <f>IF(MIN(Data[[#This Row],[¿El agente cumple con la identificación formal y profesional?3]:[¿El agente realiza despedida corporativa?5]])=0,0,15%)</f>
        <v>0.15</v>
      </c>
      <c r="DL5" s="9">
        <f t="shared" si="52"/>
        <v>0.3</v>
      </c>
      <c r="DM5" s="9">
        <f t="shared" si="53"/>
        <v>0.3</v>
      </c>
      <c r="DN5" s="9">
        <f t="shared" si="54"/>
        <v>0.3</v>
      </c>
      <c r="DO5" s="9">
        <f t="shared" si="55"/>
        <v>0.3</v>
      </c>
      <c r="DP5" s="9">
        <f>IF(MIN(Data[[#This Row],[¿El agente demuestra escucha activa durante la gestión?6]:[¿El agente parafrasea para confirmar entendimiento?9]])=0,0,30%)</f>
        <v>0.3</v>
      </c>
      <c r="DQ5" s="9">
        <f t="shared" si="56"/>
        <v>0.3</v>
      </c>
      <c r="DR5" s="9">
        <f t="shared" si="57"/>
        <v>0.3</v>
      </c>
      <c r="DS5" s="9">
        <f t="shared" si="58"/>
        <v>0.3</v>
      </c>
      <c r="DT5" s="9">
        <f t="shared" si="59"/>
        <v>0.3</v>
      </c>
      <c r="DU5" s="239">
        <f>IF(MIN(Data[[#This Row],[¿El agente adapta su comunicación al cliente?11]:[¿El agente utiliza el plural corporativo correctamente?14]])=0,0,30%)</f>
        <v>0.3</v>
      </c>
      <c r="DV5" s="9">
        <f t="shared" si="60"/>
        <v>0.25</v>
      </c>
      <c r="DW5" s="9">
        <f t="shared" ref="DW5:DW22" si="151">IF(MIN(DV5)=0,0,25%)</f>
        <v>0.25</v>
      </c>
      <c r="DX5" s="9">
        <f t="shared" ref="DX5:DX22" si="152">IF(SUM(DK5,DP5,DU5,DW5)&gt;335%,100%,SUM(DK5,DP5,DU5,DW5)/100%)</f>
        <v>1</v>
      </c>
      <c r="DY5" s="9">
        <f t="shared" si="61"/>
        <v>1</v>
      </c>
      <c r="DZ5" s="9">
        <f t="shared" si="62"/>
        <v>1</v>
      </c>
      <c r="EA5" s="9">
        <f t="shared" si="63"/>
        <v>1</v>
      </c>
      <c r="EB5" s="9">
        <f t="shared" si="64"/>
        <v>1</v>
      </c>
      <c r="EC5" s="9">
        <f>IF(SUM(Data[[#This Row],[¿El agente informa correctamente sobre los centros de pago?19]:[¿El agente explica el ciclo de facturación adecuadamente?22]])=400%,100%,0%)</f>
        <v>1</v>
      </c>
      <c r="ED5" s="9">
        <f t="shared" si="65"/>
        <v>1</v>
      </c>
      <c r="EE5" s="9">
        <f t="shared" si="66"/>
        <v>1</v>
      </c>
      <c r="EF5" s="9">
        <f>IF(SUM(Data[[#This Row],[¿El agente presenta correctamente los beneficios del producto?23]:[¿El agente comunica beneficios emocionales al cliente?24]])=200%,100%,0%)</f>
        <v>1</v>
      </c>
      <c r="EG5" s="9">
        <f t="shared" si="67"/>
        <v>1</v>
      </c>
      <c r="EH5" s="9">
        <f t="shared" si="68"/>
        <v>1</v>
      </c>
      <c r="EI5" s="9">
        <f t="shared" si="69"/>
        <v>1</v>
      </c>
      <c r="EJ5" s="9">
        <f>IF(SUM(Data[[#This Row],[¿El agente realiza un resumen comercial adecuado?25]:[¿El agente formaliza correctamente el acuerdo de venta?27]])=300%,100%,0%)</f>
        <v>1</v>
      </c>
      <c r="EK5" s="9">
        <f t="shared" si="70"/>
        <v>1</v>
      </c>
      <c r="EL5" s="9">
        <f>+Data[[#This Row],[¿El agente explica los términos y condiciones del servicio?28]]</f>
        <v>1</v>
      </c>
      <c r="EM5" s="9">
        <f t="shared" si="71"/>
        <v>1</v>
      </c>
      <c r="EN5" s="9">
        <f>+Data[[#This Row],[¿El agente identifica correctamente la solicitud del cliente?29]]</f>
        <v>1</v>
      </c>
      <c r="EO5" s="9">
        <f t="shared" si="72"/>
        <v>1</v>
      </c>
      <c r="EP5" s="9">
        <f t="shared" si="73"/>
        <v>1</v>
      </c>
      <c r="EQ5" s="9">
        <f t="shared" si="74"/>
        <v>0</v>
      </c>
      <c r="ER5" s="9">
        <f>IF(SUM(Data[[#This Row],[¿El agente evita activar un servicio diferente al solicitado?30]:[¿El agente configura adecuadamente el producto contratado?32]])=300%,100%,0%)</f>
        <v>0</v>
      </c>
      <c r="ES5" s="9">
        <f t="shared" si="75"/>
        <v>1</v>
      </c>
      <c r="ET5" s="9">
        <f t="shared" si="76"/>
        <v>1</v>
      </c>
      <c r="EU5" s="9">
        <f>IF(SUM(Data[[#This Row],[¿El agente mantiene respeto y cordialidad en toda la interacción?33]:[¿El agente utiliza un lenguaje adecuado y profesional?34]])=200%,100%,0%)</f>
        <v>1</v>
      </c>
      <c r="EV5" s="9">
        <f t="shared" si="77"/>
        <v>1</v>
      </c>
      <c r="EW5" s="9">
        <f t="shared" si="78"/>
        <v>1</v>
      </c>
      <c r="EX5" s="9">
        <f t="shared" si="79"/>
        <v>1</v>
      </c>
      <c r="EY5" s="9">
        <f t="shared" si="80"/>
        <v>1</v>
      </c>
      <c r="EZ5" s="9">
        <f t="shared" si="81"/>
        <v>1</v>
      </c>
      <c r="FA5" s="9">
        <f t="shared" si="82"/>
        <v>1</v>
      </c>
      <c r="FB5" s="9">
        <f>IF(SUM(Data[[#This Row],[¿El agente verifica correctamente la cobertura?35]:[¿El agente agenda citas o gestiones cuando es necesario?41]])=600%,100%,0%)</f>
        <v>1</v>
      </c>
      <c r="FC5" s="9">
        <f t="shared" ref="FC5:FC22" si="153">IF(SUM(EC5,EF5,EL5,EJ5,EN5,ER5,EU5,FB5)=800%,100%,0%)</f>
        <v>0</v>
      </c>
      <c r="FD5" s="9">
        <f t="shared" si="83"/>
        <v>1</v>
      </c>
      <c r="FE5" s="9">
        <f t="shared" si="84"/>
        <v>1</v>
      </c>
      <c r="FF5" s="9">
        <f t="shared" si="85"/>
        <v>1</v>
      </c>
      <c r="FG5" s="9">
        <f t="shared" si="86"/>
        <v>1</v>
      </c>
      <c r="FH5" s="9">
        <f t="shared" si="87"/>
        <v>1</v>
      </c>
      <c r="FI5" s="9">
        <f t="shared" si="88"/>
        <v>1</v>
      </c>
      <c r="FJ5" s="9">
        <f>IF(SUM(Data[[#This Row],[¿El agente ofrece adecuadamente un producto adicional?42]:[¿El agente maneja correctamente las objeciones del cliente?47]])=600%,100%,)</f>
        <v>1</v>
      </c>
      <c r="FK5" s="9">
        <f t="shared" si="89"/>
        <v>1</v>
      </c>
      <c r="FL5" s="9">
        <f>+Data[[#This Row],[¿El agente gestiona la oferta según la campaña vigente?48]]</f>
        <v>1</v>
      </c>
      <c r="FM5" s="9">
        <f t="shared" si="90"/>
        <v>1</v>
      </c>
      <c r="FN5" s="9">
        <f t="shared" si="91"/>
        <v>1</v>
      </c>
      <c r="FO5" s="9">
        <f t="shared" si="92"/>
        <v>1</v>
      </c>
      <c r="FP5" s="9">
        <f>IF(SUM(Data[[#This Row],[¿El agente solicita coordenadas cuando es necesario?49]:[¿El agente maneja adecuadamente llamadas en conferencia?51]])=300%,100%,)</f>
        <v>1</v>
      </c>
      <c r="FQ5" s="9">
        <f t="shared" si="93"/>
        <v>1</v>
      </c>
      <c r="FR5" s="9">
        <f>+Data[[#This Row],[¿El agente registra correctamente todas las interacciones?52]]</f>
        <v>1</v>
      </c>
      <c r="FS5" s="9">
        <f t="shared" ref="FS5:FS22" si="154">IF(SUM(FJ5,FL5,FP5,FR5)=400%,100%,0)</f>
        <v>1</v>
      </c>
      <c r="FT5" s="238">
        <f t="shared" ref="FT5:FT22" si="155">IF((BC5="No"),0,$DY$2)</f>
        <v>1</v>
      </c>
      <c r="FU5" s="9">
        <f>+Data[[#This Row],[¿El agente confirma la titularidad del cliente adecuadamente?53]]</f>
        <v>1</v>
      </c>
      <c r="FV5" s="238">
        <f t="shared" si="94"/>
        <v>1</v>
      </c>
      <c r="FW5" s="238">
        <f t="shared" si="95"/>
        <v>1</v>
      </c>
      <c r="FX5" s="9">
        <f>IF(SUM(Data[[#This Row],[¿El agente evita la omisión de alertas importantes?54]]:Data[[#This Row],[¿El agente mantiene conducta ética durante la interacción?55]])=200%,100%,)</f>
        <v>1</v>
      </c>
      <c r="FY5" s="238">
        <f t="shared" si="96"/>
        <v>1</v>
      </c>
      <c r="FZ5" s="9">
        <f>+Data[[#This Row],[¿El agente evita compartir información sensible?56]]</f>
        <v>1</v>
      </c>
      <c r="GA5" s="9">
        <f t="shared" ref="GA5:GA22" si="156">IF(SUM(FU5,FX5,FZ5)=300%,100%,)</f>
        <v>1</v>
      </c>
      <c r="GB5" s="239">
        <f t="shared" si="97"/>
        <v>0.1</v>
      </c>
      <c r="GC5" s="239">
        <f t="shared" si="98"/>
        <v>0</v>
      </c>
      <c r="GD5" s="240">
        <f t="shared" si="99"/>
        <v>0.3</v>
      </c>
      <c r="GE5" s="240">
        <f t="shared" si="100"/>
        <v>0.3</v>
      </c>
      <c r="GF5" s="9">
        <f>SUM(Data[[#This Row],[PESO PENC]:[PESO PECCUM]])</f>
        <v>0.7</v>
      </c>
      <c r="GG5" s="238">
        <f>1</f>
        <v>1</v>
      </c>
      <c r="GH5" s="238">
        <f t="shared" si="101"/>
        <v>1</v>
      </c>
      <c r="GI5" t="str">
        <f t="shared" si="102"/>
        <v/>
      </c>
      <c r="GJ5" t="str">
        <f t="shared" si="103"/>
        <v/>
      </c>
      <c r="GK5" t="str">
        <f t="shared" si="104"/>
        <v/>
      </c>
      <c r="GN5" t="str">
        <f t="shared" si="105"/>
        <v/>
      </c>
      <c r="GO5" t="str">
        <f t="shared" si="106"/>
        <v/>
      </c>
      <c r="GP5" t="str">
        <f t="shared" si="107"/>
        <v/>
      </c>
      <c r="GQ5" t="str">
        <f t="shared" si="108"/>
        <v/>
      </c>
      <c r="GR5" t="str">
        <f t="shared" si="109"/>
        <v/>
      </c>
      <c r="GS5" t="str">
        <f t="shared" si="110"/>
        <v/>
      </c>
      <c r="GT5" t="str">
        <f t="shared" si="111"/>
        <v/>
      </c>
      <c r="GU5" t="e">
        <f>IF(#REF!="No",#REF!,"")</f>
        <v>#REF!</v>
      </c>
      <c r="GV5" t="str">
        <f t="shared" si="112"/>
        <v/>
      </c>
      <c r="GW5" t="str">
        <f t="shared" si="113"/>
        <v/>
      </c>
      <c r="GX5" t="str">
        <f t="shared" si="114"/>
        <v/>
      </c>
      <c r="GY5" t="str">
        <f t="shared" si="115"/>
        <v/>
      </c>
      <c r="GZ5" t="str">
        <f t="shared" si="116"/>
        <v/>
      </c>
      <c r="HA5" t="str">
        <f t="shared" si="117"/>
        <v/>
      </c>
      <c r="HB5" t="str">
        <f t="shared" si="118"/>
        <v/>
      </c>
      <c r="HC5" t="str">
        <f t="shared" si="119"/>
        <v/>
      </c>
      <c r="HD5" t="str">
        <f t="shared" si="120"/>
        <v/>
      </c>
      <c r="HE5" t="str">
        <f t="shared" si="121"/>
        <v/>
      </c>
      <c r="HF5" t="str">
        <f t="shared" si="122"/>
        <v/>
      </c>
      <c r="HG5" t="str">
        <f t="shared" si="123"/>
        <v/>
      </c>
      <c r="HH5" t="str">
        <f t="shared" si="124"/>
        <v/>
      </c>
      <c r="HI5" t="str">
        <f t="shared" si="125"/>
        <v/>
      </c>
      <c r="HJ5" t="str">
        <f t="shared" si="126"/>
        <v xml:space="preserve">¿El agente utiliza un lenguaje adecuado y profesional? </v>
      </c>
      <c r="HK5" t="str">
        <f t="shared" si="127"/>
        <v/>
      </c>
      <c r="HL5" t="str">
        <f t="shared" si="128"/>
        <v/>
      </c>
      <c r="HM5" t="str">
        <f t="shared" si="129"/>
        <v/>
      </c>
      <c r="HN5" t="str">
        <f t="shared" si="130"/>
        <v/>
      </c>
      <c r="HO5" t="str">
        <f t="shared" si="131"/>
        <v/>
      </c>
      <c r="HP5" t="str">
        <f t="shared" si="132"/>
        <v/>
      </c>
      <c r="HQ5" t="str">
        <f t="shared" si="133"/>
        <v/>
      </c>
      <c r="HR5" t="e">
        <f>IF(#REF!="No",#REF!,"")</f>
        <v>#REF!</v>
      </c>
      <c r="HS5" t="str">
        <f t="shared" si="134"/>
        <v/>
      </c>
      <c r="HT5" t="str">
        <f t="shared" si="135"/>
        <v/>
      </c>
      <c r="HU5" t="str">
        <f t="shared" si="136"/>
        <v/>
      </c>
      <c r="HV5" t="str">
        <f t="shared" si="137"/>
        <v/>
      </c>
      <c r="HW5" t="str">
        <f t="shared" si="138"/>
        <v/>
      </c>
      <c r="HX5" t="str">
        <f t="shared" si="139"/>
        <v/>
      </c>
      <c r="HY5" t="str">
        <f t="shared" si="140"/>
        <v/>
      </c>
      <c r="HZ5" t="str">
        <f t="shared" si="141"/>
        <v/>
      </c>
      <c r="IA5" t="str">
        <f t="shared" si="142"/>
        <v/>
      </c>
      <c r="IB5" t="str">
        <f t="shared" si="143"/>
        <v/>
      </c>
      <c r="IC5" t="str">
        <f t="shared" si="144"/>
        <v/>
      </c>
      <c r="ID5" s="238" t="str">
        <f t="shared" si="145"/>
        <v/>
      </c>
      <c r="IE5" s="238" t="str">
        <f t="shared" si="146"/>
        <v/>
      </c>
      <c r="IF5" s="238" t="str">
        <f t="shared" si="147"/>
        <v/>
      </c>
      <c r="IG5" s="238" t="str">
        <f t="shared" si="148"/>
        <v/>
      </c>
      <c r="IH5" s="241" t="str">
        <f>A5&amp;" "&amp;F5&amp;" "&amp;Data[[#This Row],[mes]]</f>
        <v>Mitxely Naar Outbound jun-26</v>
      </c>
      <c r="II5" s="244">
        <f>COUNTIF($IH5:$IH38,IH5)</f>
        <v>3</v>
      </c>
      <c r="IJ5" s="241">
        <f>IF(COUNTIF($IH$4:IH5,IH5)=1,1,0)</f>
        <v>1</v>
      </c>
      <c r="IK5" s="244">
        <f>IF(Data[[#This Row],[Muestra Critica]]&gt;0,Data[[#This Row],[Muestra Critica]],"")</f>
        <v>1</v>
      </c>
      <c r="IL5" s="238">
        <f>IF(IK5="","",COUNTIF($IK$4:$IK37,IK5))</f>
        <v>26</v>
      </c>
      <c r="IM5">
        <f t="shared" si="149"/>
        <v>0</v>
      </c>
      <c r="IN5" s="241" t="str">
        <f t="shared" si="150"/>
        <v>jun-26</v>
      </c>
      <c r="IO5" s="241"/>
      <c r="IP5" s="241"/>
      <c r="IQ5" s="241"/>
      <c r="IR5" s="241"/>
      <c r="IS5" s="241">
        <f>IFERROR(_xlfn.XLOOKUP(A:A,HC!B:B,HC!E:E,,0),0)</f>
        <v>0</v>
      </c>
    </row>
    <row r="6" spans="1:253" ht="15.5" x14ac:dyDescent="0.35">
      <c r="A6" s="232" t="s">
        <v>415</v>
      </c>
      <c r="B6" s="232">
        <v>64005069</v>
      </c>
      <c r="C6" s="242">
        <v>46192</v>
      </c>
      <c r="D6" s="232" t="s">
        <v>406</v>
      </c>
      <c r="E6" s="232" t="s">
        <v>398</v>
      </c>
      <c r="F6" s="232" t="s">
        <v>32</v>
      </c>
      <c r="G6" s="232" t="s">
        <v>402</v>
      </c>
      <c r="H6" s="232" t="s">
        <v>420</v>
      </c>
      <c r="I6" s="233" t="s">
        <v>411</v>
      </c>
      <c r="J6" s="234" t="s">
        <v>33</v>
      </c>
      <c r="K6" s="234" t="s">
        <v>33</v>
      </c>
      <c r="L6" s="234" t="s">
        <v>33</v>
      </c>
      <c r="M6" s="234" t="s">
        <v>33</v>
      </c>
      <c r="N6" s="234" t="s">
        <v>33</v>
      </c>
      <c r="O6" s="234" t="s">
        <v>33</v>
      </c>
      <c r="P6" s="234" t="s">
        <v>33</v>
      </c>
      <c r="Q6" s="234" t="s">
        <v>33</v>
      </c>
      <c r="R6" s="234" t="s">
        <v>33</v>
      </c>
      <c r="S6" s="234" t="s">
        <v>33</v>
      </c>
      <c r="T6" s="234" t="s">
        <v>33</v>
      </c>
      <c r="U6" s="234" t="s">
        <v>33</v>
      </c>
      <c r="V6" s="235" t="s">
        <v>33</v>
      </c>
      <c r="W6" s="235" t="s">
        <v>33</v>
      </c>
      <c r="X6" s="235" t="s">
        <v>33</v>
      </c>
      <c r="Y6" s="235" t="s">
        <v>33</v>
      </c>
      <c r="Z6" s="235" t="s">
        <v>33</v>
      </c>
      <c r="AA6" s="235" t="s">
        <v>33</v>
      </c>
      <c r="AB6" s="235" t="s">
        <v>33</v>
      </c>
      <c r="AC6" s="235" t="s">
        <v>33</v>
      </c>
      <c r="AD6" s="235" t="s">
        <v>33</v>
      </c>
      <c r="AE6" s="235" t="s">
        <v>33</v>
      </c>
      <c r="AF6" s="235" t="s">
        <v>33</v>
      </c>
      <c r="AG6" s="235" t="s">
        <v>33</v>
      </c>
      <c r="AH6" s="235" t="s">
        <v>33</v>
      </c>
      <c r="AI6" s="235" t="s">
        <v>33</v>
      </c>
      <c r="AJ6" s="235" t="s">
        <v>33</v>
      </c>
      <c r="AK6" s="235" t="s">
        <v>33</v>
      </c>
      <c r="AL6" s="235" t="s">
        <v>33</v>
      </c>
      <c r="AM6" s="235" t="s">
        <v>33</v>
      </c>
      <c r="AN6" s="235" t="s">
        <v>33</v>
      </c>
      <c r="AO6" s="235" t="s">
        <v>33</v>
      </c>
      <c r="AP6" s="235" t="s">
        <v>33</v>
      </c>
      <c r="AQ6" s="235" t="s">
        <v>33</v>
      </c>
      <c r="AR6" s="235" t="s">
        <v>33</v>
      </c>
      <c r="AS6" s="235" t="s">
        <v>33</v>
      </c>
      <c r="AT6" s="235" t="s">
        <v>33</v>
      </c>
      <c r="AU6" s="235" t="s">
        <v>33</v>
      </c>
      <c r="AV6" s="235" t="s">
        <v>33</v>
      </c>
      <c r="AW6" s="235" t="s">
        <v>33</v>
      </c>
      <c r="AX6" s="235" t="s">
        <v>33</v>
      </c>
      <c r="AY6" s="235" t="s">
        <v>33</v>
      </c>
      <c r="AZ6" s="235" t="s">
        <v>33</v>
      </c>
      <c r="BA6" s="235" t="s">
        <v>33</v>
      </c>
      <c r="BB6" s="235" t="s">
        <v>33</v>
      </c>
      <c r="BC6" s="236" t="s">
        <v>33</v>
      </c>
      <c r="BD6" s="236" t="s">
        <v>33</v>
      </c>
      <c r="BE6" s="236" t="s">
        <v>33</v>
      </c>
      <c r="BF6" s="237" t="s">
        <v>33</v>
      </c>
      <c r="BG6" s="241"/>
      <c r="BH6" s="245" t="str">
        <f>Data[[#This Row],[Tipo de Muestra]]</f>
        <v>No Critica</v>
      </c>
      <c r="BI6" s="241"/>
      <c r="BJ6" s="241"/>
      <c r="BK6">
        <f t="shared" si="0"/>
        <v>1</v>
      </c>
      <c r="BL6">
        <f t="shared" si="1"/>
        <v>1</v>
      </c>
      <c r="BM6">
        <f t="shared" si="2"/>
        <v>1</v>
      </c>
      <c r="BN6">
        <f t="shared" si="3"/>
        <v>1</v>
      </c>
      <c r="BO6">
        <f t="shared" si="4"/>
        <v>1</v>
      </c>
      <c r="BP6">
        <f t="shared" si="5"/>
        <v>1</v>
      </c>
      <c r="BQ6">
        <f t="shared" si="6"/>
        <v>1</v>
      </c>
      <c r="BR6">
        <f t="shared" si="7"/>
        <v>1</v>
      </c>
      <c r="BS6">
        <f t="shared" si="8"/>
        <v>1</v>
      </c>
      <c r="BT6">
        <f t="shared" si="9"/>
        <v>1</v>
      </c>
      <c r="BU6">
        <f t="shared" si="10"/>
        <v>1</v>
      </c>
      <c r="BV6">
        <f t="shared" si="11"/>
        <v>1</v>
      </c>
      <c r="BW6">
        <f t="shared" si="12"/>
        <v>1</v>
      </c>
      <c r="BX6">
        <f t="shared" si="13"/>
        <v>1</v>
      </c>
      <c r="BY6">
        <f t="shared" si="14"/>
        <v>0</v>
      </c>
      <c r="BZ6">
        <f t="shared" si="15"/>
        <v>0</v>
      </c>
      <c r="CA6">
        <f t="shared" si="16"/>
        <v>0</v>
      </c>
      <c r="CB6">
        <f t="shared" si="17"/>
        <v>0</v>
      </c>
      <c r="CC6">
        <f t="shared" si="18"/>
        <v>0</v>
      </c>
      <c r="CD6">
        <f t="shared" si="19"/>
        <v>0</v>
      </c>
      <c r="CE6">
        <f t="shared" si="20"/>
        <v>0</v>
      </c>
      <c r="CF6">
        <f t="shared" si="21"/>
        <v>0</v>
      </c>
      <c r="CG6">
        <f t="shared" si="22"/>
        <v>0</v>
      </c>
      <c r="CH6">
        <f t="shared" si="23"/>
        <v>0</v>
      </c>
      <c r="CI6">
        <f t="shared" si="24"/>
        <v>0</v>
      </c>
      <c r="CJ6">
        <f t="shared" si="25"/>
        <v>0</v>
      </c>
      <c r="CK6">
        <f t="shared" si="26"/>
        <v>0</v>
      </c>
      <c r="CL6">
        <f t="shared" si="27"/>
        <v>0</v>
      </c>
      <c r="CM6">
        <f t="shared" si="28"/>
        <v>0</v>
      </c>
      <c r="CN6">
        <f t="shared" si="29"/>
        <v>0</v>
      </c>
      <c r="CO6">
        <f t="shared" si="30"/>
        <v>0</v>
      </c>
      <c r="CP6">
        <f t="shared" si="31"/>
        <v>0</v>
      </c>
      <c r="CQ6">
        <f t="shared" si="32"/>
        <v>0</v>
      </c>
      <c r="CR6">
        <f t="shared" si="33"/>
        <v>0</v>
      </c>
      <c r="CS6">
        <f t="shared" si="34"/>
        <v>0</v>
      </c>
      <c r="CT6">
        <f t="shared" si="35"/>
        <v>0</v>
      </c>
      <c r="CU6">
        <f t="shared" si="36"/>
        <v>0</v>
      </c>
      <c r="CV6">
        <f t="shared" si="37"/>
        <v>0</v>
      </c>
      <c r="CW6">
        <f t="shared" si="38"/>
        <v>0</v>
      </c>
      <c r="CX6">
        <f t="shared" si="39"/>
        <v>0</v>
      </c>
      <c r="CY6">
        <f t="shared" si="40"/>
        <v>0</v>
      </c>
      <c r="CZ6">
        <f t="shared" si="41"/>
        <v>0</v>
      </c>
      <c r="DA6">
        <f t="shared" si="42"/>
        <v>0</v>
      </c>
      <c r="DB6">
        <f t="shared" si="43"/>
        <v>0</v>
      </c>
      <c r="DC6">
        <f t="shared" si="44"/>
        <v>0</v>
      </c>
      <c r="DD6" s="238">
        <f t="shared" si="45"/>
        <v>0</v>
      </c>
      <c r="DE6" s="238">
        <f t="shared" si="46"/>
        <v>0</v>
      </c>
      <c r="DF6" s="238">
        <f t="shared" si="47"/>
        <v>0</v>
      </c>
      <c r="DG6" s="238">
        <f t="shared" si="48"/>
        <v>1</v>
      </c>
      <c r="DH6" s="9">
        <f t="shared" si="49"/>
        <v>0.15</v>
      </c>
      <c r="DI6" s="9">
        <f t="shared" si="50"/>
        <v>0.15</v>
      </c>
      <c r="DJ6" s="9">
        <f t="shared" si="51"/>
        <v>0.15</v>
      </c>
      <c r="DK6" s="9">
        <f>IF(MIN(Data[[#This Row],[¿El agente cumple con la identificación formal y profesional?3]:[¿El agente realiza despedida corporativa?5]])=0,0,15%)</f>
        <v>0.15</v>
      </c>
      <c r="DL6" s="9">
        <f t="shared" si="52"/>
        <v>0.3</v>
      </c>
      <c r="DM6" s="9">
        <f t="shared" si="53"/>
        <v>0.3</v>
      </c>
      <c r="DN6" s="9">
        <f t="shared" si="54"/>
        <v>0.3</v>
      </c>
      <c r="DO6" s="9">
        <f t="shared" si="55"/>
        <v>0.3</v>
      </c>
      <c r="DP6" s="9">
        <f>IF(MIN(Data[[#This Row],[¿El agente demuestra escucha activa durante la gestión?6]:[¿El agente parafrasea para confirmar entendimiento?9]])=0,0,30%)</f>
        <v>0.3</v>
      </c>
      <c r="DQ6" s="9">
        <f t="shared" si="56"/>
        <v>0.3</v>
      </c>
      <c r="DR6" s="9">
        <f t="shared" si="57"/>
        <v>0.3</v>
      </c>
      <c r="DS6" s="9">
        <f t="shared" si="58"/>
        <v>0.3</v>
      </c>
      <c r="DT6" s="9">
        <f t="shared" si="59"/>
        <v>0.3</v>
      </c>
      <c r="DU6" s="239">
        <f>IF(MIN(Data[[#This Row],[¿El agente adapta su comunicación al cliente?11]:[¿El agente utiliza el plural corporativo correctamente?14]])=0,0,30%)</f>
        <v>0.3</v>
      </c>
      <c r="DV6" s="9">
        <f t="shared" si="60"/>
        <v>0.25</v>
      </c>
      <c r="DW6" s="9">
        <f t="shared" si="151"/>
        <v>0.25</v>
      </c>
      <c r="DX6" s="9">
        <f t="shared" si="152"/>
        <v>1</v>
      </c>
      <c r="DY6" s="9">
        <f t="shared" si="61"/>
        <v>1</v>
      </c>
      <c r="DZ6" s="9">
        <f t="shared" si="62"/>
        <v>1</v>
      </c>
      <c r="EA6" s="9">
        <f t="shared" si="63"/>
        <v>1</v>
      </c>
      <c r="EB6" s="9">
        <f t="shared" si="64"/>
        <v>1</v>
      </c>
      <c r="EC6" s="9">
        <f>IF(SUM(Data[[#This Row],[¿El agente informa correctamente sobre los centros de pago?19]:[¿El agente explica el ciclo de facturación adecuadamente?22]])=400%,100%,0%)</f>
        <v>1</v>
      </c>
      <c r="ED6" s="9">
        <f t="shared" si="65"/>
        <v>1</v>
      </c>
      <c r="EE6" s="9">
        <f t="shared" si="66"/>
        <v>1</v>
      </c>
      <c r="EF6" s="9">
        <f>IF(SUM(Data[[#This Row],[¿El agente presenta correctamente los beneficios del producto?23]:[¿El agente comunica beneficios emocionales al cliente?24]])=200%,100%,0%)</f>
        <v>1</v>
      </c>
      <c r="EG6" s="9">
        <f t="shared" si="67"/>
        <v>1</v>
      </c>
      <c r="EH6" s="9">
        <f t="shared" si="68"/>
        <v>1</v>
      </c>
      <c r="EI6" s="9">
        <f t="shared" si="69"/>
        <v>1</v>
      </c>
      <c r="EJ6" s="9">
        <f>IF(SUM(Data[[#This Row],[¿El agente realiza un resumen comercial adecuado?25]:[¿El agente formaliza correctamente el acuerdo de venta?27]])=300%,100%,0%)</f>
        <v>1</v>
      </c>
      <c r="EK6" s="9">
        <f t="shared" si="70"/>
        <v>1</v>
      </c>
      <c r="EL6" s="9">
        <f>+Data[[#This Row],[¿El agente explica los términos y condiciones del servicio?28]]</f>
        <v>1</v>
      </c>
      <c r="EM6" s="9">
        <f t="shared" si="71"/>
        <v>1</v>
      </c>
      <c r="EN6" s="9">
        <f>+Data[[#This Row],[¿El agente identifica correctamente la solicitud del cliente?29]]</f>
        <v>1</v>
      </c>
      <c r="EO6" s="9">
        <f t="shared" si="72"/>
        <v>1</v>
      </c>
      <c r="EP6" s="9">
        <f t="shared" si="73"/>
        <v>1</v>
      </c>
      <c r="EQ6" s="9">
        <f t="shared" si="74"/>
        <v>1</v>
      </c>
      <c r="ER6" s="9">
        <f>IF(SUM(Data[[#This Row],[¿El agente evita activar un servicio diferente al solicitado?30]:[¿El agente configura adecuadamente el producto contratado?32]])=300%,100%,0%)</f>
        <v>1</v>
      </c>
      <c r="ES6" s="9">
        <f t="shared" si="75"/>
        <v>1</v>
      </c>
      <c r="ET6" s="9">
        <f t="shared" si="76"/>
        <v>1</v>
      </c>
      <c r="EU6" s="9">
        <f>IF(SUM(Data[[#This Row],[¿El agente mantiene respeto y cordialidad en toda la interacción?33]:[¿El agente utiliza un lenguaje adecuado y profesional?34]])=200%,100%,0%)</f>
        <v>1</v>
      </c>
      <c r="EV6" s="9">
        <f t="shared" si="77"/>
        <v>1</v>
      </c>
      <c r="EW6" s="9">
        <f t="shared" si="78"/>
        <v>1</v>
      </c>
      <c r="EX6" s="9">
        <f t="shared" si="79"/>
        <v>1</v>
      </c>
      <c r="EY6" s="9">
        <f t="shared" si="80"/>
        <v>1</v>
      </c>
      <c r="EZ6" s="9">
        <f t="shared" si="81"/>
        <v>1</v>
      </c>
      <c r="FA6" s="9">
        <f t="shared" si="82"/>
        <v>1</v>
      </c>
      <c r="FB6" s="9">
        <f>IF(SUM(Data[[#This Row],[¿El agente verifica correctamente la cobertura?35]:[¿El agente agenda citas o gestiones cuando es necesario?41]])=600%,100%,0%)</f>
        <v>1</v>
      </c>
      <c r="FC6" s="9">
        <f t="shared" si="153"/>
        <v>1</v>
      </c>
      <c r="FD6" s="9">
        <f t="shared" si="83"/>
        <v>1</v>
      </c>
      <c r="FE6" s="9">
        <f t="shared" si="84"/>
        <v>1</v>
      </c>
      <c r="FF6" s="9">
        <f t="shared" si="85"/>
        <v>1</v>
      </c>
      <c r="FG6" s="9">
        <f t="shared" si="86"/>
        <v>1</v>
      </c>
      <c r="FH6" s="9">
        <f t="shared" si="87"/>
        <v>1</v>
      </c>
      <c r="FI6" s="9">
        <f t="shared" si="88"/>
        <v>1</v>
      </c>
      <c r="FJ6" s="9">
        <f>IF(SUM(Data[[#This Row],[¿El agente ofrece adecuadamente un producto adicional?42]:[¿El agente maneja correctamente las objeciones del cliente?47]])=600%,100%,)</f>
        <v>1</v>
      </c>
      <c r="FK6" s="9">
        <f t="shared" si="89"/>
        <v>1</v>
      </c>
      <c r="FL6" s="9">
        <f>+Data[[#This Row],[¿El agente gestiona la oferta según la campaña vigente?48]]</f>
        <v>1</v>
      </c>
      <c r="FM6" s="9">
        <f t="shared" si="90"/>
        <v>1</v>
      </c>
      <c r="FN6" s="9">
        <f t="shared" si="91"/>
        <v>1</v>
      </c>
      <c r="FO6" s="9">
        <f t="shared" si="92"/>
        <v>1</v>
      </c>
      <c r="FP6" s="9">
        <f>IF(SUM(Data[[#This Row],[¿El agente solicita coordenadas cuando es necesario?49]:[¿El agente maneja adecuadamente llamadas en conferencia?51]])=300%,100%,)</f>
        <v>1</v>
      </c>
      <c r="FQ6" s="9">
        <f t="shared" si="93"/>
        <v>1</v>
      </c>
      <c r="FR6" s="9">
        <f>+Data[[#This Row],[¿El agente registra correctamente todas las interacciones?52]]</f>
        <v>1</v>
      </c>
      <c r="FS6" s="9">
        <f t="shared" si="154"/>
        <v>1</v>
      </c>
      <c r="FT6" s="238">
        <f t="shared" si="155"/>
        <v>1</v>
      </c>
      <c r="FU6" s="9">
        <f>+Data[[#This Row],[¿El agente confirma la titularidad del cliente adecuadamente?53]]</f>
        <v>1</v>
      </c>
      <c r="FV6" s="238">
        <f t="shared" si="94"/>
        <v>1</v>
      </c>
      <c r="FW6" s="238">
        <f t="shared" si="95"/>
        <v>1</v>
      </c>
      <c r="FX6" s="9">
        <f>IF(SUM(Data[[#This Row],[¿El agente evita la omisión de alertas importantes?54]]:Data[[#This Row],[¿El agente mantiene conducta ética durante la interacción?55]])=200%,100%,)</f>
        <v>1</v>
      </c>
      <c r="FY6" s="238">
        <f t="shared" si="96"/>
        <v>1</v>
      </c>
      <c r="FZ6" s="9">
        <f>+Data[[#This Row],[¿El agente evita compartir información sensible?56]]</f>
        <v>1</v>
      </c>
      <c r="GA6" s="9">
        <f t="shared" si="156"/>
        <v>1</v>
      </c>
      <c r="GB6" s="239">
        <f t="shared" si="97"/>
        <v>0.1</v>
      </c>
      <c r="GC6" s="239">
        <f t="shared" si="98"/>
        <v>0.3</v>
      </c>
      <c r="GD6" s="240">
        <f t="shared" si="99"/>
        <v>0.3</v>
      </c>
      <c r="GE6" s="240">
        <f t="shared" si="100"/>
        <v>0.3</v>
      </c>
      <c r="GF6" s="9">
        <f>SUM(Data[[#This Row],[PESO PENC]:[PESO PECCUM]])</f>
        <v>1</v>
      </c>
      <c r="GG6" s="238">
        <f>1</f>
        <v>1</v>
      </c>
      <c r="GH6" s="238">
        <f>IF((BH6="Critica"),1,0)</f>
        <v>0</v>
      </c>
      <c r="GI6" t="str">
        <f t="shared" si="102"/>
        <v/>
      </c>
      <c r="GJ6" t="str">
        <f t="shared" si="103"/>
        <v/>
      </c>
      <c r="GK6" t="str">
        <f t="shared" si="104"/>
        <v/>
      </c>
      <c r="GN6" t="str">
        <f t="shared" si="105"/>
        <v/>
      </c>
      <c r="GO6" t="str">
        <f t="shared" si="106"/>
        <v/>
      </c>
      <c r="GP6" t="str">
        <f t="shared" si="107"/>
        <v/>
      </c>
      <c r="GQ6" t="str">
        <f t="shared" si="108"/>
        <v/>
      </c>
      <c r="GR6" t="str">
        <f t="shared" si="109"/>
        <v/>
      </c>
      <c r="GS6" t="str">
        <f t="shared" si="110"/>
        <v/>
      </c>
      <c r="GT6" t="str">
        <f t="shared" si="111"/>
        <v/>
      </c>
      <c r="GU6" t="e">
        <f>IF(#REF!="No",#REF!,"")</f>
        <v>#REF!</v>
      </c>
      <c r="GV6" t="str">
        <f t="shared" si="112"/>
        <v/>
      </c>
      <c r="GW6" t="str">
        <f t="shared" si="113"/>
        <v/>
      </c>
      <c r="GX6" t="str">
        <f t="shared" si="114"/>
        <v/>
      </c>
      <c r="GY6" t="str">
        <f t="shared" si="115"/>
        <v/>
      </c>
      <c r="GZ6" t="str">
        <f t="shared" si="116"/>
        <v/>
      </c>
      <c r="HA6" t="str">
        <f t="shared" si="117"/>
        <v/>
      </c>
      <c r="HB6" t="str">
        <f t="shared" si="118"/>
        <v/>
      </c>
      <c r="HC6" t="str">
        <f t="shared" si="119"/>
        <v/>
      </c>
      <c r="HD6" t="str">
        <f t="shared" si="120"/>
        <v/>
      </c>
      <c r="HE6" t="str">
        <f t="shared" si="121"/>
        <v/>
      </c>
      <c r="HF6" t="str">
        <f t="shared" si="122"/>
        <v/>
      </c>
      <c r="HG6" t="str">
        <f t="shared" si="123"/>
        <v/>
      </c>
      <c r="HH6" t="str">
        <f t="shared" si="124"/>
        <v/>
      </c>
      <c r="HI6" t="str">
        <f t="shared" si="125"/>
        <v/>
      </c>
      <c r="HJ6" t="str">
        <f t="shared" si="126"/>
        <v/>
      </c>
      <c r="HK6" t="str">
        <f t="shared" si="127"/>
        <v/>
      </c>
      <c r="HL6" t="str">
        <f t="shared" si="128"/>
        <v/>
      </c>
      <c r="HM6" t="str">
        <f t="shared" si="129"/>
        <v/>
      </c>
      <c r="HN6" t="str">
        <f t="shared" si="130"/>
        <v/>
      </c>
      <c r="HO6" t="str">
        <f t="shared" si="131"/>
        <v/>
      </c>
      <c r="HP6" t="str">
        <f t="shared" si="132"/>
        <v/>
      </c>
      <c r="HQ6" t="str">
        <f t="shared" si="133"/>
        <v/>
      </c>
      <c r="HR6" t="e">
        <f>IF(#REF!="No",#REF!,"")</f>
        <v>#REF!</v>
      </c>
      <c r="HS6" t="str">
        <f t="shared" si="134"/>
        <v/>
      </c>
      <c r="HT6" t="str">
        <f t="shared" si="135"/>
        <v/>
      </c>
      <c r="HU6" t="str">
        <f t="shared" si="136"/>
        <v/>
      </c>
      <c r="HV6" t="str">
        <f t="shared" si="137"/>
        <v/>
      </c>
      <c r="HW6" t="str">
        <f t="shared" si="138"/>
        <v/>
      </c>
      <c r="HX6" t="str">
        <f t="shared" si="139"/>
        <v/>
      </c>
      <c r="HY6" t="str">
        <f t="shared" si="140"/>
        <v/>
      </c>
      <c r="HZ6" t="str">
        <f t="shared" si="141"/>
        <v/>
      </c>
      <c r="IA6" t="str">
        <f t="shared" si="142"/>
        <v/>
      </c>
      <c r="IB6" t="str">
        <f t="shared" si="143"/>
        <v/>
      </c>
      <c r="IC6" t="str">
        <f t="shared" si="144"/>
        <v/>
      </c>
      <c r="ID6" s="238" t="str">
        <f t="shared" si="145"/>
        <v/>
      </c>
      <c r="IE6" s="238" t="str">
        <f t="shared" si="146"/>
        <v/>
      </c>
      <c r="IF6" s="238" t="str">
        <f t="shared" si="147"/>
        <v/>
      </c>
      <c r="IG6" s="238" t="str">
        <f t="shared" si="148"/>
        <v/>
      </c>
      <c r="IH6" s="241" t="str">
        <f>A6&amp;" "&amp;F6&amp;" "&amp;Data[[#This Row],[mes]]</f>
        <v>Gina Batista Outbound jun-26</v>
      </c>
      <c r="II6" s="244">
        <f>COUNTIF($IH6:$IH39,IH6)</f>
        <v>3</v>
      </c>
      <c r="IJ6" s="241">
        <f>IF(COUNTIF($IH$4:IH6,IH6)=1,1,0)</f>
        <v>1</v>
      </c>
      <c r="IK6" s="244" t="str">
        <f>IF(Data[[#This Row],[Muestra Critica]]&gt;0,Data[[#This Row],[Muestra Critica]],"")</f>
        <v/>
      </c>
      <c r="IL6" s="238" t="str">
        <f>IF(IK6="","",COUNTIF($IK$4:$IK38,IK6))</f>
        <v/>
      </c>
      <c r="IM6">
        <f t="shared" si="149"/>
        <v>0</v>
      </c>
      <c r="IN6" s="241" t="str">
        <f t="shared" si="150"/>
        <v>jun-26</v>
      </c>
      <c r="IO6" s="241"/>
      <c r="IP6" s="241"/>
      <c r="IQ6" s="241"/>
      <c r="IR6" s="241"/>
      <c r="IS6" s="241">
        <f>IFERROR(_xlfn.XLOOKUP(A:A,HC!B:B,HC!E:E,,0),0)</f>
        <v>0</v>
      </c>
    </row>
    <row r="7" spans="1:253" ht="15.5" x14ac:dyDescent="0.35">
      <c r="A7" s="232" t="s">
        <v>418</v>
      </c>
      <c r="B7" s="232">
        <v>69181791</v>
      </c>
      <c r="C7" s="242">
        <v>46192</v>
      </c>
      <c r="D7" s="232" t="s">
        <v>406</v>
      </c>
      <c r="E7" s="232" t="s">
        <v>398</v>
      </c>
      <c r="F7" s="232" t="s">
        <v>32</v>
      </c>
      <c r="G7" s="232" t="s">
        <v>402</v>
      </c>
      <c r="H7" s="232" t="s">
        <v>420</v>
      </c>
      <c r="I7" s="233" t="s">
        <v>412</v>
      </c>
      <c r="J7" s="234" t="s">
        <v>33</v>
      </c>
      <c r="K7" s="234" t="s">
        <v>33</v>
      </c>
      <c r="L7" s="234" t="s">
        <v>33</v>
      </c>
      <c r="M7" s="234" t="s">
        <v>33</v>
      </c>
      <c r="N7" s="234" t="s">
        <v>33</v>
      </c>
      <c r="O7" s="234" t="s">
        <v>33</v>
      </c>
      <c r="P7" s="234" t="s">
        <v>33</v>
      </c>
      <c r="Q7" s="234" t="s">
        <v>33</v>
      </c>
      <c r="R7" s="234" t="s">
        <v>33</v>
      </c>
      <c r="S7" s="234" t="s">
        <v>33</v>
      </c>
      <c r="T7" s="234" t="s">
        <v>33</v>
      </c>
      <c r="U7" s="234" t="s">
        <v>33</v>
      </c>
      <c r="V7" s="235" t="s">
        <v>33</v>
      </c>
      <c r="W7" s="235" t="s">
        <v>33</v>
      </c>
      <c r="X7" s="235" t="s">
        <v>33</v>
      </c>
      <c r="Y7" s="235" t="s">
        <v>33</v>
      </c>
      <c r="Z7" s="235" t="s">
        <v>33</v>
      </c>
      <c r="AA7" s="235" t="s">
        <v>33</v>
      </c>
      <c r="AB7" s="235" t="s">
        <v>33</v>
      </c>
      <c r="AC7" s="235" t="s">
        <v>33</v>
      </c>
      <c r="AD7" s="235" t="s">
        <v>33</v>
      </c>
      <c r="AE7" s="235" t="s">
        <v>33</v>
      </c>
      <c r="AF7" s="235" t="s">
        <v>33</v>
      </c>
      <c r="AG7" s="235" t="s">
        <v>33</v>
      </c>
      <c r="AH7" s="235" t="s">
        <v>33</v>
      </c>
      <c r="AI7" s="235" t="s">
        <v>33</v>
      </c>
      <c r="AJ7" s="235" t="s">
        <v>33</v>
      </c>
      <c r="AK7" s="235" t="s">
        <v>33</v>
      </c>
      <c r="AL7" s="235" t="s">
        <v>33</v>
      </c>
      <c r="AM7" s="235" t="s">
        <v>33</v>
      </c>
      <c r="AN7" s="235" t="s">
        <v>33</v>
      </c>
      <c r="AO7" s="235" t="s">
        <v>33</v>
      </c>
      <c r="AP7" s="235" t="s">
        <v>33</v>
      </c>
      <c r="AQ7" s="235" t="s">
        <v>33</v>
      </c>
      <c r="AR7" s="235" t="s">
        <v>33</v>
      </c>
      <c r="AS7" s="235" t="s">
        <v>34</v>
      </c>
      <c r="AT7" s="235" t="s">
        <v>33</v>
      </c>
      <c r="AU7" s="235" t="s">
        <v>33</v>
      </c>
      <c r="AV7" s="235" t="s">
        <v>33</v>
      </c>
      <c r="AW7" s="235" t="s">
        <v>33</v>
      </c>
      <c r="AX7" s="235" t="s">
        <v>33</v>
      </c>
      <c r="AY7" s="235" t="s">
        <v>33</v>
      </c>
      <c r="AZ7" s="235" t="s">
        <v>33</v>
      </c>
      <c r="BA7" s="235" t="s">
        <v>33</v>
      </c>
      <c r="BB7" s="235" t="s">
        <v>33</v>
      </c>
      <c r="BC7" s="236" t="s">
        <v>33</v>
      </c>
      <c r="BD7" s="236" t="s">
        <v>33</v>
      </c>
      <c r="BE7" s="236" t="s">
        <v>33</v>
      </c>
      <c r="BF7" s="237" t="s">
        <v>33</v>
      </c>
      <c r="BG7" s="241"/>
      <c r="BH7" s="245" t="str">
        <f>Data[[#This Row],[Tipo de Muestra]]</f>
        <v>Critica</v>
      </c>
      <c r="BI7" s="241"/>
      <c r="BJ7" s="241"/>
      <c r="BK7">
        <f t="shared" si="0"/>
        <v>1</v>
      </c>
      <c r="BL7">
        <f t="shared" si="1"/>
        <v>1</v>
      </c>
      <c r="BM7">
        <f t="shared" si="2"/>
        <v>1</v>
      </c>
      <c r="BN7">
        <f t="shared" si="3"/>
        <v>1</v>
      </c>
      <c r="BO7">
        <f t="shared" si="4"/>
        <v>1</v>
      </c>
      <c r="BP7">
        <f t="shared" si="5"/>
        <v>1</v>
      </c>
      <c r="BQ7">
        <f t="shared" si="6"/>
        <v>1</v>
      </c>
      <c r="BR7">
        <f t="shared" si="7"/>
        <v>1</v>
      </c>
      <c r="BS7">
        <f t="shared" si="8"/>
        <v>1</v>
      </c>
      <c r="BT7">
        <f t="shared" si="9"/>
        <v>1</v>
      </c>
      <c r="BU7">
        <f t="shared" si="10"/>
        <v>1</v>
      </c>
      <c r="BV7">
        <f t="shared" si="11"/>
        <v>1</v>
      </c>
      <c r="BW7">
        <f t="shared" si="12"/>
        <v>1</v>
      </c>
      <c r="BX7">
        <f t="shared" si="13"/>
        <v>1</v>
      </c>
      <c r="BY7">
        <f t="shared" si="14"/>
        <v>0</v>
      </c>
      <c r="BZ7">
        <f t="shared" si="15"/>
        <v>0</v>
      </c>
      <c r="CA7">
        <f t="shared" si="16"/>
        <v>0</v>
      </c>
      <c r="CB7">
        <f t="shared" si="17"/>
        <v>0</v>
      </c>
      <c r="CC7">
        <f t="shared" si="18"/>
        <v>0</v>
      </c>
      <c r="CD7">
        <f t="shared" si="19"/>
        <v>0</v>
      </c>
      <c r="CE7">
        <f t="shared" si="20"/>
        <v>0</v>
      </c>
      <c r="CF7">
        <f t="shared" si="21"/>
        <v>0</v>
      </c>
      <c r="CG7">
        <f t="shared" si="22"/>
        <v>0</v>
      </c>
      <c r="CH7">
        <f t="shared" si="23"/>
        <v>0</v>
      </c>
      <c r="CI7">
        <f t="shared" si="24"/>
        <v>0</v>
      </c>
      <c r="CJ7">
        <f t="shared" si="25"/>
        <v>0</v>
      </c>
      <c r="CK7">
        <f t="shared" si="26"/>
        <v>0</v>
      </c>
      <c r="CL7">
        <f t="shared" si="27"/>
        <v>0</v>
      </c>
      <c r="CM7">
        <f t="shared" si="28"/>
        <v>0</v>
      </c>
      <c r="CN7">
        <f t="shared" si="29"/>
        <v>0</v>
      </c>
      <c r="CO7">
        <f t="shared" si="30"/>
        <v>0</v>
      </c>
      <c r="CP7">
        <f t="shared" si="31"/>
        <v>0</v>
      </c>
      <c r="CQ7">
        <f t="shared" si="32"/>
        <v>0</v>
      </c>
      <c r="CR7">
        <f t="shared" si="33"/>
        <v>0</v>
      </c>
      <c r="CS7">
        <f t="shared" si="34"/>
        <v>0</v>
      </c>
      <c r="CT7">
        <f t="shared" si="35"/>
        <v>0</v>
      </c>
      <c r="CU7">
        <f t="shared" si="36"/>
        <v>0</v>
      </c>
      <c r="CV7">
        <f t="shared" si="37"/>
        <v>0</v>
      </c>
      <c r="CW7">
        <f t="shared" si="38"/>
        <v>0</v>
      </c>
      <c r="CX7">
        <f t="shared" si="39"/>
        <v>0</v>
      </c>
      <c r="CY7">
        <f t="shared" si="40"/>
        <v>0</v>
      </c>
      <c r="CZ7">
        <f t="shared" si="41"/>
        <v>0</v>
      </c>
      <c r="DA7">
        <f t="shared" si="42"/>
        <v>0</v>
      </c>
      <c r="DB7">
        <f t="shared" si="43"/>
        <v>0</v>
      </c>
      <c r="DC7">
        <f t="shared" si="44"/>
        <v>0</v>
      </c>
      <c r="DD7" s="238">
        <f t="shared" si="45"/>
        <v>0</v>
      </c>
      <c r="DE7" s="238">
        <f t="shared" si="46"/>
        <v>0</v>
      </c>
      <c r="DF7" s="238">
        <f t="shared" si="47"/>
        <v>0</v>
      </c>
      <c r="DG7" s="238">
        <f t="shared" si="48"/>
        <v>1</v>
      </c>
      <c r="DH7" s="9">
        <f t="shared" si="49"/>
        <v>0.15</v>
      </c>
      <c r="DI7" s="9">
        <f t="shared" si="50"/>
        <v>0.15</v>
      </c>
      <c r="DJ7" s="9">
        <f t="shared" si="51"/>
        <v>0.15</v>
      </c>
      <c r="DK7" s="9">
        <f>IF(MIN(Data[[#This Row],[¿El agente cumple con la identificación formal y profesional?3]:[¿El agente realiza despedida corporativa?5]])=0,0,15%)</f>
        <v>0.15</v>
      </c>
      <c r="DL7" s="9">
        <f t="shared" si="52"/>
        <v>0.3</v>
      </c>
      <c r="DM7" s="9">
        <f t="shared" si="53"/>
        <v>0.3</v>
      </c>
      <c r="DN7" s="9">
        <f t="shared" si="54"/>
        <v>0.3</v>
      </c>
      <c r="DO7" s="9">
        <f t="shared" si="55"/>
        <v>0.3</v>
      </c>
      <c r="DP7" s="9">
        <f>IF(MIN(Data[[#This Row],[¿El agente demuestra escucha activa durante la gestión?6]:[¿El agente parafrasea para confirmar entendimiento?9]])=0,0,30%)</f>
        <v>0.3</v>
      </c>
      <c r="DQ7" s="9">
        <f t="shared" si="56"/>
        <v>0.3</v>
      </c>
      <c r="DR7" s="9">
        <f t="shared" si="57"/>
        <v>0.3</v>
      </c>
      <c r="DS7" s="9">
        <f t="shared" si="58"/>
        <v>0.3</v>
      </c>
      <c r="DT7" s="9">
        <f t="shared" si="59"/>
        <v>0.3</v>
      </c>
      <c r="DU7" s="239">
        <f>IF(MIN(Data[[#This Row],[¿El agente adapta su comunicación al cliente?11]:[¿El agente utiliza el plural corporativo correctamente?14]])=0,0,30%)</f>
        <v>0.3</v>
      </c>
      <c r="DV7" s="9">
        <f t="shared" si="60"/>
        <v>0.25</v>
      </c>
      <c r="DW7" s="9">
        <f t="shared" si="151"/>
        <v>0.25</v>
      </c>
      <c r="DX7" s="9">
        <f t="shared" si="152"/>
        <v>1</v>
      </c>
      <c r="DY7" s="9">
        <f t="shared" si="61"/>
        <v>1</v>
      </c>
      <c r="DZ7" s="9">
        <f t="shared" si="62"/>
        <v>1</v>
      </c>
      <c r="EA7" s="9">
        <f t="shared" si="63"/>
        <v>1</v>
      </c>
      <c r="EB7" s="9">
        <f t="shared" si="64"/>
        <v>1</v>
      </c>
      <c r="EC7" s="9">
        <f>IF(SUM(Data[[#This Row],[¿El agente informa correctamente sobre los centros de pago?19]:[¿El agente explica el ciclo de facturación adecuadamente?22]])=400%,100%,0%)</f>
        <v>1</v>
      </c>
      <c r="ED7" s="9">
        <f t="shared" si="65"/>
        <v>1</v>
      </c>
      <c r="EE7" s="9">
        <f t="shared" si="66"/>
        <v>1</v>
      </c>
      <c r="EF7" s="9">
        <f>IF(SUM(Data[[#This Row],[¿El agente presenta correctamente los beneficios del producto?23]:[¿El agente comunica beneficios emocionales al cliente?24]])=200%,100%,0%)</f>
        <v>1</v>
      </c>
      <c r="EG7" s="9">
        <f t="shared" si="67"/>
        <v>1</v>
      </c>
      <c r="EH7" s="9">
        <f t="shared" si="68"/>
        <v>1</v>
      </c>
      <c r="EI7" s="9">
        <f t="shared" si="69"/>
        <v>1</v>
      </c>
      <c r="EJ7" s="9">
        <f>IF(SUM(Data[[#This Row],[¿El agente realiza un resumen comercial adecuado?25]:[¿El agente formaliza correctamente el acuerdo de venta?27]])=300%,100%,0%)</f>
        <v>1</v>
      </c>
      <c r="EK7" s="9">
        <f t="shared" si="70"/>
        <v>1</v>
      </c>
      <c r="EL7" s="9">
        <f>+Data[[#This Row],[¿El agente explica los términos y condiciones del servicio?28]]</f>
        <v>1</v>
      </c>
      <c r="EM7" s="9">
        <f t="shared" si="71"/>
        <v>1</v>
      </c>
      <c r="EN7" s="9">
        <f>+Data[[#This Row],[¿El agente identifica correctamente la solicitud del cliente?29]]</f>
        <v>1</v>
      </c>
      <c r="EO7" s="9">
        <f t="shared" si="72"/>
        <v>1</v>
      </c>
      <c r="EP7" s="9">
        <f t="shared" si="73"/>
        <v>1</v>
      </c>
      <c r="EQ7" s="9">
        <f t="shared" si="74"/>
        <v>1</v>
      </c>
      <c r="ER7" s="9">
        <f>IF(SUM(Data[[#This Row],[¿El agente evita activar un servicio diferente al solicitado?30]:[¿El agente configura adecuadamente el producto contratado?32]])=300%,100%,0%)</f>
        <v>1</v>
      </c>
      <c r="ES7" s="9">
        <f t="shared" si="75"/>
        <v>1</v>
      </c>
      <c r="ET7" s="9">
        <f t="shared" si="76"/>
        <v>1</v>
      </c>
      <c r="EU7" s="9">
        <f>IF(SUM(Data[[#This Row],[¿El agente mantiene respeto y cordialidad en toda la interacción?33]:[¿El agente utiliza un lenguaje adecuado y profesional?34]])=200%,100%,0%)</f>
        <v>1</v>
      </c>
      <c r="EV7" s="9">
        <f t="shared" si="77"/>
        <v>1</v>
      </c>
      <c r="EW7" s="9">
        <f t="shared" si="78"/>
        <v>1</v>
      </c>
      <c r="EX7" s="9">
        <f t="shared" si="79"/>
        <v>1</v>
      </c>
      <c r="EY7" s="9">
        <f t="shared" si="80"/>
        <v>1</v>
      </c>
      <c r="EZ7" s="9">
        <f t="shared" si="81"/>
        <v>1</v>
      </c>
      <c r="FA7" s="9">
        <f t="shared" si="82"/>
        <v>1</v>
      </c>
      <c r="FB7" s="9">
        <f>IF(SUM(Data[[#This Row],[¿El agente verifica correctamente la cobertura?35]:[¿El agente agenda citas o gestiones cuando es necesario?41]])=600%,100%,0%)</f>
        <v>1</v>
      </c>
      <c r="FC7" s="9">
        <f t="shared" si="153"/>
        <v>1</v>
      </c>
      <c r="FD7" s="9">
        <f t="shared" si="83"/>
        <v>1</v>
      </c>
      <c r="FE7" s="9">
        <f t="shared" si="84"/>
        <v>0</v>
      </c>
      <c r="FF7" s="9">
        <f t="shared" si="85"/>
        <v>1</v>
      </c>
      <c r="FG7" s="9">
        <f t="shared" si="86"/>
        <v>1</v>
      </c>
      <c r="FH7" s="9">
        <f t="shared" si="87"/>
        <v>1</v>
      </c>
      <c r="FI7" s="9">
        <f t="shared" si="88"/>
        <v>1</v>
      </c>
      <c r="FJ7" s="9">
        <f>IF(SUM(Data[[#This Row],[¿El agente ofrece adecuadamente un producto adicional?42]:[¿El agente maneja correctamente las objeciones del cliente?47]])=600%,100%,)</f>
        <v>0</v>
      </c>
      <c r="FK7" s="9">
        <f t="shared" si="89"/>
        <v>1</v>
      </c>
      <c r="FL7" s="9">
        <f>+Data[[#This Row],[¿El agente gestiona la oferta según la campaña vigente?48]]</f>
        <v>1</v>
      </c>
      <c r="FM7" s="9">
        <f t="shared" si="90"/>
        <v>1</v>
      </c>
      <c r="FN7" s="9">
        <f t="shared" si="91"/>
        <v>1</v>
      </c>
      <c r="FO7" s="9">
        <f t="shared" si="92"/>
        <v>1</v>
      </c>
      <c r="FP7" s="9">
        <f>IF(SUM(Data[[#This Row],[¿El agente solicita coordenadas cuando es necesario?49]:[¿El agente maneja adecuadamente llamadas en conferencia?51]])=300%,100%,)</f>
        <v>1</v>
      </c>
      <c r="FQ7" s="9">
        <f t="shared" si="93"/>
        <v>1</v>
      </c>
      <c r="FR7" s="9">
        <f>+Data[[#This Row],[¿El agente registra correctamente todas las interacciones?52]]</f>
        <v>1</v>
      </c>
      <c r="FS7" s="9">
        <f t="shared" si="154"/>
        <v>0</v>
      </c>
      <c r="FT7" s="238">
        <f t="shared" si="155"/>
        <v>1</v>
      </c>
      <c r="FU7" s="9">
        <f>+Data[[#This Row],[¿El agente confirma la titularidad del cliente adecuadamente?53]]</f>
        <v>1</v>
      </c>
      <c r="FV7" s="238">
        <f t="shared" si="94"/>
        <v>1</v>
      </c>
      <c r="FW7" s="238">
        <f t="shared" si="95"/>
        <v>1</v>
      </c>
      <c r="FX7" s="9">
        <f>IF(SUM(Data[[#This Row],[¿El agente evita la omisión de alertas importantes?54]]:Data[[#This Row],[¿El agente mantiene conducta ética durante la interacción?55]])=200%,100%,)</f>
        <v>1</v>
      </c>
      <c r="FY7" s="238">
        <f t="shared" si="96"/>
        <v>1</v>
      </c>
      <c r="FZ7" s="9">
        <f>+Data[[#This Row],[¿El agente evita compartir información sensible?56]]</f>
        <v>1</v>
      </c>
      <c r="GA7" s="9">
        <f t="shared" si="156"/>
        <v>1</v>
      </c>
      <c r="GB7" s="239">
        <f t="shared" si="97"/>
        <v>0.1</v>
      </c>
      <c r="GC7" s="239">
        <f t="shared" si="98"/>
        <v>0.3</v>
      </c>
      <c r="GD7" s="240">
        <f t="shared" si="99"/>
        <v>0</v>
      </c>
      <c r="GE7" s="240">
        <f t="shared" si="100"/>
        <v>0.3</v>
      </c>
      <c r="GF7" s="9">
        <f>SUM(Data[[#This Row],[PESO PENC]:[PESO PECCUM]])</f>
        <v>0.7</v>
      </c>
      <c r="GG7" s="238">
        <f>1</f>
        <v>1</v>
      </c>
      <c r="GH7" s="238">
        <f t="shared" si="101"/>
        <v>1</v>
      </c>
      <c r="GI7" t="str">
        <f t="shared" si="102"/>
        <v/>
      </c>
      <c r="GJ7" t="str">
        <f t="shared" si="103"/>
        <v/>
      </c>
      <c r="GK7" t="str">
        <f t="shared" si="104"/>
        <v/>
      </c>
      <c r="GN7" t="str">
        <f t="shared" si="105"/>
        <v/>
      </c>
      <c r="GO7" t="str">
        <f t="shared" si="106"/>
        <v/>
      </c>
      <c r="GP7" t="str">
        <f t="shared" si="107"/>
        <v/>
      </c>
      <c r="GQ7" t="str">
        <f t="shared" si="108"/>
        <v/>
      </c>
      <c r="GR7" t="str">
        <f t="shared" si="109"/>
        <v/>
      </c>
      <c r="GS7" t="str">
        <f t="shared" si="110"/>
        <v/>
      </c>
      <c r="GT7" t="str">
        <f t="shared" si="111"/>
        <v/>
      </c>
      <c r="GU7" t="e">
        <f>IF(#REF!="No",#REF!,"")</f>
        <v>#REF!</v>
      </c>
      <c r="GV7" t="str">
        <f t="shared" si="112"/>
        <v/>
      </c>
      <c r="GW7" t="str">
        <f t="shared" si="113"/>
        <v/>
      </c>
      <c r="GX7" t="str">
        <f t="shared" si="114"/>
        <v/>
      </c>
      <c r="GY7" t="str">
        <f t="shared" si="115"/>
        <v/>
      </c>
      <c r="GZ7" t="str">
        <f t="shared" si="116"/>
        <v/>
      </c>
      <c r="HA7" t="str">
        <f t="shared" si="117"/>
        <v/>
      </c>
      <c r="HB7" t="str">
        <f t="shared" si="118"/>
        <v/>
      </c>
      <c r="HC7" t="str">
        <f t="shared" si="119"/>
        <v/>
      </c>
      <c r="HD7" t="str">
        <f t="shared" si="120"/>
        <v/>
      </c>
      <c r="HE7" t="str">
        <f t="shared" si="121"/>
        <v/>
      </c>
      <c r="HF7" t="str">
        <f t="shared" si="122"/>
        <v/>
      </c>
      <c r="HG7" t="str">
        <f t="shared" si="123"/>
        <v/>
      </c>
      <c r="HH7" t="str">
        <f t="shared" si="124"/>
        <v/>
      </c>
      <c r="HI7" t="str">
        <f t="shared" si="125"/>
        <v/>
      </c>
      <c r="HJ7" t="str">
        <f t="shared" si="126"/>
        <v/>
      </c>
      <c r="HK7" t="str">
        <f t="shared" si="127"/>
        <v/>
      </c>
      <c r="HL7" t="str">
        <f t="shared" si="128"/>
        <v/>
      </c>
      <c r="HM7" t="str">
        <f t="shared" si="129"/>
        <v/>
      </c>
      <c r="HN7" t="str">
        <f t="shared" si="130"/>
        <v/>
      </c>
      <c r="HO7" t="str">
        <f t="shared" si="131"/>
        <v/>
      </c>
      <c r="HP7" t="str">
        <f t="shared" si="132"/>
        <v/>
      </c>
      <c r="HQ7" t="str">
        <f t="shared" si="133"/>
        <v/>
      </c>
      <c r="HR7" t="e">
        <f>IF(#REF!="No",#REF!,"")</f>
        <v>#REF!</v>
      </c>
      <c r="HS7" t="str">
        <f t="shared" si="134"/>
        <v/>
      </c>
      <c r="HT7" t="str">
        <f t="shared" si="135"/>
        <v xml:space="preserve">¿El agente realiza venta cruzada cuando corresponde? </v>
      </c>
      <c r="HU7" t="str">
        <f t="shared" si="136"/>
        <v/>
      </c>
      <c r="HV7" t="str">
        <f t="shared" si="137"/>
        <v/>
      </c>
      <c r="HW7" t="str">
        <f t="shared" si="138"/>
        <v/>
      </c>
      <c r="HX7" t="str">
        <f t="shared" si="139"/>
        <v/>
      </c>
      <c r="HY7" t="str">
        <f t="shared" si="140"/>
        <v/>
      </c>
      <c r="HZ7" t="str">
        <f t="shared" si="141"/>
        <v/>
      </c>
      <c r="IA7" t="str">
        <f t="shared" si="142"/>
        <v/>
      </c>
      <c r="IB7" t="str">
        <f t="shared" si="143"/>
        <v/>
      </c>
      <c r="IC7" t="str">
        <f t="shared" si="144"/>
        <v/>
      </c>
      <c r="ID7" s="238" t="str">
        <f t="shared" si="145"/>
        <v/>
      </c>
      <c r="IE7" s="238" t="str">
        <f t="shared" si="146"/>
        <v/>
      </c>
      <c r="IF7" s="238" t="str">
        <f t="shared" si="147"/>
        <v/>
      </c>
      <c r="IG7" s="238" t="str">
        <f t="shared" si="148"/>
        <v/>
      </c>
      <c r="IH7" s="241" t="str">
        <f>A7&amp;" "&amp;F7&amp;" "&amp;Data[[#This Row],[mes]]</f>
        <v>Evelyn Torres Outbound jun-26</v>
      </c>
      <c r="II7" s="244">
        <f>COUNTIF($IH7:$IH40,IH7)</f>
        <v>3</v>
      </c>
      <c r="IJ7" s="241">
        <f>IF(COUNTIF($IH$4:IH7,IH7)=1,1,0)</f>
        <v>1</v>
      </c>
      <c r="IK7" s="244">
        <f>IF(Data[[#This Row],[Muestra Critica]]&gt;0,Data[[#This Row],[Muestra Critica]],"")</f>
        <v>1</v>
      </c>
      <c r="IL7" s="238">
        <f>IF(IK7="","",COUNTIF($IK$4:$IK39,IK7))</f>
        <v>26</v>
      </c>
      <c r="IM7">
        <f t="shared" si="149"/>
        <v>0</v>
      </c>
      <c r="IN7" s="241" t="str">
        <f t="shared" si="150"/>
        <v>jun-26</v>
      </c>
      <c r="IO7" s="241"/>
      <c r="IP7" s="241"/>
      <c r="IQ7" s="241"/>
      <c r="IR7" s="241"/>
      <c r="IS7" s="241">
        <f>IFERROR(_xlfn.XLOOKUP(A:A,HC!B:B,HC!E:E,,0),0)</f>
        <v>0</v>
      </c>
    </row>
    <row r="8" spans="1:253" ht="15.5" x14ac:dyDescent="0.35">
      <c r="A8" s="232" t="s">
        <v>417</v>
      </c>
      <c r="B8" s="232">
        <v>67398612</v>
      </c>
      <c r="C8" s="242">
        <v>46192</v>
      </c>
      <c r="D8" s="232" t="s">
        <v>406</v>
      </c>
      <c r="E8" s="232" t="s">
        <v>398</v>
      </c>
      <c r="F8" s="232" t="s">
        <v>32</v>
      </c>
      <c r="G8" s="232" t="s">
        <v>402</v>
      </c>
      <c r="H8" s="232" t="s">
        <v>420</v>
      </c>
      <c r="I8" s="233" t="s">
        <v>412</v>
      </c>
      <c r="J8" s="234" t="s">
        <v>33</v>
      </c>
      <c r="K8" s="234" t="s">
        <v>33</v>
      </c>
      <c r="L8" s="234" t="s">
        <v>33</v>
      </c>
      <c r="M8" s="234" t="s">
        <v>33</v>
      </c>
      <c r="N8" s="234" t="s">
        <v>33</v>
      </c>
      <c r="O8" s="234" t="s">
        <v>33</v>
      </c>
      <c r="P8" s="234" t="s">
        <v>33</v>
      </c>
      <c r="Q8" s="234" t="s">
        <v>33</v>
      </c>
      <c r="R8" s="234" t="s">
        <v>33</v>
      </c>
      <c r="S8" s="234" t="s">
        <v>33</v>
      </c>
      <c r="T8" s="234" t="s">
        <v>33</v>
      </c>
      <c r="U8" s="234" t="s">
        <v>33</v>
      </c>
      <c r="V8" s="235" t="s">
        <v>33</v>
      </c>
      <c r="W8" s="235" t="s">
        <v>33</v>
      </c>
      <c r="X8" s="235" t="s">
        <v>33</v>
      </c>
      <c r="Y8" s="235" t="s">
        <v>33</v>
      </c>
      <c r="Z8" s="235" t="s">
        <v>33</v>
      </c>
      <c r="AA8" s="235" t="s">
        <v>33</v>
      </c>
      <c r="AB8" s="235" t="s">
        <v>33</v>
      </c>
      <c r="AC8" s="235" t="s">
        <v>33</v>
      </c>
      <c r="AD8" s="235" t="s">
        <v>33</v>
      </c>
      <c r="AE8" s="235" t="s">
        <v>33</v>
      </c>
      <c r="AF8" s="235" t="s">
        <v>33</v>
      </c>
      <c r="AG8" s="235" t="s">
        <v>33</v>
      </c>
      <c r="AH8" s="235" t="s">
        <v>33</v>
      </c>
      <c r="AI8" s="235" t="s">
        <v>33</v>
      </c>
      <c r="AJ8" s="235" t="s">
        <v>33</v>
      </c>
      <c r="AK8" s="235" t="s">
        <v>33</v>
      </c>
      <c r="AL8" s="235" t="s">
        <v>33</v>
      </c>
      <c r="AM8" s="235" t="s">
        <v>33</v>
      </c>
      <c r="AN8" s="235" t="s">
        <v>33</v>
      </c>
      <c r="AO8" s="235" t="s">
        <v>33</v>
      </c>
      <c r="AP8" s="235" t="s">
        <v>33</v>
      </c>
      <c r="AQ8" s="235" t="s">
        <v>33</v>
      </c>
      <c r="AR8" s="235" t="s">
        <v>33</v>
      </c>
      <c r="AS8" s="235" t="s">
        <v>34</v>
      </c>
      <c r="AT8" s="235" t="s">
        <v>33</v>
      </c>
      <c r="AU8" s="235" t="s">
        <v>33</v>
      </c>
      <c r="AV8" s="235" t="s">
        <v>33</v>
      </c>
      <c r="AW8" s="235" t="s">
        <v>33</v>
      </c>
      <c r="AX8" s="235" t="s">
        <v>33</v>
      </c>
      <c r="AY8" s="235" t="s">
        <v>33</v>
      </c>
      <c r="AZ8" s="235" t="s">
        <v>33</v>
      </c>
      <c r="BA8" s="235" t="s">
        <v>33</v>
      </c>
      <c r="BB8" s="235" t="s">
        <v>33</v>
      </c>
      <c r="BC8" s="236" t="s">
        <v>33</v>
      </c>
      <c r="BD8" s="236" t="s">
        <v>33</v>
      </c>
      <c r="BE8" s="236" t="s">
        <v>33</v>
      </c>
      <c r="BF8" s="237" t="s">
        <v>33</v>
      </c>
      <c r="BG8" s="241"/>
      <c r="BH8" s="245" t="str">
        <f>Data[[#This Row],[Tipo de Muestra]]</f>
        <v>Critica</v>
      </c>
      <c r="BI8" s="241"/>
      <c r="BJ8" s="241"/>
      <c r="BK8">
        <f t="shared" si="0"/>
        <v>1</v>
      </c>
      <c r="BL8">
        <f t="shared" si="1"/>
        <v>1</v>
      </c>
      <c r="BM8">
        <f t="shared" si="2"/>
        <v>1</v>
      </c>
      <c r="BN8">
        <f t="shared" si="3"/>
        <v>1</v>
      </c>
      <c r="BO8">
        <f t="shared" si="4"/>
        <v>1</v>
      </c>
      <c r="BP8">
        <f t="shared" si="5"/>
        <v>1</v>
      </c>
      <c r="BQ8">
        <f t="shared" si="6"/>
        <v>1</v>
      </c>
      <c r="BR8">
        <f t="shared" si="7"/>
        <v>1</v>
      </c>
      <c r="BS8">
        <f t="shared" si="8"/>
        <v>1</v>
      </c>
      <c r="BT8">
        <f t="shared" si="9"/>
        <v>1</v>
      </c>
      <c r="BU8">
        <f t="shared" si="10"/>
        <v>1</v>
      </c>
      <c r="BV8">
        <f t="shared" si="11"/>
        <v>1</v>
      </c>
      <c r="BW8">
        <f t="shared" si="12"/>
        <v>1</v>
      </c>
      <c r="BX8">
        <f t="shared" si="13"/>
        <v>1</v>
      </c>
      <c r="BY8">
        <f t="shared" si="14"/>
        <v>0</v>
      </c>
      <c r="BZ8">
        <f t="shared" si="15"/>
        <v>0</v>
      </c>
      <c r="CA8">
        <f t="shared" si="16"/>
        <v>0</v>
      </c>
      <c r="CB8">
        <f t="shared" si="17"/>
        <v>0</v>
      </c>
      <c r="CC8">
        <f t="shared" si="18"/>
        <v>0</v>
      </c>
      <c r="CD8">
        <f t="shared" si="19"/>
        <v>0</v>
      </c>
      <c r="CE8">
        <f t="shared" si="20"/>
        <v>0</v>
      </c>
      <c r="CF8">
        <f t="shared" si="21"/>
        <v>0</v>
      </c>
      <c r="CG8">
        <f t="shared" si="22"/>
        <v>0</v>
      </c>
      <c r="CH8">
        <f t="shared" si="23"/>
        <v>0</v>
      </c>
      <c r="CI8">
        <f t="shared" si="24"/>
        <v>0</v>
      </c>
      <c r="CJ8">
        <f t="shared" si="25"/>
        <v>0</v>
      </c>
      <c r="CK8">
        <f t="shared" si="26"/>
        <v>0</v>
      </c>
      <c r="CL8">
        <f t="shared" si="27"/>
        <v>0</v>
      </c>
      <c r="CM8">
        <f t="shared" si="28"/>
        <v>0</v>
      </c>
      <c r="CN8">
        <f t="shared" si="29"/>
        <v>0</v>
      </c>
      <c r="CO8">
        <f t="shared" si="30"/>
        <v>0</v>
      </c>
      <c r="CP8">
        <f t="shared" si="31"/>
        <v>0</v>
      </c>
      <c r="CQ8">
        <f t="shared" si="32"/>
        <v>0</v>
      </c>
      <c r="CR8">
        <f t="shared" si="33"/>
        <v>0</v>
      </c>
      <c r="CS8">
        <f t="shared" si="34"/>
        <v>0</v>
      </c>
      <c r="CT8">
        <f t="shared" si="35"/>
        <v>0</v>
      </c>
      <c r="CU8">
        <f t="shared" si="36"/>
        <v>0</v>
      </c>
      <c r="CV8">
        <f t="shared" si="37"/>
        <v>0</v>
      </c>
      <c r="CW8">
        <f t="shared" si="38"/>
        <v>0</v>
      </c>
      <c r="CX8">
        <f t="shared" si="39"/>
        <v>0</v>
      </c>
      <c r="CY8">
        <f t="shared" si="40"/>
        <v>0</v>
      </c>
      <c r="CZ8">
        <f t="shared" si="41"/>
        <v>0</v>
      </c>
      <c r="DA8">
        <f t="shared" si="42"/>
        <v>0</v>
      </c>
      <c r="DB8">
        <f t="shared" si="43"/>
        <v>0</v>
      </c>
      <c r="DC8">
        <f t="shared" si="44"/>
        <v>0</v>
      </c>
      <c r="DD8" s="238">
        <f t="shared" si="45"/>
        <v>0</v>
      </c>
      <c r="DE8" s="238">
        <f t="shared" si="46"/>
        <v>0</v>
      </c>
      <c r="DF8" s="238">
        <f t="shared" si="47"/>
        <v>0</v>
      </c>
      <c r="DG8" s="238">
        <f t="shared" si="48"/>
        <v>1</v>
      </c>
      <c r="DH8" s="9">
        <f t="shared" si="49"/>
        <v>0.15</v>
      </c>
      <c r="DI8" s="9">
        <f t="shared" si="50"/>
        <v>0.15</v>
      </c>
      <c r="DJ8" s="9">
        <f t="shared" si="51"/>
        <v>0.15</v>
      </c>
      <c r="DK8" s="9">
        <f>IF(MIN(Data[[#This Row],[¿El agente cumple con la identificación formal y profesional?3]:[¿El agente realiza despedida corporativa?5]])=0,0,15%)</f>
        <v>0.15</v>
      </c>
      <c r="DL8" s="9">
        <f t="shared" si="52"/>
        <v>0.3</v>
      </c>
      <c r="DM8" s="9">
        <f t="shared" si="53"/>
        <v>0.3</v>
      </c>
      <c r="DN8" s="9">
        <f t="shared" si="54"/>
        <v>0.3</v>
      </c>
      <c r="DO8" s="9">
        <f t="shared" si="55"/>
        <v>0.3</v>
      </c>
      <c r="DP8" s="9">
        <f>IF(MIN(Data[[#This Row],[¿El agente demuestra escucha activa durante la gestión?6]:[¿El agente parafrasea para confirmar entendimiento?9]])=0,0,30%)</f>
        <v>0.3</v>
      </c>
      <c r="DQ8" s="9">
        <f t="shared" si="56"/>
        <v>0.3</v>
      </c>
      <c r="DR8" s="9">
        <f t="shared" si="57"/>
        <v>0.3</v>
      </c>
      <c r="DS8" s="9">
        <f t="shared" si="58"/>
        <v>0.3</v>
      </c>
      <c r="DT8" s="9">
        <f t="shared" si="59"/>
        <v>0.3</v>
      </c>
      <c r="DU8" s="239">
        <f>IF(MIN(Data[[#This Row],[¿El agente adapta su comunicación al cliente?11]:[¿El agente utiliza el plural corporativo correctamente?14]])=0,0,30%)</f>
        <v>0.3</v>
      </c>
      <c r="DV8" s="9">
        <f t="shared" si="60"/>
        <v>0.25</v>
      </c>
      <c r="DW8" s="9">
        <f t="shared" si="151"/>
        <v>0.25</v>
      </c>
      <c r="DX8" s="9">
        <f t="shared" si="152"/>
        <v>1</v>
      </c>
      <c r="DY8" s="9">
        <f t="shared" si="61"/>
        <v>1</v>
      </c>
      <c r="DZ8" s="9">
        <f t="shared" si="62"/>
        <v>1</v>
      </c>
      <c r="EA8" s="9">
        <f t="shared" si="63"/>
        <v>1</v>
      </c>
      <c r="EB8" s="9">
        <f t="shared" si="64"/>
        <v>1</v>
      </c>
      <c r="EC8" s="9">
        <f>IF(SUM(Data[[#This Row],[¿El agente informa correctamente sobre los centros de pago?19]:[¿El agente explica el ciclo de facturación adecuadamente?22]])=400%,100%,0%)</f>
        <v>1</v>
      </c>
      <c r="ED8" s="9">
        <f t="shared" si="65"/>
        <v>1</v>
      </c>
      <c r="EE8" s="9">
        <f t="shared" si="66"/>
        <v>1</v>
      </c>
      <c r="EF8" s="9">
        <f>IF(SUM(Data[[#This Row],[¿El agente presenta correctamente los beneficios del producto?23]:[¿El agente comunica beneficios emocionales al cliente?24]])=200%,100%,0%)</f>
        <v>1</v>
      </c>
      <c r="EG8" s="9">
        <f t="shared" si="67"/>
        <v>1</v>
      </c>
      <c r="EH8" s="9">
        <f t="shared" si="68"/>
        <v>1</v>
      </c>
      <c r="EI8" s="9">
        <f t="shared" si="69"/>
        <v>1</v>
      </c>
      <c r="EJ8" s="9">
        <f>IF(SUM(Data[[#This Row],[¿El agente realiza un resumen comercial adecuado?25]:[¿El agente formaliza correctamente el acuerdo de venta?27]])=300%,100%,0%)</f>
        <v>1</v>
      </c>
      <c r="EK8" s="9">
        <f t="shared" si="70"/>
        <v>1</v>
      </c>
      <c r="EL8" s="9">
        <f>+Data[[#This Row],[¿El agente explica los términos y condiciones del servicio?28]]</f>
        <v>1</v>
      </c>
      <c r="EM8" s="9">
        <f t="shared" si="71"/>
        <v>1</v>
      </c>
      <c r="EN8" s="9">
        <f>+Data[[#This Row],[¿El agente identifica correctamente la solicitud del cliente?29]]</f>
        <v>1</v>
      </c>
      <c r="EO8" s="9">
        <f t="shared" si="72"/>
        <v>1</v>
      </c>
      <c r="EP8" s="9">
        <f t="shared" si="73"/>
        <v>1</v>
      </c>
      <c r="EQ8" s="9">
        <f t="shared" si="74"/>
        <v>1</v>
      </c>
      <c r="ER8" s="9">
        <f>IF(SUM(Data[[#This Row],[¿El agente evita activar un servicio diferente al solicitado?30]:[¿El agente configura adecuadamente el producto contratado?32]])=300%,100%,0%)</f>
        <v>1</v>
      </c>
      <c r="ES8" s="9">
        <f t="shared" si="75"/>
        <v>1</v>
      </c>
      <c r="ET8" s="9">
        <f t="shared" si="76"/>
        <v>1</v>
      </c>
      <c r="EU8" s="9">
        <f>IF(SUM(Data[[#This Row],[¿El agente mantiene respeto y cordialidad en toda la interacción?33]:[¿El agente utiliza un lenguaje adecuado y profesional?34]])=200%,100%,0%)</f>
        <v>1</v>
      </c>
      <c r="EV8" s="9">
        <f t="shared" si="77"/>
        <v>1</v>
      </c>
      <c r="EW8" s="9">
        <f t="shared" si="78"/>
        <v>1</v>
      </c>
      <c r="EX8" s="9">
        <f t="shared" si="79"/>
        <v>1</v>
      </c>
      <c r="EY8" s="9">
        <f t="shared" si="80"/>
        <v>1</v>
      </c>
      <c r="EZ8" s="9">
        <f t="shared" si="81"/>
        <v>1</v>
      </c>
      <c r="FA8" s="9">
        <f t="shared" si="82"/>
        <v>1</v>
      </c>
      <c r="FB8" s="9">
        <f>IF(SUM(Data[[#This Row],[¿El agente verifica correctamente la cobertura?35]:[¿El agente agenda citas o gestiones cuando es necesario?41]])=600%,100%,0%)</f>
        <v>1</v>
      </c>
      <c r="FC8" s="9">
        <f t="shared" si="153"/>
        <v>1</v>
      </c>
      <c r="FD8" s="9">
        <f t="shared" si="83"/>
        <v>1</v>
      </c>
      <c r="FE8" s="9">
        <f t="shared" si="84"/>
        <v>0</v>
      </c>
      <c r="FF8" s="9">
        <f t="shared" si="85"/>
        <v>1</v>
      </c>
      <c r="FG8" s="9">
        <f t="shared" si="86"/>
        <v>1</v>
      </c>
      <c r="FH8" s="9">
        <f t="shared" si="87"/>
        <v>1</v>
      </c>
      <c r="FI8" s="9">
        <f t="shared" si="88"/>
        <v>1</v>
      </c>
      <c r="FJ8" s="9">
        <f>IF(SUM(Data[[#This Row],[¿El agente ofrece adecuadamente un producto adicional?42]:[¿El agente maneja correctamente las objeciones del cliente?47]])=600%,100%,)</f>
        <v>0</v>
      </c>
      <c r="FK8" s="9">
        <f t="shared" si="89"/>
        <v>1</v>
      </c>
      <c r="FL8" s="9">
        <f>+Data[[#This Row],[¿El agente gestiona la oferta según la campaña vigente?48]]</f>
        <v>1</v>
      </c>
      <c r="FM8" s="9">
        <f t="shared" si="90"/>
        <v>1</v>
      </c>
      <c r="FN8" s="9">
        <f t="shared" si="91"/>
        <v>1</v>
      </c>
      <c r="FO8" s="9">
        <f t="shared" si="92"/>
        <v>1</v>
      </c>
      <c r="FP8" s="9">
        <f>IF(SUM(Data[[#This Row],[¿El agente solicita coordenadas cuando es necesario?49]:[¿El agente maneja adecuadamente llamadas en conferencia?51]])=300%,100%,)</f>
        <v>1</v>
      </c>
      <c r="FQ8" s="9">
        <f t="shared" si="93"/>
        <v>1</v>
      </c>
      <c r="FR8" s="9">
        <f>+Data[[#This Row],[¿El agente registra correctamente todas las interacciones?52]]</f>
        <v>1</v>
      </c>
      <c r="FS8" s="9">
        <f t="shared" si="154"/>
        <v>0</v>
      </c>
      <c r="FT8" s="238">
        <f t="shared" si="155"/>
        <v>1</v>
      </c>
      <c r="FU8" s="9">
        <f>+Data[[#This Row],[¿El agente confirma la titularidad del cliente adecuadamente?53]]</f>
        <v>1</v>
      </c>
      <c r="FV8" s="238">
        <f t="shared" si="94"/>
        <v>1</v>
      </c>
      <c r="FW8" s="238">
        <f t="shared" si="95"/>
        <v>1</v>
      </c>
      <c r="FX8" s="9">
        <f>IF(SUM(Data[[#This Row],[¿El agente evita la omisión de alertas importantes?54]]:Data[[#This Row],[¿El agente mantiene conducta ética durante la interacción?55]])=200%,100%,)</f>
        <v>1</v>
      </c>
      <c r="FY8" s="238">
        <f t="shared" si="96"/>
        <v>1</v>
      </c>
      <c r="FZ8" s="9">
        <f>+Data[[#This Row],[¿El agente evita compartir información sensible?56]]</f>
        <v>1</v>
      </c>
      <c r="GA8" s="9">
        <f t="shared" si="156"/>
        <v>1</v>
      </c>
      <c r="GB8" s="239">
        <f t="shared" si="97"/>
        <v>0.1</v>
      </c>
      <c r="GC8" s="239">
        <f t="shared" si="98"/>
        <v>0.3</v>
      </c>
      <c r="GD8" s="240">
        <f t="shared" si="99"/>
        <v>0</v>
      </c>
      <c r="GE8" s="240">
        <f t="shared" si="100"/>
        <v>0.3</v>
      </c>
      <c r="GF8" s="9">
        <f>SUM(Data[[#This Row],[PESO PENC]:[PESO PECCUM]])</f>
        <v>0.7</v>
      </c>
      <c r="GG8" s="238">
        <f>1</f>
        <v>1</v>
      </c>
      <c r="GH8" s="238">
        <f t="shared" si="101"/>
        <v>1</v>
      </c>
      <c r="GI8" t="str">
        <f t="shared" si="102"/>
        <v/>
      </c>
      <c r="GJ8" t="str">
        <f t="shared" si="103"/>
        <v/>
      </c>
      <c r="GK8" t="str">
        <f t="shared" si="104"/>
        <v/>
      </c>
      <c r="GN8" t="str">
        <f t="shared" si="105"/>
        <v/>
      </c>
      <c r="GO8" t="str">
        <f t="shared" si="106"/>
        <v/>
      </c>
      <c r="GP8" t="str">
        <f t="shared" si="107"/>
        <v/>
      </c>
      <c r="GQ8" t="str">
        <f t="shared" si="108"/>
        <v/>
      </c>
      <c r="GR8" t="str">
        <f t="shared" si="109"/>
        <v/>
      </c>
      <c r="GS8" t="str">
        <f t="shared" si="110"/>
        <v/>
      </c>
      <c r="GT8" t="str">
        <f t="shared" si="111"/>
        <v/>
      </c>
      <c r="GU8" t="e">
        <f>IF(#REF!="No",#REF!,"")</f>
        <v>#REF!</v>
      </c>
      <c r="GV8" t="str">
        <f t="shared" si="112"/>
        <v/>
      </c>
      <c r="GW8" t="str">
        <f t="shared" si="113"/>
        <v/>
      </c>
      <c r="GX8" t="str">
        <f t="shared" si="114"/>
        <v/>
      </c>
      <c r="GY8" t="str">
        <f t="shared" si="115"/>
        <v/>
      </c>
      <c r="GZ8" t="str">
        <f t="shared" si="116"/>
        <v/>
      </c>
      <c r="HA8" t="str">
        <f t="shared" si="117"/>
        <v/>
      </c>
      <c r="HB8" t="str">
        <f t="shared" si="118"/>
        <v/>
      </c>
      <c r="HC8" t="str">
        <f t="shared" si="119"/>
        <v/>
      </c>
      <c r="HD8" t="str">
        <f t="shared" si="120"/>
        <v/>
      </c>
      <c r="HE8" t="str">
        <f t="shared" si="121"/>
        <v/>
      </c>
      <c r="HF8" t="str">
        <f t="shared" si="122"/>
        <v/>
      </c>
      <c r="HG8" t="str">
        <f t="shared" si="123"/>
        <v/>
      </c>
      <c r="HH8" t="str">
        <f t="shared" si="124"/>
        <v/>
      </c>
      <c r="HI8" t="str">
        <f t="shared" si="125"/>
        <v/>
      </c>
      <c r="HJ8" t="str">
        <f t="shared" si="126"/>
        <v/>
      </c>
      <c r="HK8" t="str">
        <f t="shared" si="127"/>
        <v/>
      </c>
      <c r="HL8" t="str">
        <f t="shared" si="128"/>
        <v/>
      </c>
      <c r="HM8" t="str">
        <f t="shared" si="129"/>
        <v/>
      </c>
      <c r="HN8" t="str">
        <f t="shared" si="130"/>
        <v/>
      </c>
      <c r="HO8" t="str">
        <f t="shared" si="131"/>
        <v/>
      </c>
      <c r="HP8" t="str">
        <f t="shared" si="132"/>
        <v/>
      </c>
      <c r="HQ8" t="str">
        <f t="shared" si="133"/>
        <v/>
      </c>
      <c r="HR8" t="e">
        <f>IF(#REF!="No",#REF!,"")</f>
        <v>#REF!</v>
      </c>
      <c r="HS8" t="str">
        <f t="shared" si="134"/>
        <v/>
      </c>
      <c r="HT8" t="str">
        <f t="shared" si="135"/>
        <v xml:space="preserve">¿El agente realiza venta cruzada cuando corresponde? </v>
      </c>
      <c r="HU8" t="str">
        <f t="shared" si="136"/>
        <v/>
      </c>
      <c r="HV8" t="str">
        <f t="shared" si="137"/>
        <v/>
      </c>
      <c r="HW8" t="str">
        <f t="shared" si="138"/>
        <v/>
      </c>
      <c r="HX8" t="str">
        <f t="shared" si="139"/>
        <v/>
      </c>
      <c r="HY8" t="str">
        <f t="shared" si="140"/>
        <v/>
      </c>
      <c r="HZ8" t="str">
        <f t="shared" si="141"/>
        <v/>
      </c>
      <c r="IA8" t="str">
        <f t="shared" si="142"/>
        <v/>
      </c>
      <c r="IB8" t="str">
        <f t="shared" si="143"/>
        <v/>
      </c>
      <c r="IC8" t="str">
        <f t="shared" si="144"/>
        <v/>
      </c>
      <c r="ID8" s="238" t="str">
        <f t="shared" si="145"/>
        <v/>
      </c>
      <c r="IE8" s="238" t="str">
        <f t="shared" si="146"/>
        <v/>
      </c>
      <c r="IF8" s="238" t="str">
        <f t="shared" si="147"/>
        <v/>
      </c>
      <c r="IG8" s="238" t="str">
        <f t="shared" si="148"/>
        <v/>
      </c>
      <c r="IH8" s="241" t="str">
        <f>A8&amp;" "&amp;F8&amp;" "&amp;Data[[#This Row],[mes]]</f>
        <v>Astrid Carolina Camaño Outbound jun-26</v>
      </c>
      <c r="II8" s="244">
        <f>COUNTIF($IH8:$IH41,IH8)</f>
        <v>3</v>
      </c>
      <c r="IJ8" s="241">
        <f>IF(COUNTIF($IH$4:IH8,IH8)=1,1,0)</f>
        <v>1</v>
      </c>
      <c r="IK8" s="244">
        <f>IF(Data[[#This Row],[Muestra Critica]]&gt;0,Data[[#This Row],[Muestra Critica]],"")</f>
        <v>1</v>
      </c>
      <c r="IL8" s="238">
        <f>IF(IK8="","",COUNTIF($IK$4:$IK40,IK8))</f>
        <v>26</v>
      </c>
      <c r="IM8">
        <f t="shared" si="149"/>
        <v>0</v>
      </c>
      <c r="IN8" s="241" t="str">
        <f t="shared" si="150"/>
        <v>jun-26</v>
      </c>
      <c r="IO8" s="241"/>
      <c r="IP8" s="241"/>
      <c r="IQ8" s="241"/>
      <c r="IR8" s="241"/>
      <c r="IS8" s="241">
        <f>IFERROR(_xlfn.XLOOKUP(A:A,HC!B:B,HC!E:E,,0),0)</f>
        <v>0</v>
      </c>
    </row>
    <row r="9" spans="1:253" ht="15.5" x14ac:dyDescent="0.35">
      <c r="A9" s="232" t="s">
        <v>422</v>
      </c>
      <c r="B9" s="232">
        <v>63760517</v>
      </c>
      <c r="C9" s="242">
        <v>46192</v>
      </c>
      <c r="D9" s="232" t="s">
        <v>406</v>
      </c>
      <c r="E9" s="232" t="s">
        <v>397</v>
      </c>
      <c r="F9" s="232" t="s">
        <v>32</v>
      </c>
      <c r="G9" s="232" t="s">
        <v>402</v>
      </c>
      <c r="H9" s="232" t="s">
        <v>420</v>
      </c>
      <c r="I9" s="233" t="s">
        <v>412</v>
      </c>
      <c r="J9" s="234" t="s">
        <v>33</v>
      </c>
      <c r="K9" s="234" t="s">
        <v>33</v>
      </c>
      <c r="L9" s="234" t="s">
        <v>33</v>
      </c>
      <c r="M9" s="234" t="s">
        <v>33</v>
      </c>
      <c r="N9" s="234" t="s">
        <v>33</v>
      </c>
      <c r="O9" s="234" t="s">
        <v>33</v>
      </c>
      <c r="P9" s="234" t="s">
        <v>33</v>
      </c>
      <c r="Q9" s="234" t="s">
        <v>33</v>
      </c>
      <c r="R9" s="234" t="s">
        <v>33</v>
      </c>
      <c r="S9" s="234" t="s">
        <v>33</v>
      </c>
      <c r="T9" s="234" t="s">
        <v>33</v>
      </c>
      <c r="U9" s="234" t="s">
        <v>33</v>
      </c>
      <c r="V9" s="235" t="s">
        <v>33</v>
      </c>
      <c r="W9" s="235" t="s">
        <v>33</v>
      </c>
      <c r="X9" s="235" t="s">
        <v>33</v>
      </c>
      <c r="Y9" s="235" t="s">
        <v>33</v>
      </c>
      <c r="Z9" s="235" t="s">
        <v>33</v>
      </c>
      <c r="AA9" s="235" t="s">
        <v>33</v>
      </c>
      <c r="AB9" s="235" t="s">
        <v>33</v>
      </c>
      <c r="AC9" s="235" t="s">
        <v>33</v>
      </c>
      <c r="AD9" s="235" t="s">
        <v>33</v>
      </c>
      <c r="AE9" s="235" t="s">
        <v>33</v>
      </c>
      <c r="AF9" s="235" t="s">
        <v>33</v>
      </c>
      <c r="AG9" s="235" t="s">
        <v>33</v>
      </c>
      <c r="AH9" s="235" t="s">
        <v>33</v>
      </c>
      <c r="AI9" s="235" t="s">
        <v>33</v>
      </c>
      <c r="AJ9" s="235" t="s">
        <v>33</v>
      </c>
      <c r="AK9" s="235" t="s">
        <v>33</v>
      </c>
      <c r="AL9" s="235" t="s">
        <v>33</v>
      </c>
      <c r="AM9" s="235" t="s">
        <v>33</v>
      </c>
      <c r="AN9" s="235" t="s">
        <v>33</v>
      </c>
      <c r="AO9" s="235" t="s">
        <v>33</v>
      </c>
      <c r="AP9" s="235" t="s">
        <v>33</v>
      </c>
      <c r="AQ9" s="235" t="s">
        <v>33</v>
      </c>
      <c r="AR9" s="235" t="s">
        <v>33</v>
      </c>
      <c r="AS9" s="235" t="s">
        <v>34</v>
      </c>
      <c r="AT9" s="235" t="s">
        <v>33</v>
      </c>
      <c r="AU9" s="235" t="s">
        <v>33</v>
      </c>
      <c r="AV9" s="235" t="s">
        <v>34</v>
      </c>
      <c r="AW9" s="235" t="s">
        <v>33</v>
      </c>
      <c r="AX9" s="235" t="s">
        <v>33</v>
      </c>
      <c r="AY9" s="235" t="s">
        <v>33</v>
      </c>
      <c r="AZ9" s="235" t="s">
        <v>33</v>
      </c>
      <c r="BA9" s="235" t="s">
        <v>33</v>
      </c>
      <c r="BB9" s="235" t="s">
        <v>33</v>
      </c>
      <c r="BC9" s="236" t="s">
        <v>33</v>
      </c>
      <c r="BD9" s="236" t="s">
        <v>33</v>
      </c>
      <c r="BE9" s="236" t="s">
        <v>33</v>
      </c>
      <c r="BF9" s="237" t="s">
        <v>33</v>
      </c>
      <c r="BG9" s="241"/>
      <c r="BH9" s="245" t="str">
        <f>Data[[#This Row],[Tipo de Muestra]]</f>
        <v>Critica</v>
      </c>
      <c r="BI9" s="241"/>
      <c r="BJ9" s="241"/>
      <c r="BK9">
        <f t="shared" si="0"/>
        <v>1</v>
      </c>
      <c r="BL9">
        <f t="shared" si="1"/>
        <v>1</v>
      </c>
      <c r="BM9">
        <f t="shared" si="2"/>
        <v>1</v>
      </c>
      <c r="BN9">
        <f t="shared" si="3"/>
        <v>1</v>
      </c>
      <c r="BO9">
        <f t="shared" si="4"/>
        <v>1</v>
      </c>
      <c r="BP9">
        <f t="shared" si="5"/>
        <v>1</v>
      </c>
      <c r="BQ9">
        <f t="shared" si="6"/>
        <v>1</v>
      </c>
      <c r="BR9">
        <f t="shared" si="7"/>
        <v>1</v>
      </c>
      <c r="BS9">
        <f t="shared" si="8"/>
        <v>1</v>
      </c>
      <c r="BT9">
        <f t="shared" si="9"/>
        <v>1</v>
      </c>
      <c r="BU9">
        <f t="shared" si="10"/>
        <v>1</v>
      </c>
      <c r="BV9">
        <f t="shared" si="11"/>
        <v>1</v>
      </c>
      <c r="BW9">
        <f t="shared" si="12"/>
        <v>1</v>
      </c>
      <c r="BX9">
        <f t="shared" si="13"/>
        <v>1</v>
      </c>
      <c r="BY9">
        <f t="shared" si="14"/>
        <v>0</v>
      </c>
      <c r="BZ9">
        <f t="shared" si="15"/>
        <v>0</v>
      </c>
      <c r="CA9">
        <f t="shared" si="16"/>
        <v>0</v>
      </c>
      <c r="CB9">
        <f t="shared" si="17"/>
        <v>0</v>
      </c>
      <c r="CC9">
        <f t="shared" si="18"/>
        <v>0</v>
      </c>
      <c r="CD9">
        <f t="shared" si="19"/>
        <v>0</v>
      </c>
      <c r="CE9">
        <f t="shared" si="20"/>
        <v>0</v>
      </c>
      <c r="CF9">
        <f t="shared" si="21"/>
        <v>0</v>
      </c>
      <c r="CG9">
        <f t="shared" si="22"/>
        <v>0</v>
      </c>
      <c r="CH9">
        <f t="shared" si="23"/>
        <v>0</v>
      </c>
      <c r="CI9">
        <f t="shared" si="24"/>
        <v>0</v>
      </c>
      <c r="CJ9">
        <f t="shared" si="25"/>
        <v>0</v>
      </c>
      <c r="CK9">
        <f t="shared" si="26"/>
        <v>0</v>
      </c>
      <c r="CL9">
        <f t="shared" si="27"/>
        <v>0</v>
      </c>
      <c r="CM9">
        <f t="shared" si="28"/>
        <v>0</v>
      </c>
      <c r="CN9">
        <f t="shared" si="29"/>
        <v>0</v>
      </c>
      <c r="CO9">
        <f t="shared" si="30"/>
        <v>0</v>
      </c>
      <c r="CP9">
        <f t="shared" si="31"/>
        <v>0</v>
      </c>
      <c r="CQ9">
        <f t="shared" si="32"/>
        <v>0</v>
      </c>
      <c r="CR9">
        <f t="shared" si="33"/>
        <v>0</v>
      </c>
      <c r="CS9">
        <f t="shared" si="34"/>
        <v>0</v>
      </c>
      <c r="CT9">
        <f t="shared" si="35"/>
        <v>0</v>
      </c>
      <c r="CU9">
        <f t="shared" si="36"/>
        <v>0</v>
      </c>
      <c r="CV9">
        <f t="shared" si="37"/>
        <v>0</v>
      </c>
      <c r="CW9">
        <f t="shared" si="38"/>
        <v>0</v>
      </c>
      <c r="CX9">
        <f t="shared" si="39"/>
        <v>0</v>
      </c>
      <c r="CY9">
        <f t="shared" si="40"/>
        <v>0</v>
      </c>
      <c r="CZ9">
        <f t="shared" si="41"/>
        <v>0</v>
      </c>
      <c r="DA9">
        <f t="shared" si="42"/>
        <v>0</v>
      </c>
      <c r="DB9">
        <f t="shared" si="43"/>
        <v>0</v>
      </c>
      <c r="DC9">
        <f t="shared" si="44"/>
        <v>0</v>
      </c>
      <c r="DD9" s="238">
        <f t="shared" si="45"/>
        <v>0</v>
      </c>
      <c r="DE9" s="238">
        <f t="shared" si="46"/>
        <v>0</v>
      </c>
      <c r="DF9" s="238">
        <f t="shared" si="47"/>
        <v>0</v>
      </c>
      <c r="DG9" s="238">
        <f t="shared" si="48"/>
        <v>1</v>
      </c>
      <c r="DH9" s="9">
        <f t="shared" si="49"/>
        <v>0.15</v>
      </c>
      <c r="DI9" s="9">
        <f t="shared" si="50"/>
        <v>0.15</v>
      </c>
      <c r="DJ9" s="9">
        <f t="shared" si="51"/>
        <v>0.15</v>
      </c>
      <c r="DK9" s="9">
        <f>IF(MIN(Data[[#This Row],[¿El agente cumple con la identificación formal y profesional?3]:[¿El agente realiza despedida corporativa?5]])=0,0,15%)</f>
        <v>0.15</v>
      </c>
      <c r="DL9" s="9">
        <f t="shared" si="52"/>
        <v>0.3</v>
      </c>
      <c r="DM9" s="9">
        <f t="shared" si="53"/>
        <v>0.3</v>
      </c>
      <c r="DN9" s="9">
        <f t="shared" si="54"/>
        <v>0.3</v>
      </c>
      <c r="DO9" s="9">
        <f t="shared" si="55"/>
        <v>0.3</v>
      </c>
      <c r="DP9" s="9">
        <f>IF(MIN(Data[[#This Row],[¿El agente demuestra escucha activa durante la gestión?6]:[¿El agente parafrasea para confirmar entendimiento?9]])=0,0,30%)</f>
        <v>0.3</v>
      </c>
      <c r="DQ9" s="9">
        <f t="shared" si="56"/>
        <v>0.3</v>
      </c>
      <c r="DR9" s="9">
        <f t="shared" si="57"/>
        <v>0.3</v>
      </c>
      <c r="DS9" s="9">
        <f t="shared" si="58"/>
        <v>0.3</v>
      </c>
      <c r="DT9" s="9">
        <f t="shared" si="59"/>
        <v>0.3</v>
      </c>
      <c r="DU9" s="239">
        <f>IF(MIN(Data[[#This Row],[¿El agente adapta su comunicación al cliente?11]:[¿El agente utiliza el plural corporativo correctamente?14]])=0,0,30%)</f>
        <v>0.3</v>
      </c>
      <c r="DV9" s="9">
        <f t="shared" si="60"/>
        <v>0.25</v>
      </c>
      <c r="DW9" s="9">
        <f t="shared" si="151"/>
        <v>0.25</v>
      </c>
      <c r="DX9" s="9">
        <f t="shared" si="152"/>
        <v>1</v>
      </c>
      <c r="DY9" s="9">
        <f t="shared" si="61"/>
        <v>1</v>
      </c>
      <c r="DZ9" s="9">
        <f t="shared" si="62"/>
        <v>1</v>
      </c>
      <c r="EA9" s="9">
        <f t="shared" si="63"/>
        <v>1</v>
      </c>
      <c r="EB9" s="9">
        <f t="shared" si="64"/>
        <v>1</v>
      </c>
      <c r="EC9" s="9">
        <f>IF(SUM(Data[[#This Row],[¿El agente informa correctamente sobre los centros de pago?19]:[¿El agente explica el ciclo de facturación adecuadamente?22]])=400%,100%,0%)</f>
        <v>1</v>
      </c>
      <c r="ED9" s="9">
        <f t="shared" si="65"/>
        <v>1</v>
      </c>
      <c r="EE9" s="9">
        <f t="shared" si="66"/>
        <v>1</v>
      </c>
      <c r="EF9" s="9">
        <f>IF(SUM(Data[[#This Row],[¿El agente presenta correctamente los beneficios del producto?23]:[¿El agente comunica beneficios emocionales al cliente?24]])=200%,100%,0%)</f>
        <v>1</v>
      </c>
      <c r="EG9" s="9">
        <f t="shared" si="67"/>
        <v>1</v>
      </c>
      <c r="EH9" s="9">
        <f t="shared" si="68"/>
        <v>1</v>
      </c>
      <c r="EI9" s="9">
        <f t="shared" si="69"/>
        <v>1</v>
      </c>
      <c r="EJ9" s="9">
        <f>IF(SUM(Data[[#This Row],[¿El agente realiza un resumen comercial adecuado?25]:[¿El agente formaliza correctamente el acuerdo de venta?27]])=300%,100%,0%)</f>
        <v>1</v>
      </c>
      <c r="EK9" s="9">
        <f t="shared" si="70"/>
        <v>1</v>
      </c>
      <c r="EL9" s="9">
        <f>+Data[[#This Row],[¿El agente explica los términos y condiciones del servicio?28]]</f>
        <v>1</v>
      </c>
      <c r="EM9" s="9">
        <f t="shared" si="71"/>
        <v>1</v>
      </c>
      <c r="EN9" s="9">
        <f>+Data[[#This Row],[¿El agente identifica correctamente la solicitud del cliente?29]]</f>
        <v>1</v>
      </c>
      <c r="EO9" s="9">
        <f t="shared" si="72"/>
        <v>1</v>
      </c>
      <c r="EP9" s="9">
        <f t="shared" si="73"/>
        <v>1</v>
      </c>
      <c r="EQ9" s="9">
        <f t="shared" si="74"/>
        <v>1</v>
      </c>
      <c r="ER9" s="9">
        <f>IF(SUM(Data[[#This Row],[¿El agente evita activar un servicio diferente al solicitado?30]:[¿El agente configura adecuadamente el producto contratado?32]])=300%,100%,0%)</f>
        <v>1</v>
      </c>
      <c r="ES9" s="9">
        <f t="shared" si="75"/>
        <v>1</v>
      </c>
      <c r="ET9" s="9">
        <f t="shared" si="76"/>
        <v>1</v>
      </c>
      <c r="EU9" s="9">
        <f>IF(SUM(Data[[#This Row],[¿El agente mantiene respeto y cordialidad en toda la interacción?33]:[¿El agente utiliza un lenguaje adecuado y profesional?34]])=200%,100%,0%)</f>
        <v>1</v>
      </c>
      <c r="EV9" s="9">
        <f t="shared" si="77"/>
        <v>1</v>
      </c>
      <c r="EW9" s="9">
        <f t="shared" si="78"/>
        <v>1</v>
      </c>
      <c r="EX9" s="9">
        <f t="shared" si="79"/>
        <v>1</v>
      </c>
      <c r="EY9" s="9">
        <f t="shared" si="80"/>
        <v>1</v>
      </c>
      <c r="EZ9" s="9">
        <f t="shared" si="81"/>
        <v>1</v>
      </c>
      <c r="FA9" s="9">
        <f t="shared" si="82"/>
        <v>1</v>
      </c>
      <c r="FB9" s="9">
        <f>IF(SUM(Data[[#This Row],[¿El agente verifica correctamente la cobertura?35]:[¿El agente agenda citas o gestiones cuando es necesario?41]])=600%,100%,0%)</f>
        <v>1</v>
      </c>
      <c r="FC9" s="9">
        <f t="shared" si="153"/>
        <v>1</v>
      </c>
      <c r="FD9" s="9">
        <f t="shared" si="83"/>
        <v>1</v>
      </c>
      <c r="FE9" s="9">
        <f t="shared" si="84"/>
        <v>0</v>
      </c>
      <c r="FF9" s="9">
        <f t="shared" si="85"/>
        <v>1</v>
      </c>
      <c r="FG9" s="9">
        <f t="shared" si="86"/>
        <v>1</v>
      </c>
      <c r="FH9" s="9">
        <f t="shared" si="87"/>
        <v>0</v>
      </c>
      <c r="FI9" s="9">
        <f t="shared" si="88"/>
        <v>1</v>
      </c>
      <c r="FJ9" s="9">
        <f>IF(SUM(Data[[#This Row],[¿El agente ofrece adecuadamente un producto adicional?42]:[¿El agente maneja correctamente las objeciones del cliente?47]])=600%,100%,)</f>
        <v>0</v>
      </c>
      <c r="FK9" s="9">
        <f t="shared" si="89"/>
        <v>1</v>
      </c>
      <c r="FL9" s="9">
        <f>+Data[[#This Row],[¿El agente gestiona la oferta según la campaña vigente?48]]</f>
        <v>1</v>
      </c>
      <c r="FM9" s="9">
        <f t="shared" si="90"/>
        <v>1</v>
      </c>
      <c r="FN9" s="9">
        <f t="shared" si="91"/>
        <v>1</v>
      </c>
      <c r="FO9" s="9">
        <f t="shared" si="92"/>
        <v>1</v>
      </c>
      <c r="FP9" s="9">
        <f>IF(SUM(Data[[#This Row],[¿El agente solicita coordenadas cuando es necesario?49]:[¿El agente maneja adecuadamente llamadas en conferencia?51]])=300%,100%,)</f>
        <v>1</v>
      </c>
      <c r="FQ9" s="9">
        <f t="shared" si="93"/>
        <v>1</v>
      </c>
      <c r="FR9" s="9">
        <f>+Data[[#This Row],[¿El agente registra correctamente todas las interacciones?52]]</f>
        <v>1</v>
      </c>
      <c r="FS9" s="9">
        <f t="shared" si="154"/>
        <v>0</v>
      </c>
      <c r="FT9" s="238">
        <f t="shared" si="155"/>
        <v>1</v>
      </c>
      <c r="FU9" s="9">
        <f>+Data[[#This Row],[¿El agente confirma la titularidad del cliente adecuadamente?53]]</f>
        <v>1</v>
      </c>
      <c r="FV9" s="238">
        <f t="shared" si="94"/>
        <v>1</v>
      </c>
      <c r="FW9" s="238">
        <f t="shared" si="95"/>
        <v>1</v>
      </c>
      <c r="FX9" s="9">
        <f>IF(SUM(Data[[#This Row],[¿El agente evita la omisión de alertas importantes?54]]:Data[[#This Row],[¿El agente mantiene conducta ética durante la interacción?55]])=200%,100%,)</f>
        <v>1</v>
      </c>
      <c r="FY9" s="238">
        <f t="shared" si="96"/>
        <v>1</v>
      </c>
      <c r="FZ9" s="9">
        <f>+Data[[#This Row],[¿El agente evita compartir información sensible?56]]</f>
        <v>1</v>
      </c>
      <c r="GA9" s="9">
        <f t="shared" si="156"/>
        <v>1</v>
      </c>
      <c r="GB9" s="239">
        <f t="shared" si="97"/>
        <v>0.1</v>
      </c>
      <c r="GC9" s="239">
        <f t="shared" si="98"/>
        <v>0.3</v>
      </c>
      <c r="GD9" s="240">
        <f t="shared" si="99"/>
        <v>0</v>
      </c>
      <c r="GE9" s="240">
        <f t="shared" si="100"/>
        <v>0.3</v>
      </c>
      <c r="GF9" s="9">
        <f>SUM(Data[[#This Row],[PESO PENC]:[PESO PECCUM]])</f>
        <v>0.7</v>
      </c>
      <c r="GG9" s="238">
        <f>1</f>
        <v>1</v>
      </c>
      <c r="GH9" s="238">
        <f t="shared" si="101"/>
        <v>1</v>
      </c>
      <c r="GI9" t="str">
        <f t="shared" si="102"/>
        <v/>
      </c>
      <c r="GJ9" t="str">
        <f t="shared" si="103"/>
        <v/>
      </c>
      <c r="GK9" t="str">
        <f t="shared" si="104"/>
        <v/>
      </c>
      <c r="GN9" t="str">
        <f t="shared" si="105"/>
        <v/>
      </c>
      <c r="GO9" t="str">
        <f t="shared" si="106"/>
        <v/>
      </c>
      <c r="GP9" t="str">
        <f t="shared" si="107"/>
        <v/>
      </c>
      <c r="GQ9" t="str">
        <f t="shared" si="108"/>
        <v/>
      </c>
      <c r="GR9" t="str">
        <f t="shared" si="109"/>
        <v/>
      </c>
      <c r="GS9" t="str">
        <f t="shared" si="110"/>
        <v/>
      </c>
      <c r="GT9" t="str">
        <f t="shared" si="111"/>
        <v/>
      </c>
      <c r="GU9" t="e">
        <f>IF(#REF!="No",#REF!,"")</f>
        <v>#REF!</v>
      </c>
      <c r="GV9" t="str">
        <f t="shared" si="112"/>
        <v/>
      </c>
      <c r="GW9" t="str">
        <f t="shared" si="113"/>
        <v/>
      </c>
      <c r="GX9" t="str">
        <f t="shared" si="114"/>
        <v/>
      </c>
      <c r="GY9" t="str">
        <f t="shared" si="115"/>
        <v/>
      </c>
      <c r="GZ9" t="str">
        <f t="shared" si="116"/>
        <v/>
      </c>
      <c r="HA9" t="str">
        <f t="shared" si="117"/>
        <v/>
      </c>
      <c r="HB9" t="str">
        <f t="shared" si="118"/>
        <v/>
      </c>
      <c r="HC9" t="str">
        <f t="shared" si="119"/>
        <v/>
      </c>
      <c r="HD9" t="str">
        <f t="shared" si="120"/>
        <v/>
      </c>
      <c r="HE9" t="str">
        <f t="shared" si="121"/>
        <v/>
      </c>
      <c r="HF9" t="str">
        <f t="shared" si="122"/>
        <v/>
      </c>
      <c r="HG9" t="str">
        <f t="shared" si="123"/>
        <v/>
      </c>
      <c r="HH9" t="str">
        <f t="shared" si="124"/>
        <v/>
      </c>
      <c r="HI9" t="str">
        <f t="shared" si="125"/>
        <v/>
      </c>
      <c r="HJ9" t="str">
        <f t="shared" si="126"/>
        <v/>
      </c>
      <c r="HK9" t="str">
        <f t="shared" si="127"/>
        <v/>
      </c>
      <c r="HL9" t="str">
        <f t="shared" si="128"/>
        <v/>
      </c>
      <c r="HM9" t="str">
        <f t="shared" si="129"/>
        <v/>
      </c>
      <c r="HN9" t="str">
        <f t="shared" si="130"/>
        <v/>
      </c>
      <c r="HO9" t="str">
        <f t="shared" si="131"/>
        <v/>
      </c>
      <c r="HP9" t="str">
        <f t="shared" si="132"/>
        <v/>
      </c>
      <c r="HQ9" t="str">
        <f t="shared" si="133"/>
        <v/>
      </c>
      <c r="HR9" t="e">
        <f>IF(#REF!="No",#REF!,"")</f>
        <v>#REF!</v>
      </c>
      <c r="HS9" t="str">
        <f t="shared" si="134"/>
        <v/>
      </c>
      <c r="HT9" t="str">
        <f t="shared" si="135"/>
        <v xml:space="preserve">¿El agente realiza venta cruzada cuando corresponde? </v>
      </c>
      <c r="HU9" t="str">
        <f t="shared" si="136"/>
        <v/>
      </c>
      <c r="HV9" t="str">
        <f t="shared" si="137"/>
        <v/>
      </c>
      <c r="HW9" t="str">
        <f t="shared" si="138"/>
        <v xml:space="preserve">¿El agente realiza seguimiento adecuado al caso o solicitud? </v>
      </c>
      <c r="HX9" t="str">
        <f t="shared" si="139"/>
        <v/>
      </c>
      <c r="HY9" t="str">
        <f t="shared" si="140"/>
        <v/>
      </c>
      <c r="HZ9" t="str">
        <f t="shared" si="141"/>
        <v/>
      </c>
      <c r="IA9" t="str">
        <f t="shared" si="142"/>
        <v/>
      </c>
      <c r="IB9" t="str">
        <f t="shared" si="143"/>
        <v/>
      </c>
      <c r="IC9" t="str">
        <f t="shared" si="144"/>
        <v/>
      </c>
      <c r="ID9" s="238" t="str">
        <f t="shared" si="145"/>
        <v/>
      </c>
      <c r="IE9" s="238" t="str">
        <f t="shared" si="146"/>
        <v/>
      </c>
      <c r="IF9" s="238" t="str">
        <f t="shared" si="147"/>
        <v/>
      </c>
      <c r="IG9" s="238" t="str">
        <f t="shared" si="148"/>
        <v/>
      </c>
      <c r="IH9" s="241" t="str">
        <f>A9&amp;" "&amp;F9&amp;" "&amp;Data[[#This Row],[mes]]</f>
        <v>Yaelin Bethancourt Outbound jun-26</v>
      </c>
      <c r="II9" s="244">
        <f>COUNTIF($IH9:$IH42,IH9)</f>
        <v>3</v>
      </c>
      <c r="IJ9" s="241">
        <f>IF(COUNTIF($IH$4:IH9,IH9)=1,1,0)</f>
        <v>1</v>
      </c>
      <c r="IK9" s="244">
        <f>IF(Data[[#This Row],[Muestra Critica]]&gt;0,Data[[#This Row],[Muestra Critica]],"")</f>
        <v>1</v>
      </c>
      <c r="IL9" s="238">
        <f>IF(IK9="","",COUNTIF($IK$4:$IK41,IK9))</f>
        <v>26</v>
      </c>
      <c r="IM9">
        <f t="shared" si="149"/>
        <v>0</v>
      </c>
      <c r="IN9" s="241" t="str">
        <f t="shared" si="150"/>
        <v>jun-26</v>
      </c>
      <c r="IO9" s="241"/>
      <c r="IP9" s="241"/>
      <c r="IQ9" s="241"/>
      <c r="IR9" s="241"/>
      <c r="IS9" s="241">
        <f>IFERROR(_xlfn.XLOOKUP(A:A,HC!B:B,HC!E:E,,0),0)</f>
        <v>0</v>
      </c>
    </row>
    <row r="10" spans="1:253" ht="15.5" x14ac:dyDescent="0.35">
      <c r="A10" s="232" t="s">
        <v>416</v>
      </c>
      <c r="B10" s="232">
        <v>63359341</v>
      </c>
      <c r="C10" s="242">
        <v>46192</v>
      </c>
      <c r="D10" s="232" t="s">
        <v>406</v>
      </c>
      <c r="E10" s="232" t="s">
        <v>397</v>
      </c>
      <c r="F10" s="232" t="s">
        <v>32</v>
      </c>
      <c r="G10" s="232" t="s">
        <v>402</v>
      </c>
      <c r="H10" s="232" t="s">
        <v>420</v>
      </c>
      <c r="I10" s="233" t="s">
        <v>411</v>
      </c>
      <c r="J10" s="234" t="s">
        <v>33</v>
      </c>
      <c r="K10" s="234" t="s">
        <v>33</v>
      </c>
      <c r="L10" s="234" t="s">
        <v>33</v>
      </c>
      <c r="M10" s="234" t="s">
        <v>33</v>
      </c>
      <c r="N10" s="234" t="s">
        <v>33</v>
      </c>
      <c r="O10" s="234" t="s">
        <v>33</v>
      </c>
      <c r="P10" s="234" t="s">
        <v>33</v>
      </c>
      <c r="Q10" s="234" t="s">
        <v>33</v>
      </c>
      <c r="R10" s="234" t="s">
        <v>33</v>
      </c>
      <c r="S10" s="234" t="s">
        <v>33</v>
      </c>
      <c r="T10" s="234" t="s">
        <v>33</v>
      </c>
      <c r="U10" s="234" t="s">
        <v>33</v>
      </c>
      <c r="V10" s="235" t="s">
        <v>33</v>
      </c>
      <c r="W10" s="235" t="s">
        <v>33</v>
      </c>
      <c r="X10" s="235" t="s">
        <v>33</v>
      </c>
      <c r="Y10" s="235" t="s">
        <v>33</v>
      </c>
      <c r="Z10" s="235" t="s">
        <v>33</v>
      </c>
      <c r="AA10" s="235" t="s">
        <v>33</v>
      </c>
      <c r="AB10" s="235" t="s">
        <v>33</v>
      </c>
      <c r="AC10" s="235" t="s">
        <v>33</v>
      </c>
      <c r="AD10" s="235" t="s">
        <v>33</v>
      </c>
      <c r="AE10" s="235" t="s">
        <v>33</v>
      </c>
      <c r="AF10" s="235" t="s">
        <v>33</v>
      </c>
      <c r="AG10" s="235" t="s">
        <v>33</v>
      </c>
      <c r="AH10" s="235" t="s">
        <v>33</v>
      </c>
      <c r="AI10" s="235" t="s">
        <v>33</v>
      </c>
      <c r="AJ10" s="235" t="s">
        <v>33</v>
      </c>
      <c r="AK10" s="235" t="s">
        <v>33</v>
      </c>
      <c r="AL10" s="235" t="s">
        <v>33</v>
      </c>
      <c r="AM10" s="235" t="s">
        <v>33</v>
      </c>
      <c r="AN10" s="235" t="s">
        <v>33</v>
      </c>
      <c r="AO10" s="235" t="s">
        <v>33</v>
      </c>
      <c r="AP10" s="235" t="s">
        <v>33</v>
      </c>
      <c r="AQ10" s="235" t="s">
        <v>33</v>
      </c>
      <c r="AR10" s="235" t="s">
        <v>33</v>
      </c>
      <c r="AS10" s="235" t="s">
        <v>33</v>
      </c>
      <c r="AT10" s="235" t="s">
        <v>33</v>
      </c>
      <c r="AU10" s="235" t="s">
        <v>33</v>
      </c>
      <c r="AV10" s="235" t="s">
        <v>33</v>
      </c>
      <c r="AW10" s="235" t="s">
        <v>33</v>
      </c>
      <c r="AX10" s="235" t="s">
        <v>33</v>
      </c>
      <c r="AY10" s="235" t="s">
        <v>33</v>
      </c>
      <c r="AZ10" s="235" t="s">
        <v>33</v>
      </c>
      <c r="BA10" s="235" t="s">
        <v>33</v>
      </c>
      <c r="BB10" s="235" t="s">
        <v>33</v>
      </c>
      <c r="BC10" s="236" t="s">
        <v>33</v>
      </c>
      <c r="BD10" s="236" t="s">
        <v>33</v>
      </c>
      <c r="BE10" s="236" t="s">
        <v>33</v>
      </c>
      <c r="BF10" s="237" t="s">
        <v>33</v>
      </c>
      <c r="BG10" s="241"/>
      <c r="BH10" s="245" t="str">
        <f>Data[[#This Row],[Tipo de Muestra]]</f>
        <v>No Critica</v>
      </c>
      <c r="BI10" s="241"/>
      <c r="BJ10" s="241"/>
      <c r="BK10">
        <f t="shared" si="0"/>
        <v>1</v>
      </c>
      <c r="BL10">
        <f t="shared" si="1"/>
        <v>1</v>
      </c>
      <c r="BM10">
        <f t="shared" si="2"/>
        <v>1</v>
      </c>
      <c r="BN10">
        <f t="shared" si="3"/>
        <v>1</v>
      </c>
      <c r="BO10">
        <f t="shared" si="4"/>
        <v>1</v>
      </c>
      <c r="BP10">
        <f t="shared" si="5"/>
        <v>1</v>
      </c>
      <c r="BQ10">
        <f t="shared" si="6"/>
        <v>1</v>
      </c>
      <c r="BR10">
        <f t="shared" si="7"/>
        <v>1</v>
      </c>
      <c r="BS10">
        <f t="shared" si="8"/>
        <v>1</v>
      </c>
      <c r="BT10">
        <f t="shared" si="9"/>
        <v>1</v>
      </c>
      <c r="BU10">
        <f t="shared" si="10"/>
        <v>1</v>
      </c>
      <c r="BV10">
        <f t="shared" si="11"/>
        <v>1</v>
      </c>
      <c r="BW10">
        <f t="shared" si="12"/>
        <v>1</v>
      </c>
      <c r="BX10">
        <f t="shared" si="13"/>
        <v>1</v>
      </c>
      <c r="BY10">
        <f t="shared" si="14"/>
        <v>0</v>
      </c>
      <c r="BZ10">
        <f t="shared" si="15"/>
        <v>0</v>
      </c>
      <c r="CA10">
        <f t="shared" si="16"/>
        <v>0</v>
      </c>
      <c r="CB10">
        <f t="shared" si="17"/>
        <v>0</v>
      </c>
      <c r="CC10">
        <f t="shared" si="18"/>
        <v>0</v>
      </c>
      <c r="CD10">
        <f t="shared" si="19"/>
        <v>0</v>
      </c>
      <c r="CE10">
        <f t="shared" si="20"/>
        <v>0</v>
      </c>
      <c r="CF10">
        <f t="shared" si="21"/>
        <v>0</v>
      </c>
      <c r="CG10">
        <f t="shared" si="22"/>
        <v>0</v>
      </c>
      <c r="CH10">
        <f t="shared" si="23"/>
        <v>0</v>
      </c>
      <c r="CI10">
        <f t="shared" si="24"/>
        <v>0</v>
      </c>
      <c r="CJ10">
        <f t="shared" si="25"/>
        <v>0</v>
      </c>
      <c r="CK10">
        <f t="shared" si="26"/>
        <v>0</v>
      </c>
      <c r="CL10">
        <f t="shared" si="27"/>
        <v>0</v>
      </c>
      <c r="CM10">
        <f t="shared" si="28"/>
        <v>0</v>
      </c>
      <c r="CN10">
        <f t="shared" si="29"/>
        <v>0</v>
      </c>
      <c r="CO10">
        <f t="shared" si="30"/>
        <v>0</v>
      </c>
      <c r="CP10">
        <f t="shared" si="31"/>
        <v>0</v>
      </c>
      <c r="CQ10">
        <f t="shared" si="32"/>
        <v>0</v>
      </c>
      <c r="CR10">
        <f t="shared" si="33"/>
        <v>0</v>
      </c>
      <c r="CS10">
        <f t="shared" si="34"/>
        <v>0</v>
      </c>
      <c r="CT10">
        <f t="shared" si="35"/>
        <v>0</v>
      </c>
      <c r="CU10">
        <f t="shared" si="36"/>
        <v>0</v>
      </c>
      <c r="CV10">
        <f t="shared" si="37"/>
        <v>0</v>
      </c>
      <c r="CW10">
        <f t="shared" si="38"/>
        <v>0</v>
      </c>
      <c r="CX10">
        <f t="shared" si="39"/>
        <v>0</v>
      </c>
      <c r="CY10">
        <f t="shared" si="40"/>
        <v>0</v>
      </c>
      <c r="CZ10">
        <f t="shared" si="41"/>
        <v>0</v>
      </c>
      <c r="DA10">
        <f t="shared" si="42"/>
        <v>0</v>
      </c>
      <c r="DB10">
        <f t="shared" si="43"/>
        <v>0</v>
      </c>
      <c r="DC10">
        <f t="shared" si="44"/>
        <v>0</v>
      </c>
      <c r="DD10" s="238">
        <f t="shared" si="45"/>
        <v>0</v>
      </c>
      <c r="DE10" s="238">
        <f t="shared" si="46"/>
        <v>0</v>
      </c>
      <c r="DF10" s="238">
        <f t="shared" si="47"/>
        <v>0</v>
      </c>
      <c r="DG10" s="238">
        <f t="shared" si="48"/>
        <v>1</v>
      </c>
      <c r="DH10" s="9">
        <f t="shared" si="49"/>
        <v>0.15</v>
      </c>
      <c r="DI10" s="9">
        <f t="shared" si="50"/>
        <v>0.15</v>
      </c>
      <c r="DJ10" s="9">
        <f t="shared" si="51"/>
        <v>0.15</v>
      </c>
      <c r="DK10" s="9">
        <f>IF(MIN(Data[[#This Row],[¿El agente cumple con la identificación formal y profesional?3]:[¿El agente realiza despedida corporativa?5]])=0,0,15%)</f>
        <v>0.15</v>
      </c>
      <c r="DL10" s="9">
        <f t="shared" si="52"/>
        <v>0.3</v>
      </c>
      <c r="DM10" s="9">
        <f t="shared" si="53"/>
        <v>0.3</v>
      </c>
      <c r="DN10" s="9">
        <f t="shared" si="54"/>
        <v>0.3</v>
      </c>
      <c r="DO10" s="9">
        <f t="shared" si="55"/>
        <v>0.3</v>
      </c>
      <c r="DP10" s="9">
        <f>IF(MIN(Data[[#This Row],[¿El agente demuestra escucha activa durante la gestión?6]:[¿El agente parafrasea para confirmar entendimiento?9]])=0,0,30%)</f>
        <v>0.3</v>
      </c>
      <c r="DQ10" s="9">
        <f t="shared" si="56"/>
        <v>0.3</v>
      </c>
      <c r="DR10" s="9">
        <f t="shared" si="57"/>
        <v>0.3</v>
      </c>
      <c r="DS10" s="9">
        <f t="shared" si="58"/>
        <v>0.3</v>
      </c>
      <c r="DT10" s="9">
        <f t="shared" si="59"/>
        <v>0.3</v>
      </c>
      <c r="DU10" s="239">
        <f>IF(MIN(Data[[#This Row],[¿El agente adapta su comunicación al cliente?11]:[¿El agente utiliza el plural corporativo correctamente?14]])=0,0,30%)</f>
        <v>0.3</v>
      </c>
      <c r="DV10" s="9">
        <f t="shared" si="60"/>
        <v>0.25</v>
      </c>
      <c r="DW10" s="9">
        <f t="shared" si="151"/>
        <v>0.25</v>
      </c>
      <c r="DX10" s="9">
        <f t="shared" si="152"/>
        <v>1</v>
      </c>
      <c r="DY10" s="9">
        <f t="shared" si="61"/>
        <v>1</v>
      </c>
      <c r="DZ10" s="9">
        <f t="shared" si="62"/>
        <v>1</v>
      </c>
      <c r="EA10" s="9">
        <f t="shared" si="63"/>
        <v>1</v>
      </c>
      <c r="EB10" s="9">
        <f t="shared" si="64"/>
        <v>1</v>
      </c>
      <c r="EC10" s="9">
        <f>IF(SUM(Data[[#This Row],[¿El agente informa correctamente sobre los centros de pago?19]:[¿El agente explica el ciclo de facturación adecuadamente?22]])=400%,100%,0%)</f>
        <v>1</v>
      </c>
      <c r="ED10" s="9">
        <f t="shared" si="65"/>
        <v>1</v>
      </c>
      <c r="EE10" s="9">
        <f t="shared" si="66"/>
        <v>1</v>
      </c>
      <c r="EF10" s="9">
        <f>IF(SUM(Data[[#This Row],[¿El agente presenta correctamente los beneficios del producto?23]:[¿El agente comunica beneficios emocionales al cliente?24]])=200%,100%,0%)</f>
        <v>1</v>
      </c>
      <c r="EG10" s="9">
        <f t="shared" si="67"/>
        <v>1</v>
      </c>
      <c r="EH10" s="9">
        <f t="shared" si="68"/>
        <v>1</v>
      </c>
      <c r="EI10" s="9">
        <f t="shared" si="69"/>
        <v>1</v>
      </c>
      <c r="EJ10" s="9">
        <f>IF(SUM(Data[[#This Row],[¿El agente realiza un resumen comercial adecuado?25]:[¿El agente formaliza correctamente el acuerdo de venta?27]])=300%,100%,0%)</f>
        <v>1</v>
      </c>
      <c r="EK10" s="9">
        <f t="shared" si="70"/>
        <v>1</v>
      </c>
      <c r="EL10" s="9">
        <f>+Data[[#This Row],[¿El agente explica los términos y condiciones del servicio?28]]</f>
        <v>1</v>
      </c>
      <c r="EM10" s="9">
        <f t="shared" si="71"/>
        <v>1</v>
      </c>
      <c r="EN10" s="9">
        <f>+Data[[#This Row],[¿El agente identifica correctamente la solicitud del cliente?29]]</f>
        <v>1</v>
      </c>
      <c r="EO10" s="9">
        <f t="shared" si="72"/>
        <v>1</v>
      </c>
      <c r="EP10" s="9">
        <f t="shared" si="73"/>
        <v>1</v>
      </c>
      <c r="EQ10" s="9">
        <f t="shared" si="74"/>
        <v>1</v>
      </c>
      <c r="ER10" s="9">
        <f>IF(SUM(Data[[#This Row],[¿El agente evita activar un servicio diferente al solicitado?30]:[¿El agente configura adecuadamente el producto contratado?32]])=300%,100%,0%)</f>
        <v>1</v>
      </c>
      <c r="ES10" s="9">
        <f t="shared" si="75"/>
        <v>1</v>
      </c>
      <c r="ET10" s="9">
        <f t="shared" si="76"/>
        <v>1</v>
      </c>
      <c r="EU10" s="9">
        <f>IF(SUM(Data[[#This Row],[¿El agente mantiene respeto y cordialidad en toda la interacción?33]:[¿El agente utiliza un lenguaje adecuado y profesional?34]])=200%,100%,0%)</f>
        <v>1</v>
      </c>
      <c r="EV10" s="9">
        <f t="shared" si="77"/>
        <v>1</v>
      </c>
      <c r="EW10" s="9">
        <f t="shared" si="78"/>
        <v>1</v>
      </c>
      <c r="EX10" s="9">
        <f t="shared" si="79"/>
        <v>1</v>
      </c>
      <c r="EY10" s="9">
        <f t="shared" si="80"/>
        <v>1</v>
      </c>
      <c r="EZ10" s="9">
        <f t="shared" si="81"/>
        <v>1</v>
      </c>
      <c r="FA10" s="9">
        <f t="shared" si="82"/>
        <v>1</v>
      </c>
      <c r="FB10" s="9">
        <f>IF(SUM(Data[[#This Row],[¿El agente verifica correctamente la cobertura?35]:[¿El agente agenda citas o gestiones cuando es necesario?41]])=600%,100%,0%)</f>
        <v>1</v>
      </c>
      <c r="FC10" s="9">
        <f t="shared" si="153"/>
        <v>1</v>
      </c>
      <c r="FD10" s="9">
        <f t="shared" si="83"/>
        <v>1</v>
      </c>
      <c r="FE10" s="9">
        <f t="shared" si="84"/>
        <v>1</v>
      </c>
      <c r="FF10" s="9">
        <f t="shared" si="85"/>
        <v>1</v>
      </c>
      <c r="FG10" s="9">
        <f t="shared" si="86"/>
        <v>1</v>
      </c>
      <c r="FH10" s="9">
        <f t="shared" si="87"/>
        <v>1</v>
      </c>
      <c r="FI10" s="9">
        <f t="shared" si="88"/>
        <v>1</v>
      </c>
      <c r="FJ10" s="9">
        <f>IF(SUM(Data[[#This Row],[¿El agente ofrece adecuadamente un producto adicional?42]:[¿El agente maneja correctamente las objeciones del cliente?47]])=600%,100%,)</f>
        <v>1</v>
      </c>
      <c r="FK10" s="9">
        <f t="shared" si="89"/>
        <v>1</v>
      </c>
      <c r="FL10" s="9">
        <f>+Data[[#This Row],[¿El agente gestiona la oferta según la campaña vigente?48]]</f>
        <v>1</v>
      </c>
      <c r="FM10" s="9">
        <f t="shared" si="90"/>
        <v>1</v>
      </c>
      <c r="FN10" s="9">
        <f t="shared" si="91"/>
        <v>1</v>
      </c>
      <c r="FO10" s="9">
        <f t="shared" si="92"/>
        <v>1</v>
      </c>
      <c r="FP10" s="9">
        <f>IF(SUM(Data[[#This Row],[¿El agente solicita coordenadas cuando es necesario?49]:[¿El agente maneja adecuadamente llamadas en conferencia?51]])=300%,100%,)</f>
        <v>1</v>
      </c>
      <c r="FQ10" s="9">
        <f t="shared" si="93"/>
        <v>1</v>
      </c>
      <c r="FR10" s="9">
        <f>+Data[[#This Row],[¿El agente registra correctamente todas las interacciones?52]]</f>
        <v>1</v>
      </c>
      <c r="FS10" s="9">
        <f t="shared" si="154"/>
        <v>1</v>
      </c>
      <c r="FT10" s="238">
        <f t="shared" si="155"/>
        <v>1</v>
      </c>
      <c r="FU10" s="9">
        <f>+Data[[#This Row],[¿El agente confirma la titularidad del cliente adecuadamente?53]]</f>
        <v>1</v>
      </c>
      <c r="FV10" s="238">
        <f t="shared" si="94"/>
        <v>1</v>
      </c>
      <c r="FW10" s="238">
        <f t="shared" si="95"/>
        <v>1</v>
      </c>
      <c r="FX10" s="9">
        <f>IF(SUM(Data[[#This Row],[¿El agente evita la omisión de alertas importantes?54]]:Data[[#This Row],[¿El agente mantiene conducta ética durante la interacción?55]])=200%,100%,)</f>
        <v>1</v>
      </c>
      <c r="FY10" s="238">
        <f t="shared" si="96"/>
        <v>1</v>
      </c>
      <c r="FZ10" s="9">
        <f>+Data[[#This Row],[¿El agente evita compartir información sensible?56]]</f>
        <v>1</v>
      </c>
      <c r="GA10" s="9">
        <f t="shared" si="156"/>
        <v>1</v>
      </c>
      <c r="GB10" s="239">
        <f t="shared" si="97"/>
        <v>0.1</v>
      </c>
      <c r="GC10" s="239">
        <f t="shared" si="98"/>
        <v>0.3</v>
      </c>
      <c r="GD10" s="240">
        <f t="shared" si="99"/>
        <v>0.3</v>
      </c>
      <c r="GE10" s="240">
        <f t="shared" si="100"/>
        <v>0.3</v>
      </c>
      <c r="GF10" s="9">
        <f>SUM(Data[[#This Row],[PESO PENC]:[PESO PECCUM]])</f>
        <v>1</v>
      </c>
      <c r="GG10" s="238">
        <f>1</f>
        <v>1</v>
      </c>
      <c r="GH10" s="238">
        <f t="shared" si="101"/>
        <v>0</v>
      </c>
      <c r="GI10" t="str">
        <f t="shared" si="102"/>
        <v/>
      </c>
      <c r="GJ10" t="str">
        <f t="shared" si="103"/>
        <v/>
      </c>
      <c r="GK10" t="str">
        <f t="shared" si="104"/>
        <v/>
      </c>
      <c r="GN10" t="str">
        <f t="shared" si="105"/>
        <v/>
      </c>
      <c r="GO10" t="str">
        <f t="shared" si="106"/>
        <v/>
      </c>
      <c r="GP10" t="str">
        <f t="shared" si="107"/>
        <v/>
      </c>
      <c r="GQ10" t="str">
        <f t="shared" si="108"/>
        <v/>
      </c>
      <c r="GR10" t="str">
        <f t="shared" si="109"/>
        <v/>
      </c>
      <c r="GS10" t="str">
        <f t="shared" si="110"/>
        <v/>
      </c>
      <c r="GT10" t="str">
        <f t="shared" si="111"/>
        <v/>
      </c>
      <c r="GU10" t="e">
        <f>IF(#REF!="No",#REF!,"")</f>
        <v>#REF!</v>
      </c>
      <c r="GV10" t="str">
        <f t="shared" si="112"/>
        <v/>
      </c>
      <c r="GW10" t="str">
        <f t="shared" si="113"/>
        <v/>
      </c>
      <c r="GX10" t="str">
        <f t="shared" si="114"/>
        <v/>
      </c>
      <c r="GY10" t="str">
        <f t="shared" si="115"/>
        <v/>
      </c>
      <c r="GZ10" t="str">
        <f t="shared" si="116"/>
        <v/>
      </c>
      <c r="HA10" t="str">
        <f t="shared" si="117"/>
        <v/>
      </c>
      <c r="HB10" t="str">
        <f t="shared" si="118"/>
        <v/>
      </c>
      <c r="HC10" t="str">
        <f t="shared" si="119"/>
        <v/>
      </c>
      <c r="HD10" t="str">
        <f t="shared" si="120"/>
        <v/>
      </c>
      <c r="HE10" t="str">
        <f t="shared" si="121"/>
        <v/>
      </c>
      <c r="HF10" t="str">
        <f t="shared" si="122"/>
        <v/>
      </c>
      <c r="HG10" t="str">
        <f t="shared" si="123"/>
        <v/>
      </c>
      <c r="HH10" t="str">
        <f t="shared" si="124"/>
        <v/>
      </c>
      <c r="HI10" t="str">
        <f t="shared" si="125"/>
        <v/>
      </c>
      <c r="HJ10" t="str">
        <f t="shared" si="126"/>
        <v/>
      </c>
      <c r="HK10" t="str">
        <f t="shared" si="127"/>
        <v/>
      </c>
      <c r="HL10" t="str">
        <f t="shared" si="128"/>
        <v/>
      </c>
      <c r="HM10" t="str">
        <f t="shared" si="129"/>
        <v/>
      </c>
      <c r="HN10" t="str">
        <f t="shared" si="130"/>
        <v/>
      </c>
      <c r="HO10" t="str">
        <f t="shared" si="131"/>
        <v/>
      </c>
      <c r="HP10" t="str">
        <f t="shared" si="132"/>
        <v/>
      </c>
      <c r="HQ10" t="str">
        <f t="shared" si="133"/>
        <v/>
      </c>
      <c r="HR10" t="e">
        <f>IF(#REF!="No",#REF!,"")</f>
        <v>#REF!</v>
      </c>
      <c r="HS10" t="str">
        <f t="shared" si="134"/>
        <v/>
      </c>
      <c r="HT10" t="str">
        <f t="shared" si="135"/>
        <v/>
      </c>
      <c r="HU10" t="str">
        <f t="shared" si="136"/>
        <v/>
      </c>
      <c r="HV10" t="str">
        <f t="shared" si="137"/>
        <v/>
      </c>
      <c r="HW10" t="str">
        <f t="shared" si="138"/>
        <v/>
      </c>
      <c r="HX10" t="str">
        <f t="shared" si="139"/>
        <v/>
      </c>
      <c r="HY10" t="str">
        <f t="shared" si="140"/>
        <v/>
      </c>
      <c r="HZ10" t="str">
        <f t="shared" si="141"/>
        <v/>
      </c>
      <c r="IA10" t="str">
        <f t="shared" si="142"/>
        <v/>
      </c>
      <c r="IB10" t="str">
        <f t="shared" si="143"/>
        <v/>
      </c>
      <c r="IC10" t="str">
        <f t="shared" si="144"/>
        <v/>
      </c>
      <c r="ID10" s="238" t="str">
        <f t="shared" si="145"/>
        <v/>
      </c>
      <c r="IE10" s="238" t="str">
        <f t="shared" si="146"/>
        <v/>
      </c>
      <c r="IF10" s="238" t="str">
        <f t="shared" si="147"/>
        <v/>
      </c>
      <c r="IG10" s="238" t="str">
        <f t="shared" si="148"/>
        <v/>
      </c>
      <c r="IH10" s="241" t="str">
        <f>A10&amp;" "&amp;F10&amp;" "&amp;Data[[#This Row],[mes]]</f>
        <v>David Gonzalez Outbound jun-26</v>
      </c>
      <c r="II10" s="244">
        <f>COUNTIF($IH10:$IH43,IH10)</f>
        <v>3</v>
      </c>
      <c r="IJ10" s="241">
        <f>IF(COUNTIF($IH$4:IH10,IH10)=1,1,0)</f>
        <v>1</v>
      </c>
      <c r="IK10" s="244" t="str">
        <f>IF(Data[[#This Row],[Muestra Critica]]&gt;0,Data[[#This Row],[Muestra Critica]],"")</f>
        <v/>
      </c>
      <c r="IL10" s="238" t="str">
        <f>IF(IK10="","",COUNTIF($IK$4:$IK42,IK10))</f>
        <v/>
      </c>
      <c r="IM10">
        <f t="shared" si="149"/>
        <v>0</v>
      </c>
      <c r="IN10" s="241" t="str">
        <f t="shared" si="150"/>
        <v>jun-26</v>
      </c>
      <c r="IO10" s="241"/>
      <c r="IP10" s="241"/>
      <c r="IQ10" s="241"/>
      <c r="IR10" s="241"/>
      <c r="IS10" s="241">
        <f>IFERROR(_xlfn.XLOOKUP(A:A,HC!B:B,HC!E:E,,0),0)</f>
        <v>0</v>
      </c>
    </row>
    <row r="11" spans="1:253" ht="15.5" x14ac:dyDescent="0.35">
      <c r="A11" s="232" t="s">
        <v>414</v>
      </c>
      <c r="B11" s="232">
        <v>62726270</v>
      </c>
      <c r="C11" s="242">
        <v>46193</v>
      </c>
      <c r="D11" s="232" t="s">
        <v>406</v>
      </c>
      <c r="E11" s="232" t="s">
        <v>398</v>
      </c>
      <c r="F11" s="232" t="s">
        <v>32</v>
      </c>
      <c r="G11" s="232" t="s">
        <v>402</v>
      </c>
      <c r="H11" s="232" t="s">
        <v>420</v>
      </c>
      <c r="I11" s="233" t="s">
        <v>412</v>
      </c>
      <c r="J11" s="234" t="s">
        <v>33</v>
      </c>
      <c r="K11" s="234" t="s">
        <v>33</v>
      </c>
      <c r="L11" s="234" t="s">
        <v>33</v>
      </c>
      <c r="M11" s="234" t="s">
        <v>33</v>
      </c>
      <c r="N11" s="234" t="s">
        <v>33</v>
      </c>
      <c r="O11" s="234" t="s">
        <v>33</v>
      </c>
      <c r="P11" s="234" t="s">
        <v>33</v>
      </c>
      <c r="Q11" s="234" t="s">
        <v>33</v>
      </c>
      <c r="R11" s="234" t="s">
        <v>33</v>
      </c>
      <c r="S11" s="234" t="s">
        <v>33</v>
      </c>
      <c r="T11" s="234" t="s">
        <v>33</v>
      </c>
      <c r="U11" s="234" t="s">
        <v>33</v>
      </c>
      <c r="V11" s="235" t="s">
        <v>33</v>
      </c>
      <c r="W11" s="235" t="s">
        <v>33</v>
      </c>
      <c r="X11" s="235" t="s">
        <v>33</v>
      </c>
      <c r="Y11" s="235" t="s">
        <v>33</v>
      </c>
      <c r="Z11" s="235" t="s">
        <v>33</v>
      </c>
      <c r="AA11" s="235" t="s">
        <v>33</v>
      </c>
      <c r="AB11" s="235" t="s">
        <v>33</v>
      </c>
      <c r="AC11" s="235" t="s">
        <v>33</v>
      </c>
      <c r="AD11" s="235" t="s">
        <v>33</v>
      </c>
      <c r="AE11" s="235" t="s">
        <v>33</v>
      </c>
      <c r="AF11" s="235" t="s">
        <v>33</v>
      </c>
      <c r="AG11" s="235" t="s">
        <v>33</v>
      </c>
      <c r="AH11" s="235" t="s">
        <v>33</v>
      </c>
      <c r="AI11" s="235" t="s">
        <v>33</v>
      </c>
      <c r="AJ11" s="235" t="s">
        <v>33</v>
      </c>
      <c r="AK11" s="235" t="s">
        <v>33</v>
      </c>
      <c r="AL11" s="235" t="s">
        <v>33</v>
      </c>
      <c r="AM11" s="235" t="s">
        <v>33</v>
      </c>
      <c r="AN11" s="235" t="s">
        <v>33</v>
      </c>
      <c r="AO11" s="235" t="s">
        <v>33</v>
      </c>
      <c r="AP11" s="235" t="s">
        <v>33</v>
      </c>
      <c r="AQ11" s="235" t="s">
        <v>33</v>
      </c>
      <c r="AR11" s="235" t="s">
        <v>33</v>
      </c>
      <c r="AS11" s="235" t="s">
        <v>33</v>
      </c>
      <c r="AT11" s="235" t="s">
        <v>33</v>
      </c>
      <c r="AU11" s="235" t="s">
        <v>33</v>
      </c>
      <c r="AV11" s="235" t="s">
        <v>33</v>
      </c>
      <c r="AW11" s="235" t="s">
        <v>34</v>
      </c>
      <c r="AX11" s="235" t="s">
        <v>33</v>
      </c>
      <c r="AY11" s="235" t="s">
        <v>33</v>
      </c>
      <c r="AZ11" s="235" t="s">
        <v>33</v>
      </c>
      <c r="BA11" s="235" t="s">
        <v>33</v>
      </c>
      <c r="BB11" s="235" t="s">
        <v>33</v>
      </c>
      <c r="BC11" s="236" t="s">
        <v>33</v>
      </c>
      <c r="BD11" s="236" t="s">
        <v>33</v>
      </c>
      <c r="BE11" s="236" t="s">
        <v>33</v>
      </c>
      <c r="BF11" s="237" t="s">
        <v>33</v>
      </c>
      <c r="BG11" s="241"/>
      <c r="BH11" s="245" t="str">
        <f>Data[[#This Row],[Tipo de Muestra]]</f>
        <v>Critica</v>
      </c>
      <c r="BI11" s="241"/>
      <c r="BJ11" s="241"/>
      <c r="BK11">
        <f t="shared" si="0"/>
        <v>1</v>
      </c>
      <c r="BL11">
        <f t="shared" si="1"/>
        <v>1</v>
      </c>
      <c r="BM11">
        <f t="shared" si="2"/>
        <v>1</v>
      </c>
      <c r="BN11">
        <f t="shared" si="3"/>
        <v>1</v>
      </c>
      <c r="BO11">
        <f t="shared" si="4"/>
        <v>1</v>
      </c>
      <c r="BP11">
        <f t="shared" si="5"/>
        <v>1</v>
      </c>
      <c r="BQ11">
        <f t="shared" si="6"/>
        <v>1</v>
      </c>
      <c r="BR11">
        <f t="shared" si="7"/>
        <v>1</v>
      </c>
      <c r="BS11">
        <f t="shared" si="8"/>
        <v>1</v>
      </c>
      <c r="BT11">
        <f t="shared" si="9"/>
        <v>1</v>
      </c>
      <c r="BU11">
        <f t="shared" si="10"/>
        <v>1</v>
      </c>
      <c r="BV11">
        <f t="shared" si="11"/>
        <v>1</v>
      </c>
      <c r="BW11">
        <f t="shared" si="12"/>
        <v>1</v>
      </c>
      <c r="BX11">
        <f t="shared" si="13"/>
        <v>1</v>
      </c>
      <c r="BY11">
        <f t="shared" si="14"/>
        <v>0</v>
      </c>
      <c r="BZ11">
        <f t="shared" si="15"/>
        <v>0</v>
      </c>
      <c r="CA11">
        <f t="shared" si="16"/>
        <v>0</v>
      </c>
      <c r="CB11">
        <f t="shared" si="17"/>
        <v>0</v>
      </c>
      <c r="CC11">
        <f t="shared" si="18"/>
        <v>0</v>
      </c>
      <c r="CD11">
        <f t="shared" si="19"/>
        <v>0</v>
      </c>
      <c r="CE11">
        <f t="shared" si="20"/>
        <v>0</v>
      </c>
      <c r="CF11">
        <f t="shared" si="21"/>
        <v>0</v>
      </c>
      <c r="CG11">
        <f t="shared" si="22"/>
        <v>0</v>
      </c>
      <c r="CH11">
        <f t="shared" si="23"/>
        <v>0</v>
      </c>
      <c r="CI11">
        <f t="shared" si="24"/>
        <v>0</v>
      </c>
      <c r="CJ11">
        <f t="shared" si="25"/>
        <v>0</v>
      </c>
      <c r="CK11">
        <f t="shared" si="26"/>
        <v>0</v>
      </c>
      <c r="CL11">
        <f t="shared" si="27"/>
        <v>0</v>
      </c>
      <c r="CM11">
        <f t="shared" si="28"/>
        <v>0</v>
      </c>
      <c r="CN11">
        <f t="shared" si="29"/>
        <v>0</v>
      </c>
      <c r="CO11">
        <f t="shared" si="30"/>
        <v>0</v>
      </c>
      <c r="CP11">
        <f t="shared" si="31"/>
        <v>0</v>
      </c>
      <c r="CQ11">
        <f t="shared" si="32"/>
        <v>0</v>
      </c>
      <c r="CR11">
        <f t="shared" si="33"/>
        <v>0</v>
      </c>
      <c r="CS11">
        <f t="shared" si="34"/>
        <v>0</v>
      </c>
      <c r="CT11">
        <f t="shared" si="35"/>
        <v>0</v>
      </c>
      <c r="CU11">
        <f t="shared" si="36"/>
        <v>0</v>
      </c>
      <c r="CV11">
        <f t="shared" si="37"/>
        <v>0</v>
      </c>
      <c r="CW11">
        <f t="shared" si="38"/>
        <v>0</v>
      </c>
      <c r="CX11">
        <f t="shared" si="39"/>
        <v>0</v>
      </c>
      <c r="CY11">
        <f t="shared" si="40"/>
        <v>0</v>
      </c>
      <c r="CZ11">
        <f t="shared" si="41"/>
        <v>0</v>
      </c>
      <c r="DA11">
        <f t="shared" si="42"/>
        <v>0</v>
      </c>
      <c r="DB11">
        <f t="shared" si="43"/>
        <v>0</v>
      </c>
      <c r="DC11">
        <f t="shared" si="44"/>
        <v>0</v>
      </c>
      <c r="DD11" s="238">
        <f t="shared" si="45"/>
        <v>0</v>
      </c>
      <c r="DE11" s="238">
        <f t="shared" si="46"/>
        <v>0</v>
      </c>
      <c r="DF11" s="238">
        <f t="shared" si="47"/>
        <v>0</v>
      </c>
      <c r="DG11" s="238">
        <f t="shared" si="48"/>
        <v>1</v>
      </c>
      <c r="DH11" s="9">
        <f t="shared" si="49"/>
        <v>0.15</v>
      </c>
      <c r="DI11" s="9">
        <f t="shared" si="50"/>
        <v>0.15</v>
      </c>
      <c r="DJ11" s="9">
        <f t="shared" si="51"/>
        <v>0.15</v>
      </c>
      <c r="DK11" s="9">
        <f>IF(MIN(Data[[#This Row],[¿El agente cumple con la identificación formal y profesional?3]:[¿El agente realiza despedida corporativa?5]])=0,0,15%)</f>
        <v>0.15</v>
      </c>
      <c r="DL11" s="9">
        <f t="shared" si="52"/>
        <v>0.3</v>
      </c>
      <c r="DM11" s="9">
        <f t="shared" si="53"/>
        <v>0.3</v>
      </c>
      <c r="DN11" s="9">
        <f t="shared" si="54"/>
        <v>0.3</v>
      </c>
      <c r="DO11" s="9">
        <f t="shared" si="55"/>
        <v>0.3</v>
      </c>
      <c r="DP11" s="9">
        <f>IF(MIN(Data[[#This Row],[¿El agente demuestra escucha activa durante la gestión?6]:[¿El agente parafrasea para confirmar entendimiento?9]])=0,0,30%)</f>
        <v>0.3</v>
      </c>
      <c r="DQ11" s="9">
        <f t="shared" si="56"/>
        <v>0.3</v>
      </c>
      <c r="DR11" s="9">
        <f t="shared" si="57"/>
        <v>0.3</v>
      </c>
      <c r="DS11" s="9">
        <f t="shared" si="58"/>
        <v>0.3</v>
      </c>
      <c r="DT11" s="9">
        <f t="shared" si="59"/>
        <v>0.3</v>
      </c>
      <c r="DU11" s="239">
        <f>IF(MIN(Data[[#This Row],[¿El agente adapta su comunicación al cliente?11]:[¿El agente utiliza el plural corporativo correctamente?14]])=0,0,30%)</f>
        <v>0.3</v>
      </c>
      <c r="DV11" s="9">
        <f t="shared" si="60"/>
        <v>0.25</v>
      </c>
      <c r="DW11" s="9">
        <f t="shared" si="151"/>
        <v>0.25</v>
      </c>
      <c r="DX11" s="9">
        <f t="shared" si="152"/>
        <v>1</v>
      </c>
      <c r="DY11" s="9">
        <f t="shared" si="61"/>
        <v>1</v>
      </c>
      <c r="DZ11" s="9">
        <f t="shared" si="62"/>
        <v>1</v>
      </c>
      <c r="EA11" s="9">
        <f t="shared" si="63"/>
        <v>1</v>
      </c>
      <c r="EB11" s="9">
        <f t="shared" si="64"/>
        <v>1</v>
      </c>
      <c r="EC11" s="9">
        <f>IF(SUM(Data[[#This Row],[¿El agente informa correctamente sobre los centros de pago?19]:[¿El agente explica el ciclo de facturación adecuadamente?22]])=400%,100%,0%)</f>
        <v>1</v>
      </c>
      <c r="ED11" s="9">
        <f t="shared" si="65"/>
        <v>1</v>
      </c>
      <c r="EE11" s="9">
        <f t="shared" si="66"/>
        <v>1</v>
      </c>
      <c r="EF11" s="9">
        <f>IF(SUM(Data[[#This Row],[¿El agente presenta correctamente los beneficios del producto?23]:[¿El agente comunica beneficios emocionales al cliente?24]])=200%,100%,0%)</f>
        <v>1</v>
      </c>
      <c r="EG11" s="9">
        <f t="shared" si="67"/>
        <v>1</v>
      </c>
      <c r="EH11" s="9">
        <f t="shared" si="68"/>
        <v>1</v>
      </c>
      <c r="EI11" s="9">
        <f t="shared" si="69"/>
        <v>1</v>
      </c>
      <c r="EJ11" s="9">
        <f>IF(SUM(Data[[#This Row],[¿El agente realiza un resumen comercial adecuado?25]:[¿El agente formaliza correctamente el acuerdo de venta?27]])=300%,100%,0%)</f>
        <v>1</v>
      </c>
      <c r="EK11" s="9">
        <f t="shared" si="70"/>
        <v>1</v>
      </c>
      <c r="EL11" s="9">
        <f>+Data[[#This Row],[¿El agente explica los términos y condiciones del servicio?28]]</f>
        <v>1</v>
      </c>
      <c r="EM11" s="9">
        <f t="shared" si="71"/>
        <v>1</v>
      </c>
      <c r="EN11" s="9">
        <f>+Data[[#This Row],[¿El agente identifica correctamente la solicitud del cliente?29]]</f>
        <v>1</v>
      </c>
      <c r="EO11" s="9">
        <f t="shared" si="72"/>
        <v>1</v>
      </c>
      <c r="EP11" s="9">
        <f t="shared" si="73"/>
        <v>1</v>
      </c>
      <c r="EQ11" s="9">
        <f t="shared" si="74"/>
        <v>1</v>
      </c>
      <c r="ER11" s="9">
        <f>IF(SUM(Data[[#This Row],[¿El agente evita activar un servicio diferente al solicitado?30]:[¿El agente configura adecuadamente el producto contratado?32]])=300%,100%,0%)</f>
        <v>1</v>
      </c>
      <c r="ES11" s="9">
        <f t="shared" si="75"/>
        <v>1</v>
      </c>
      <c r="ET11" s="9">
        <f t="shared" si="76"/>
        <v>1</v>
      </c>
      <c r="EU11" s="9">
        <f>IF(SUM(Data[[#This Row],[¿El agente mantiene respeto y cordialidad en toda la interacción?33]:[¿El agente utiliza un lenguaje adecuado y profesional?34]])=200%,100%,0%)</f>
        <v>1</v>
      </c>
      <c r="EV11" s="9">
        <f t="shared" si="77"/>
        <v>1</v>
      </c>
      <c r="EW11" s="9">
        <f t="shared" si="78"/>
        <v>1</v>
      </c>
      <c r="EX11" s="9">
        <f t="shared" si="79"/>
        <v>1</v>
      </c>
      <c r="EY11" s="9">
        <f t="shared" si="80"/>
        <v>1</v>
      </c>
      <c r="EZ11" s="9">
        <f t="shared" si="81"/>
        <v>1</v>
      </c>
      <c r="FA11" s="9">
        <f t="shared" si="82"/>
        <v>1</v>
      </c>
      <c r="FB11" s="9">
        <f>IF(SUM(Data[[#This Row],[¿El agente verifica correctamente la cobertura?35]:[¿El agente agenda citas o gestiones cuando es necesario?41]])=600%,100%,0%)</f>
        <v>1</v>
      </c>
      <c r="FC11" s="9">
        <f t="shared" si="153"/>
        <v>1</v>
      </c>
      <c r="FD11" s="9">
        <f t="shared" si="83"/>
        <v>1</v>
      </c>
      <c r="FE11" s="9">
        <f t="shared" si="84"/>
        <v>1</v>
      </c>
      <c r="FF11" s="9">
        <f t="shared" si="85"/>
        <v>1</v>
      </c>
      <c r="FG11" s="9">
        <f t="shared" si="86"/>
        <v>1</v>
      </c>
      <c r="FH11" s="9">
        <f t="shared" si="87"/>
        <v>1</v>
      </c>
      <c r="FI11" s="9">
        <f t="shared" si="88"/>
        <v>0</v>
      </c>
      <c r="FJ11" s="9">
        <f>IF(SUM(Data[[#This Row],[¿El agente ofrece adecuadamente un producto adicional?42]:[¿El agente maneja correctamente las objeciones del cliente?47]])=600%,100%,)</f>
        <v>0</v>
      </c>
      <c r="FK11" s="9">
        <f t="shared" si="89"/>
        <v>1</v>
      </c>
      <c r="FL11" s="9">
        <f>+Data[[#This Row],[¿El agente gestiona la oferta según la campaña vigente?48]]</f>
        <v>1</v>
      </c>
      <c r="FM11" s="9">
        <f t="shared" si="90"/>
        <v>1</v>
      </c>
      <c r="FN11" s="9">
        <f t="shared" si="91"/>
        <v>1</v>
      </c>
      <c r="FO11" s="9">
        <f t="shared" si="92"/>
        <v>1</v>
      </c>
      <c r="FP11" s="9">
        <f>IF(SUM(Data[[#This Row],[¿El agente solicita coordenadas cuando es necesario?49]:[¿El agente maneja adecuadamente llamadas en conferencia?51]])=300%,100%,)</f>
        <v>1</v>
      </c>
      <c r="FQ11" s="9">
        <f t="shared" si="93"/>
        <v>1</v>
      </c>
      <c r="FR11" s="9">
        <f>+Data[[#This Row],[¿El agente registra correctamente todas las interacciones?52]]</f>
        <v>1</v>
      </c>
      <c r="FS11" s="9">
        <f t="shared" si="154"/>
        <v>0</v>
      </c>
      <c r="FT11" s="238">
        <f t="shared" si="155"/>
        <v>1</v>
      </c>
      <c r="FU11" s="9">
        <f>+Data[[#This Row],[¿El agente confirma la titularidad del cliente adecuadamente?53]]</f>
        <v>1</v>
      </c>
      <c r="FV11" s="238">
        <f t="shared" si="94"/>
        <v>1</v>
      </c>
      <c r="FW11" s="238">
        <f t="shared" si="95"/>
        <v>1</v>
      </c>
      <c r="FX11" s="9">
        <f>IF(SUM(Data[[#This Row],[¿El agente evita la omisión de alertas importantes?54]]:Data[[#This Row],[¿El agente mantiene conducta ética durante la interacción?55]])=200%,100%,)</f>
        <v>1</v>
      </c>
      <c r="FY11" s="238">
        <f t="shared" si="96"/>
        <v>1</v>
      </c>
      <c r="FZ11" s="9">
        <f>+Data[[#This Row],[¿El agente evita compartir información sensible?56]]</f>
        <v>1</v>
      </c>
      <c r="GA11" s="9">
        <f t="shared" si="156"/>
        <v>1</v>
      </c>
      <c r="GB11" s="239">
        <f t="shared" si="97"/>
        <v>0.1</v>
      </c>
      <c r="GC11" s="239">
        <f t="shared" si="98"/>
        <v>0.3</v>
      </c>
      <c r="GD11" s="240">
        <f t="shared" si="99"/>
        <v>0</v>
      </c>
      <c r="GE11" s="240">
        <f t="shared" si="100"/>
        <v>0.3</v>
      </c>
      <c r="GF11" s="9">
        <f>SUM(Data[[#This Row],[PESO PENC]:[PESO PECCUM]])</f>
        <v>0.7</v>
      </c>
      <c r="GG11" s="238">
        <f>1</f>
        <v>1</v>
      </c>
      <c r="GH11" s="238">
        <f t="shared" si="101"/>
        <v>1</v>
      </c>
      <c r="GI11" t="str">
        <f t="shared" si="102"/>
        <v/>
      </c>
      <c r="GJ11" t="str">
        <f t="shared" si="103"/>
        <v/>
      </c>
      <c r="GK11" t="str">
        <f t="shared" si="104"/>
        <v/>
      </c>
      <c r="GN11" t="str">
        <f t="shared" si="105"/>
        <v/>
      </c>
      <c r="GO11" t="str">
        <f t="shared" si="106"/>
        <v/>
      </c>
      <c r="GP11" t="str">
        <f t="shared" si="107"/>
        <v/>
      </c>
      <c r="GQ11" t="str">
        <f t="shared" si="108"/>
        <v/>
      </c>
      <c r="GR11" t="str">
        <f t="shared" si="109"/>
        <v/>
      </c>
      <c r="GS11" t="str">
        <f t="shared" si="110"/>
        <v/>
      </c>
      <c r="GT11" t="str">
        <f t="shared" si="111"/>
        <v/>
      </c>
      <c r="GU11" t="e">
        <f>IF(#REF!="No",#REF!,"")</f>
        <v>#REF!</v>
      </c>
      <c r="GV11" t="str">
        <f t="shared" si="112"/>
        <v/>
      </c>
      <c r="GW11" t="str">
        <f t="shared" si="113"/>
        <v/>
      </c>
      <c r="GX11" t="str">
        <f t="shared" si="114"/>
        <v/>
      </c>
      <c r="GY11" t="str">
        <f t="shared" si="115"/>
        <v/>
      </c>
      <c r="GZ11" t="str">
        <f t="shared" si="116"/>
        <v/>
      </c>
      <c r="HA11" t="str">
        <f t="shared" si="117"/>
        <v/>
      </c>
      <c r="HB11" t="str">
        <f t="shared" si="118"/>
        <v/>
      </c>
      <c r="HC11" t="str">
        <f t="shared" si="119"/>
        <v/>
      </c>
      <c r="HD11" t="str">
        <f t="shared" si="120"/>
        <v/>
      </c>
      <c r="HE11" t="str">
        <f t="shared" si="121"/>
        <v/>
      </c>
      <c r="HF11" t="str">
        <f t="shared" si="122"/>
        <v/>
      </c>
      <c r="HG11" t="str">
        <f t="shared" si="123"/>
        <v/>
      </c>
      <c r="HH11" t="str">
        <f t="shared" si="124"/>
        <v/>
      </c>
      <c r="HI11" t="str">
        <f t="shared" si="125"/>
        <v/>
      </c>
      <c r="HJ11" t="str">
        <f t="shared" si="126"/>
        <v/>
      </c>
      <c r="HK11" t="str">
        <f t="shared" si="127"/>
        <v/>
      </c>
      <c r="HL11" t="str">
        <f t="shared" si="128"/>
        <v/>
      </c>
      <c r="HM11" t="str">
        <f t="shared" si="129"/>
        <v/>
      </c>
      <c r="HN11" t="str">
        <f t="shared" si="130"/>
        <v/>
      </c>
      <c r="HO11" t="str">
        <f t="shared" si="131"/>
        <v/>
      </c>
      <c r="HP11" t="str">
        <f t="shared" si="132"/>
        <v/>
      </c>
      <c r="HQ11" t="str">
        <f t="shared" si="133"/>
        <v/>
      </c>
      <c r="HR11" t="e">
        <f>IF(#REF!="No",#REF!,"")</f>
        <v>#REF!</v>
      </c>
      <c r="HS11" t="str">
        <f t="shared" si="134"/>
        <v/>
      </c>
      <c r="HT11" t="str">
        <f t="shared" si="135"/>
        <v/>
      </c>
      <c r="HU11" t="str">
        <f t="shared" si="136"/>
        <v/>
      </c>
      <c r="HV11" t="str">
        <f t="shared" si="137"/>
        <v/>
      </c>
      <c r="HW11" t="str">
        <f t="shared" si="138"/>
        <v/>
      </c>
      <c r="HX11" t="str">
        <f t="shared" si="139"/>
        <v xml:space="preserve">¿El agente maneja correctamente las objeciones del cliente? </v>
      </c>
      <c r="HY11" t="str">
        <f t="shared" si="140"/>
        <v/>
      </c>
      <c r="HZ11" t="str">
        <f t="shared" si="141"/>
        <v/>
      </c>
      <c r="IA11" t="str">
        <f t="shared" si="142"/>
        <v/>
      </c>
      <c r="IB11" t="str">
        <f t="shared" si="143"/>
        <v/>
      </c>
      <c r="IC11" t="str">
        <f t="shared" si="144"/>
        <v/>
      </c>
      <c r="ID11" s="238" t="str">
        <f t="shared" si="145"/>
        <v/>
      </c>
      <c r="IE11" s="238" t="str">
        <f t="shared" si="146"/>
        <v/>
      </c>
      <c r="IF11" s="238" t="str">
        <f t="shared" si="147"/>
        <v/>
      </c>
      <c r="IG11" s="238" t="str">
        <f t="shared" si="148"/>
        <v/>
      </c>
      <c r="IH11" s="241" t="str">
        <f>A11&amp;" "&amp;F11&amp;" "&amp;Data[[#This Row],[mes]]</f>
        <v>Max Heurtematte   Outbound jun-26</v>
      </c>
      <c r="II11" s="244">
        <f>COUNTIF($IH11:$IH44,IH11)</f>
        <v>2</v>
      </c>
      <c r="IJ11" s="241">
        <f>IF(COUNTIF($IH$4:IH11,IH11)=1,1,0)</f>
        <v>0</v>
      </c>
      <c r="IK11" s="244">
        <f>IF(Data[[#This Row],[Muestra Critica]]&gt;0,Data[[#This Row],[Muestra Critica]],"")</f>
        <v>1</v>
      </c>
      <c r="IL11" s="238">
        <f>IF(IK11="","",COUNTIF($IK$4:$IK43,IK11))</f>
        <v>26</v>
      </c>
      <c r="IM11">
        <f t="shared" si="149"/>
        <v>0</v>
      </c>
      <c r="IN11" s="241" t="str">
        <f t="shared" si="150"/>
        <v>jun-26</v>
      </c>
      <c r="IO11" s="241"/>
      <c r="IP11" s="241"/>
      <c r="IQ11" s="241"/>
      <c r="IR11" s="241"/>
      <c r="IS11" s="241">
        <f>IFERROR(_xlfn.XLOOKUP(A:A,HC!B:B,HC!E:E,,0),0)</f>
        <v>0</v>
      </c>
    </row>
    <row r="12" spans="1:253" ht="15.5" x14ac:dyDescent="0.35">
      <c r="A12" s="232" t="s">
        <v>419</v>
      </c>
      <c r="B12" s="232">
        <v>63480018</v>
      </c>
      <c r="C12" s="242">
        <v>46193</v>
      </c>
      <c r="D12" s="232" t="s">
        <v>406</v>
      </c>
      <c r="E12" s="232" t="s">
        <v>398</v>
      </c>
      <c r="F12" s="232" t="s">
        <v>32</v>
      </c>
      <c r="G12" s="232" t="s">
        <v>402</v>
      </c>
      <c r="H12" s="232" t="s">
        <v>420</v>
      </c>
      <c r="I12" s="233" t="s">
        <v>412</v>
      </c>
      <c r="J12" s="234" t="s">
        <v>33</v>
      </c>
      <c r="K12" s="234" t="s">
        <v>33</v>
      </c>
      <c r="L12" s="234" t="s">
        <v>33</v>
      </c>
      <c r="M12" s="234" t="s">
        <v>33</v>
      </c>
      <c r="N12" s="234" t="s">
        <v>33</v>
      </c>
      <c r="O12" s="234" t="s">
        <v>33</v>
      </c>
      <c r="P12" s="234" t="s">
        <v>33</v>
      </c>
      <c r="Q12" s="234" t="s">
        <v>33</v>
      </c>
      <c r="R12" s="234" t="s">
        <v>33</v>
      </c>
      <c r="S12" s="234" t="s">
        <v>33</v>
      </c>
      <c r="T12" s="234" t="s">
        <v>33</v>
      </c>
      <c r="U12" s="234" t="s">
        <v>33</v>
      </c>
      <c r="V12" s="235" t="s">
        <v>33</v>
      </c>
      <c r="W12" s="235" t="s">
        <v>33</v>
      </c>
      <c r="X12" s="235" t="s">
        <v>33</v>
      </c>
      <c r="Y12" s="235" t="s">
        <v>33</v>
      </c>
      <c r="Z12" s="235" t="s">
        <v>34</v>
      </c>
      <c r="AA12" s="235" t="s">
        <v>33</v>
      </c>
      <c r="AB12" s="235" t="s">
        <v>33</v>
      </c>
      <c r="AC12" s="235" t="s">
        <v>33</v>
      </c>
      <c r="AD12" s="235" t="s">
        <v>33</v>
      </c>
      <c r="AE12" s="235" t="s">
        <v>33</v>
      </c>
      <c r="AF12" s="235" t="s">
        <v>33</v>
      </c>
      <c r="AG12" s="235" t="s">
        <v>33</v>
      </c>
      <c r="AH12" s="235" t="s">
        <v>33</v>
      </c>
      <c r="AI12" s="235" t="s">
        <v>33</v>
      </c>
      <c r="AJ12" s="235" t="s">
        <v>33</v>
      </c>
      <c r="AK12" s="235" t="s">
        <v>33</v>
      </c>
      <c r="AL12" s="235" t="s">
        <v>33</v>
      </c>
      <c r="AM12" s="235" t="s">
        <v>33</v>
      </c>
      <c r="AN12" s="235" t="s">
        <v>33</v>
      </c>
      <c r="AO12" s="235" t="s">
        <v>33</v>
      </c>
      <c r="AP12" s="235" t="s">
        <v>33</v>
      </c>
      <c r="AQ12" s="235" t="s">
        <v>33</v>
      </c>
      <c r="AR12" s="235" t="s">
        <v>33</v>
      </c>
      <c r="AS12" s="235" t="s">
        <v>33</v>
      </c>
      <c r="AT12" s="235" t="s">
        <v>33</v>
      </c>
      <c r="AU12" s="235" t="s">
        <v>33</v>
      </c>
      <c r="AV12" s="235" t="s">
        <v>33</v>
      </c>
      <c r="AW12" s="235" t="s">
        <v>33</v>
      </c>
      <c r="AX12" s="235" t="s">
        <v>33</v>
      </c>
      <c r="AY12" s="235" t="s">
        <v>33</v>
      </c>
      <c r="AZ12" s="235" t="s">
        <v>33</v>
      </c>
      <c r="BA12" s="235" t="s">
        <v>33</v>
      </c>
      <c r="BB12" s="235" t="s">
        <v>33</v>
      </c>
      <c r="BC12" s="236" t="s">
        <v>33</v>
      </c>
      <c r="BD12" s="236" t="s">
        <v>33</v>
      </c>
      <c r="BE12" s="236" t="s">
        <v>33</v>
      </c>
      <c r="BF12" s="237" t="s">
        <v>33</v>
      </c>
      <c r="BG12" s="241"/>
      <c r="BH12" s="245" t="str">
        <f>Data[[#This Row],[Tipo de Muestra]]</f>
        <v>Critica</v>
      </c>
      <c r="BI12" s="241"/>
      <c r="BJ12" s="241"/>
      <c r="BK12">
        <f t="shared" si="0"/>
        <v>1</v>
      </c>
      <c r="BL12">
        <f t="shared" si="1"/>
        <v>1</v>
      </c>
      <c r="BM12">
        <f t="shared" si="2"/>
        <v>1</v>
      </c>
      <c r="BN12">
        <f t="shared" si="3"/>
        <v>1</v>
      </c>
      <c r="BO12">
        <f t="shared" si="4"/>
        <v>1</v>
      </c>
      <c r="BP12">
        <f t="shared" si="5"/>
        <v>1</v>
      </c>
      <c r="BQ12">
        <f t="shared" si="6"/>
        <v>1</v>
      </c>
      <c r="BR12">
        <f t="shared" si="7"/>
        <v>1</v>
      </c>
      <c r="BS12">
        <f t="shared" si="8"/>
        <v>1</v>
      </c>
      <c r="BT12">
        <f t="shared" si="9"/>
        <v>1</v>
      </c>
      <c r="BU12">
        <f t="shared" si="10"/>
        <v>1</v>
      </c>
      <c r="BV12">
        <f t="shared" si="11"/>
        <v>1</v>
      </c>
      <c r="BW12">
        <f t="shared" si="12"/>
        <v>1</v>
      </c>
      <c r="BX12">
        <f t="shared" si="13"/>
        <v>1</v>
      </c>
      <c r="BY12">
        <f t="shared" si="14"/>
        <v>0</v>
      </c>
      <c r="BZ12">
        <f t="shared" si="15"/>
        <v>0</v>
      </c>
      <c r="CA12">
        <f t="shared" si="16"/>
        <v>0</v>
      </c>
      <c r="CB12">
        <f t="shared" si="17"/>
        <v>0</v>
      </c>
      <c r="CC12">
        <f t="shared" si="18"/>
        <v>0</v>
      </c>
      <c r="CD12">
        <f t="shared" si="19"/>
        <v>0</v>
      </c>
      <c r="CE12">
        <f t="shared" si="20"/>
        <v>0</v>
      </c>
      <c r="CF12">
        <f t="shared" si="21"/>
        <v>0</v>
      </c>
      <c r="CG12">
        <f t="shared" si="22"/>
        <v>0</v>
      </c>
      <c r="CH12">
        <f t="shared" si="23"/>
        <v>0</v>
      </c>
      <c r="CI12">
        <f t="shared" si="24"/>
        <v>0</v>
      </c>
      <c r="CJ12">
        <f t="shared" si="25"/>
        <v>0</v>
      </c>
      <c r="CK12">
        <f t="shared" si="26"/>
        <v>0</v>
      </c>
      <c r="CL12">
        <f t="shared" si="27"/>
        <v>0</v>
      </c>
      <c r="CM12">
        <f t="shared" si="28"/>
        <v>0</v>
      </c>
      <c r="CN12">
        <f t="shared" si="29"/>
        <v>0</v>
      </c>
      <c r="CO12">
        <f t="shared" si="30"/>
        <v>0</v>
      </c>
      <c r="CP12">
        <f t="shared" si="31"/>
        <v>0</v>
      </c>
      <c r="CQ12">
        <f t="shared" si="32"/>
        <v>0</v>
      </c>
      <c r="CR12">
        <f t="shared" si="33"/>
        <v>0</v>
      </c>
      <c r="CS12">
        <f t="shared" si="34"/>
        <v>0</v>
      </c>
      <c r="CT12">
        <f t="shared" si="35"/>
        <v>0</v>
      </c>
      <c r="CU12">
        <f t="shared" si="36"/>
        <v>0</v>
      </c>
      <c r="CV12">
        <f t="shared" si="37"/>
        <v>0</v>
      </c>
      <c r="CW12">
        <f t="shared" si="38"/>
        <v>0</v>
      </c>
      <c r="CX12">
        <f t="shared" si="39"/>
        <v>0</v>
      </c>
      <c r="CY12">
        <f t="shared" si="40"/>
        <v>0</v>
      </c>
      <c r="CZ12">
        <f t="shared" si="41"/>
        <v>0</v>
      </c>
      <c r="DA12">
        <f t="shared" si="42"/>
        <v>0</v>
      </c>
      <c r="DB12">
        <f t="shared" si="43"/>
        <v>0</v>
      </c>
      <c r="DC12">
        <f t="shared" si="44"/>
        <v>0</v>
      </c>
      <c r="DD12" s="238">
        <f t="shared" si="45"/>
        <v>0</v>
      </c>
      <c r="DE12" s="238">
        <f t="shared" si="46"/>
        <v>0</v>
      </c>
      <c r="DF12" s="238">
        <f t="shared" si="47"/>
        <v>0</v>
      </c>
      <c r="DG12" s="238">
        <f t="shared" si="48"/>
        <v>1</v>
      </c>
      <c r="DH12" s="9">
        <f t="shared" si="49"/>
        <v>0.15</v>
      </c>
      <c r="DI12" s="9">
        <f t="shared" si="50"/>
        <v>0.15</v>
      </c>
      <c r="DJ12" s="9">
        <f t="shared" si="51"/>
        <v>0.15</v>
      </c>
      <c r="DK12" s="9">
        <f>IF(MIN(Data[[#This Row],[¿El agente cumple con la identificación formal y profesional?3]:[¿El agente realiza despedida corporativa?5]])=0,0,15%)</f>
        <v>0.15</v>
      </c>
      <c r="DL12" s="9">
        <f t="shared" si="52"/>
        <v>0.3</v>
      </c>
      <c r="DM12" s="9">
        <f t="shared" si="53"/>
        <v>0.3</v>
      </c>
      <c r="DN12" s="9">
        <f t="shared" si="54"/>
        <v>0.3</v>
      </c>
      <c r="DO12" s="9">
        <f t="shared" si="55"/>
        <v>0.3</v>
      </c>
      <c r="DP12" s="9">
        <f>IF(MIN(Data[[#This Row],[¿El agente demuestra escucha activa durante la gestión?6]:[¿El agente parafrasea para confirmar entendimiento?9]])=0,0,30%)</f>
        <v>0.3</v>
      </c>
      <c r="DQ12" s="9">
        <f t="shared" si="56"/>
        <v>0.3</v>
      </c>
      <c r="DR12" s="9">
        <f t="shared" si="57"/>
        <v>0.3</v>
      </c>
      <c r="DS12" s="9">
        <f t="shared" si="58"/>
        <v>0.3</v>
      </c>
      <c r="DT12" s="9">
        <f t="shared" si="59"/>
        <v>0.3</v>
      </c>
      <c r="DU12" s="239">
        <f>IF(MIN(Data[[#This Row],[¿El agente adapta su comunicación al cliente?11]:[¿El agente utiliza el plural corporativo correctamente?14]])=0,0,30%)</f>
        <v>0.3</v>
      </c>
      <c r="DV12" s="9">
        <f t="shared" si="60"/>
        <v>0.25</v>
      </c>
      <c r="DW12" s="9">
        <f t="shared" si="151"/>
        <v>0.25</v>
      </c>
      <c r="DX12" s="9">
        <f t="shared" si="152"/>
        <v>1</v>
      </c>
      <c r="DY12" s="9">
        <f t="shared" si="61"/>
        <v>1</v>
      </c>
      <c r="DZ12" s="9">
        <f t="shared" si="62"/>
        <v>1</v>
      </c>
      <c r="EA12" s="9">
        <f t="shared" si="63"/>
        <v>1</v>
      </c>
      <c r="EB12" s="9">
        <f t="shared" si="64"/>
        <v>0</v>
      </c>
      <c r="EC12" s="9">
        <f>IF(SUM(Data[[#This Row],[¿El agente informa correctamente sobre los centros de pago?19]:[¿El agente explica el ciclo de facturación adecuadamente?22]])=400%,100%,0%)</f>
        <v>0</v>
      </c>
      <c r="ED12" s="9">
        <f t="shared" si="65"/>
        <v>1</v>
      </c>
      <c r="EE12" s="9">
        <f t="shared" si="66"/>
        <v>1</v>
      </c>
      <c r="EF12" s="9">
        <f>IF(SUM(Data[[#This Row],[¿El agente presenta correctamente los beneficios del producto?23]:[¿El agente comunica beneficios emocionales al cliente?24]])=200%,100%,0%)</f>
        <v>1</v>
      </c>
      <c r="EG12" s="9">
        <f t="shared" si="67"/>
        <v>1</v>
      </c>
      <c r="EH12" s="9">
        <f t="shared" si="68"/>
        <v>1</v>
      </c>
      <c r="EI12" s="9">
        <f t="shared" si="69"/>
        <v>1</v>
      </c>
      <c r="EJ12" s="9">
        <f>IF(SUM(Data[[#This Row],[¿El agente realiza un resumen comercial adecuado?25]:[¿El agente formaliza correctamente el acuerdo de venta?27]])=300%,100%,0%)</f>
        <v>1</v>
      </c>
      <c r="EK12" s="9">
        <f t="shared" si="70"/>
        <v>1</v>
      </c>
      <c r="EL12" s="9">
        <f>+Data[[#This Row],[¿El agente explica los términos y condiciones del servicio?28]]</f>
        <v>1</v>
      </c>
      <c r="EM12" s="9">
        <f t="shared" si="71"/>
        <v>1</v>
      </c>
      <c r="EN12" s="9">
        <f>+Data[[#This Row],[¿El agente identifica correctamente la solicitud del cliente?29]]</f>
        <v>1</v>
      </c>
      <c r="EO12" s="9">
        <f t="shared" si="72"/>
        <v>1</v>
      </c>
      <c r="EP12" s="9">
        <f t="shared" si="73"/>
        <v>1</v>
      </c>
      <c r="EQ12" s="9">
        <f t="shared" si="74"/>
        <v>1</v>
      </c>
      <c r="ER12" s="9">
        <f>IF(SUM(Data[[#This Row],[¿El agente evita activar un servicio diferente al solicitado?30]:[¿El agente configura adecuadamente el producto contratado?32]])=300%,100%,0%)</f>
        <v>1</v>
      </c>
      <c r="ES12" s="9">
        <f t="shared" si="75"/>
        <v>1</v>
      </c>
      <c r="ET12" s="9">
        <f t="shared" si="76"/>
        <v>1</v>
      </c>
      <c r="EU12" s="9">
        <f>IF(SUM(Data[[#This Row],[¿El agente mantiene respeto y cordialidad en toda la interacción?33]:[¿El agente utiliza un lenguaje adecuado y profesional?34]])=200%,100%,0%)</f>
        <v>1</v>
      </c>
      <c r="EV12" s="9">
        <f t="shared" si="77"/>
        <v>1</v>
      </c>
      <c r="EW12" s="9">
        <f t="shared" si="78"/>
        <v>1</v>
      </c>
      <c r="EX12" s="9">
        <f t="shared" si="79"/>
        <v>1</v>
      </c>
      <c r="EY12" s="9">
        <f t="shared" si="80"/>
        <v>1</v>
      </c>
      <c r="EZ12" s="9">
        <f t="shared" si="81"/>
        <v>1</v>
      </c>
      <c r="FA12" s="9">
        <f t="shared" si="82"/>
        <v>1</v>
      </c>
      <c r="FB12" s="9">
        <f>IF(SUM(Data[[#This Row],[¿El agente verifica correctamente la cobertura?35]:[¿El agente agenda citas o gestiones cuando es necesario?41]])=600%,100%,0%)</f>
        <v>1</v>
      </c>
      <c r="FC12" s="9">
        <f t="shared" si="153"/>
        <v>0</v>
      </c>
      <c r="FD12" s="9">
        <f t="shared" si="83"/>
        <v>1</v>
      </c>
      <c r="FE12" s="9">
        <f t="shared" si="84"/>
        <v>1</v>
      </c>
      <c r="FF12" s="9">
        <f t="shared" si="85"/>
        <v>1</v>
      </c>
      <c r="FG12" s="9">
        <f t="shared" si="86"/>
        <v>1</v>
      </c>
      <c r="FH12" s="9">
        <f t="shared" si="87"/>
        <v>1</v>
      </c>
      <c r="FI12" s="9">
        <f t="shared" si="88"/>
        <v>1</v>
      </c>
      <c r="FJ12" s="9">
        <f>IF(SUM(Data[[#This Row],[¿El agente ofrece adecuadamente un producto adicional?42]:[¿El agente maneja correctamente las objeciones del cliente?47]])=600%,100%,)</f>
        <v>1</v>
      </c>
      <c r="FK12" s="9">
        <f t="shared" si="89"/>
        <v>1</v>
      </c>
      <c r="FL12" s="9">
        <f>+Data[[#This Row],[¿El agente gestiona la oferta según la campaña vigente?48]]</f>
        <v>1</v>
      </c>
      <c r="FM12" s="9">
        <f t="shared" si="90"/>
        <v>1</v>
      </c>
      <c r="FN12" s="9">
        <f t="shared" si="91"/>
        <v>1</v>
      </c>
      <c r="FO12" s="9">
        <f t="shared" si="92"/>
        <v>1</v>
      </c>
      <c r="FP12" s="9">
        <f>IF(SUM(Data[[#This Row],[¿El agente solicita coordenadas cuando es necesario?49]:[¿El agente maneja adecuadamente llamadas en conferencia?51]])=300%,100%,)</f>
        <v>1</v>
      </c>
      <c r="FQ12" s="9">
        <f t="shared" si="93"/>
        <v>1</v>
      </c>
      <c r="FR12" s="9">
        <f>+Data[[#This Row],[¿El agente registra correctamente todas las interacciones?52]]</f>
        <v>1</v>
      </c>
      <c r="FS12" s="9">
        <f t="shared" si="154"/>
        <v>1</v>
      </c>
      <c r="FT12" s="238">
        <f t="shared" si="155"/>
        <v>1</v>
      </c>
      <c r="FU12" s="9">
        <f>+Data[[#This Row],[¿El agente confirma la titularidad del cliente adecuadamente?53]]</f>
        <v>1</v>
      </c>
      <c r="FV12" s="238">
        <f t="shared" si="94"/>
        <v>1</v>
      </c>
      <c r="FW12" s="238">
        <f t="shared" si="95"/>
        <v>1</v>
      </c>
      <c r="FX12" s="9">
        <f>IF(SUM(Data[[#This Row],[¿El agente evita la omisión de alertas importantes?54]]:Data[[#This Row],[¿El agente mantiene conducta ética durante la interacción?55]])=200%,100%,)</f>
        <v>1</v>
      </c>
      <c r="FY12" s="238">
        <f t="shared" si="96"/>
        <v>1</v>
      </c>
      <c r="FZ12" s="9">
        <f>+Data[[#This Row],[¿El agente evita compartir información sensible?56]]</f>
        <v>1</v>
      </c>
      <c r="GA12" s="9">
        <f t="shared" si="156"/>
        <v>1</v>
      </c>
      <c r="GB12" s="239">
        <f t="shared" si="97"/>
        <v>0.1</v>
      </c>
      <c r="GC12" s="239">
        <f t="shared" si="98"/>
        <v>0</v>
      </c>
      <c r="GD12" s="240">
        <f t="shared" si="99"/>
        <v>0.3</v>
      </c>
      <c r="GE12" s="240">
        <f t="shared" si="100"/>
        <v>0.3</v>
      </c>
      <c r="GF12" s="9">
        <f>SUM(Data[[#This Row],[PESO PENC]:[PESO PECCUM]])</f>
        <v>0.7</v>
      </c>
      <c r="GG12" s="238">
        <f>1</f>
        <v>1</v>
      </c>
      <c r="GH12" s="238">
        <f t="shared" si="101"/>
        <v>1</v>
      </c>
      <c r="GI12" t="str">
        <f t="shared" si="102"/>
        <v/>
      </c>
      <c r="GJ12" t="str">
        <f t="shared" si="103"/>
        <v/>
      </c>
      <c r="GK12" t="str">
        <f t="shared" si="104"/>
        <v/>
      </c>
      <c r="GN12" t="str">
        <f t="shared" si="105"/>
        <v/>
      </c>
      <c r="GO12" t="str">
        <f t="shared" si="106"/>
        <v/>
      </c>
      <c r="GP12" t="str">
        <f t="shared" si="107"/>
        <v/>
      </c>
      <c r="GQ12" t="str">
        <f t="shared" si="108"/>
        <v/>
      </c>
      <c r="GR12" t="str">
        <f t="shared" si="109"/>
        <v/>
      </c>
      <c r="GS12" t="str">
        <f t="shared" si="110"/>
        <v/>
      </c>
      <c r="GT12" t="str">
        <f t="shared" si="111"/>
        <v/>
      </c>
      <c r="GU12" t="e">
        <f>IF(#REF!="No",#REF!,"")</f>
        <v>#REF!</v>
      </c>
      <c r="GV12" t="str">
        <f t="shared" si="112"/>
        <v/>
      </c>
      <c r="GW12" t="str">
        <f t="shared" si="113"/>
        <v/>
      </c>
      <c r="GX12" t="str">
        <f t="shared" si="114"/>
        <v/>
      </c>
      <c r="GY12" t="str">
        <f t="shared" si="115"/>
        <v/>
      </c>
      <c r="GZ12" t="str">
        <f t="shared" si="116"/>
        <v xml:space="preserve">¿El agente presenta correctamente los beneficios del producto? </v>
      </c>
      <c r="HA12" t="str">
        <f t="shared" si="117"/>
        <v/>
      </c>
      <c r="HB12" t="str">
        <f t="shared" si="118"/>
        <v/>
      </c>
      <c r="HC12" t="str">
        <f t="shared" si="119"/>
        <v/>
      </c>
      <c r="HD12" t="str">
        <f t="shared" si="120"/>
        <v/>
      </c>
      <c r="HE12" t="str">
        <f t="shared" si="121"/>
        <v/>
      </c>
      <c r="HF12" t="str">
        <f t="shared" si="122"/>
        <v/>
      </c>
      <c r="HG12" t="str">
        <f t="shared" si="123"/>
        <v/>
      </c>
      <c r="HH12" t="str">
        <f t="shared" si="124"/>
        <v/>
      </c>
      <c r="HI12" t="str">
        <f t="shared" si="125"/>
        <v/>
      </c>
      <c r="HJ12" t="str">
        <f t="shared" si="126"/>
        <v/>
      </c>
      <c r="HK12" t="str">
        <f t="shared" si="127"/>
        <v/>
      </c>
      <c r="HL12" t="str">
        <f t="shared" si="128"/>
        <v/>
      </c>
      <c r="HM12" t="str">
        <f t="shared" si="129"/>
        <v/>
      </c>
      <c r="HN12" t="str">
        <f t="shared" si="130"/>
        <v/>
      </c>
      <c r="HO12" t="str">
        <f t="shared" si="131"/>
        <v/>
      </c>
      <c r="HP12" t="str">
        <f t="shared" si="132"/>
        <v/>
      </c>
      <c r="HQ12" t="str">
        <f t="shared" si="133"/>
        <v/>
      </c>
      <c r="HR12" t="e">
        <f>IF(#REF!="No",#REF!,"")</f>
        <v>#REF!</v>
      </c>
      <c r="HS12" t="str">
        <f t="shared" si="134"/>
        <v/>
      </c>
      <c r="HT12" t="str">
        <f t="shared" si="135"/>
        <v/>
      </c>
      <c r="HU12" t="str">
        <f t="shared" si="136"/>
        <v/>
      </c>
      <c r="HV12" t="str">
        <f t="shared" si="137"/>
        <v/>
      </c>
      <c r="HW12" t="str">
        <f t="shared" si="138"/>
        <v/>
      </c>
      <c r="HX12" t="str">
        <f t="shared" si="139"/>
        <v/>
      </c>
      <c r="HY12" t="str">
        <f t="shared" si="140"/>
        <v/>
      </c>
      <c r="HZ12" t="str">
        <f t="shared" si="141"/>
        <v/>
      </c>
      <c r="IA12" t="str">
        <f t="shared" si="142"/>
        <v/>
      </c>
      <c r="IB12" t="str">
        <f t="shared" si="143"/>
        <v/>
      </c>
      <c r="IC12" t="str">
        <f t="shared" si="144"/>
        <v/>
      </c>
      <c r="ID12" s="238" t="str">
        <f t="shared" si="145"/>
        <v/>
      </c>
      <c r="IE12" s="238" t="str">
        <f t="shared" si="146"/>
        <v/>
      </c>
      <c r="IF12" s="238" t="str">
        <f t="shared" si="147"/>
        <v/>
      </c>
      <c r="IG12" s="238" t="str">
        <f t="shared" si="148"/>
        <v/>
      </c>
      <c r="IH12" s="241" t="str">
        <f>A12&amp;" "&amp;F12&amp;" "&amp;Data[[#This Row],[mes]]</f>
        <v>Mitxely Naar Outbound jun-26</v>
      </c>
      <c r="II12" s="244">
        <f>COUNTIF($IH12:$IH45,IH12)</f>
        <v>2</v>
      </c>
      <c r="IJ12" s="241">
        <f>IF(COUNTIF($IH$4:IH12,IH12)=1,1,0)</f>
        <v>0</v>
      </c>
      <c r="IK12" s="244">
        <f>IF(Data[[#This Row],[Muestra Critica]]&gt;0,Data[[#This Row],[Muestra Critica]],"")</f>
        <v>1</v>
      </c>
      <c r="IL12" s="238">
        <f>IF(IK12="","",COUNTIF($IK$4:$IK44,IK12))</f>
        <v>26</v>
      </c>
      <c r="IM12">
        <f t="shared" si="149"/>
        <v>0</v>
      </c>
      <c r="IN12" s="241" t="str">
        <f t="shared" si="150"/>
        <v>jun-26</v>
      </c>
      <c r="IO12" s="241"/>
      <c r="IP12" s="241"/>
      <c r="IQ12" s="241"/>
      <c r="IR12" s="241"/>
      <c r="IS12" s="241">
        <f>IFERROR(_xlfn.XLOOKUP(A:A,HC!B:B,HC!E:E,,0),0)</f>
        <v>0</v>
      </c>
    </row>
    <row r="13" spans="1:253" ht="15.5" x14ac:dyDescent="0.35">
      <c r="A13" s="232" t="s">
        <v>415</v>
      </c>
      <c r="B13" s="232">
        <v>65554064</v>
      </c>
      <c r="C13" s="242">
        <v>46193</v>
      </c>
      <c r="D13" s="232" t="s">
        <v>406</v>
      </c>
      <c r="E13" s="232" t="s">
        <v>398</v>
      </c>
      <c r="F13" s="232" t="s">
        <v>32</v>
      </c>
      <c r="G13" s="232" t="s">
        <v>402</v>
      </c>
      <c r="H13" s="232" t="s">
        <v>420</v>
      </c>
      <c r="I13" s="233" t="s">
        <v>412</v>
      </c>
      <c r="J13" s="234" t="s">
        <v>33</v>
      </c>
      <c r="K13" s="234" t="s">
        <v>33</v>
      </c>
      <c r="L13" s="234" t="s">
        <v>33</v>
      </c>
      <c r="M13" s="234" t="s">
        <v>33</v>
      </c>
      <c r="N13" s="234" t="s">
        <v>33</v>
      </c>
      <c r="O13" s="234" t="s">
        <v>33</v>
      </c>
      <c r="P13" s="234" t="s">
        <v>33</v>
      </c>
      <c r="Q13" s="234" t="s">
        <v>33</v>
      </c>
      <c r="R13" s="234" t="s">
        <v>33</v>
      </c>
      <c r="S13" s="234" t="s">
        <v>33</v>
      </c>
      <c r="T13" s="234" t="s">
        <v>33</v>
      </c>
      <c r="U13" s="234" t="s">
        <v>33</v>
      </c>
      <c r="V13" s="235" t="s">
        <v>33</v>
      </c>
      <c r="W13" s="235" t="s">
        <v>33</v>
      </c>
      <c r="X13" s="235" t="s">
        <v>33</v>
      </c>
      <c r="Y13" s="235" t="s">
        <v>33</v>
      </c>
      <c r="Z13" s="235" t="s">
        <v>33</v>
      </c>
      <c r="AA13" s="235" t="s">
        <v>33</v>
      </c>
      <c r="AB13" s="235" t="s">
        <v>33</v>
      </c>
      <c r="AC13" s="235" t="s">
        <v>33</v>
      </c>
      <c r="AD13" s="235" t="s">
        <v>33</v>
      </c>
      <c r="AE13" s="235" t="s">
        <v>33</v>
      </c>
      <c r="AF13" s="235" t="s">
        <v>33</v>
      </c>
      <c r="AG13" s="235" t="s">
        <v>33</v>
      </c>
      <c r="AH13" s="235" t="s">
        <v>33</v>
      </c>
      <c r="AI13" s="235" t="s">
        <v>33</v>
      </c>
      <c r="AJ13" s="235" t="s">
        <v>33</v>
      </c>
      <c r="AK13" s="235" t="s">
        <v>33</v>
      </c>
      <c r="AL13" s="235" t="s">
        <v>33</v>
      </c>
      <c r="AM13" s="235" t="s">
        <v>33</v>
      </c>
      <c r="AN13" s="235" t="s">
        <v>33</v>
      </c>
      <c r="AO13" s="235" t="s">
        <v>33</v>
      </c>
      <c r="AP13" s="235" t="s">
        <v>33</v>
      </c>
      <c r="AQ13" s="235" t="s">
        <v>33</v>
      </c>
      <c r="AR13" s="235" t="s">
        <v>33</v>
      </c>
      <c r="AS13" s="235" t="s">
        <v>33</v>
      </c>
      <c r="AT13" s="235" t="s">
        <v>33</v>
      </c>
      <c r="AU13" s="235" t="s">
        <v>33</v>
      </c>
      <c r="AV13" s="235" t="s">
        <v>33</v>
      </c>
      <c r="AW13" s="235" t="s">
        <v>34</v>
      </c>
      <c r="AX13" s="235" t="s">
        <v>33</v>
      </c>
      <c r="AY13" s="235" t="s">
        <v>33</v>
      </c>
      <c r="AZ13" s="235" t="s">
        <v>33</v>
      </c>
      <c r="BA13" s="235" t="s">
        <v>33</v>
      </c>
      <c r="BB13" s="235" t="s">
        <v>33</v>
      </c>
      <c r="BC13" s="236" t="s">
        <v>33</v>
      </c>
      <c r="BD13" s="236" t="s">
        <v>33</v>
      </c>
      <c r="BE13" s="236" t="s">
        <v>33</v>
      </c>
      <c r="BF13" s="237" t="s">
        <v>33</v>
      </c>
      <c r="BG13" s="241"/>
      <c r="BH13" s="245" t="str">
        <f>Data[[#This Row],[Tipo de Muestra]]</f>
        <v>Critica</v>
      </c>
      <c r="BI13" s="241"/>
      <c r="BJ13" s="241"/>
      <c r="BK13">
        <f t="shared" si="0"/>
        <v>1</v>
      </c>
      <c r="BL13">
        <f t="shared" si="1"/>
        <v>1</v>
      </c>
      <c r="BM13">
        <f t="shared" si="2"/>
        <v>1</v>
      </c>
      <c r="BN13">
        <f t="shared" si="3"/>
        <v>1</v>
      </c>
      <c r="BO13">
        <f t="shared" si="4"/>
        <v>1</v>
      </c>
      <c r="BP13">
        <f t="shared" si="5"/>
        <v>1</v>
      </c>
      <c r="BQ13">
        <f t="shared" si="6"/>
        <v>1</v>
      </c>
      <c r="BR13">
        <f t="shared" si="7"/>
        <v>1</v>
      </c>
      <c r="BS13">
        <f t="shared" si="8"/>
        <v>1</v>
      </c>
      <c r="BT13">
        <f t="shared" si="9"/>
        <v>1</v>
      </c>
      <c r="BU13">
        <f t="shared" si="10"/>
        <v>1</v>
      </c>
      <c r="BV13">
        <f t="shared" si="11"/>
        <v>1</v>
      </c>
      <c r="BW13">
        <f t="shared" si="12"/>
        <v>1</v>
      </c>
      <c r="BX13">
        <f t="shared" si="13"/>
        <v>1</v>
      </c>
      <c r="BY13">
        <f t="shared" si="14"/>
        <v>0</v>
      </c>
      <c r="BZ13">
        <f t="shared" si="15"/>
        <v>0</v>
      </c>
      <c r="CA13">
        <f t="shared" si="16"/>
        <v>0</v>
      </c>
      <c r="CB13">
        <f t="shared" si="17"/>
        <v>0</v>
      </c>
      <c r="CC13">
        <f t="shared" si="18"/>
        <v>0</v>
      </c>
      <c r="CD13">
        <f t="shared" si="19"/>
        <v>0</v>
      </c>
      <c r="CE13">
        <f t="shared" si="20"/>
        <v>0</v>
      </c>
      <c r="CF13">
        <f t="shared" si="21"/>
        <v>0</v>
      </c>
      <c r="CG13">
        <f t="shared" si="22"/>
        <v>0</v>
      </c>
      <c r="CH13">
        <f t="shared" si="23"/>
        <v>0</v>
      </c>
      <c r="CI13">
        <f t="shared" si="24"/>
        <v>0</v>
      </c>
      <c r="CJ13">
        <f t="shared" si="25"/>
        <v>0</v>
      </c>
      <c r="CK13">
        <f t="shared" si="26"/>
        <v>0</v>
      </c>
      <c r="CL13">
        <f t="shared" si="27"/>
        <v>0</v>
      </c>
      <c r="CM13">
        <f t="shared" si="28"/>
        <v>0</v>
      </c>
      <c r="CN13">
        <f t="shared" si="29"/>
        <v>0</v>
      </c>
      <c r="CO13">
        <f t="shared" si="30"/>
        <v>0</v>
      </c>
      <c r="CP13">
        <f t="shared" si="31"/>
        <v>0</v>
      </c>
      <c r="CQ13">
        <f t="shared" si="32"/>
        <v>0</v>
      </c>
      <c r="CR13">
        <f t="shared" si="33"/>
        <v>0</v>
      </c>
      <c r="CS13">
        <f t="shared" si="34"/>
        <v>0</v>
      </c>
      <c r="CT13">
        <f t="shared" si="35"/>
        <v>0</v>
      </c>
      <c r="CU13">
        <f t="shared" si="36"/>
        <v>0</v>
      </c>
      <c r="CV13">
        <f t="shared" si="37"/>
        <v>0</v>
      </c>
      <c r="CW13">
        <f t="shared" si="38"/>
        <v>0</v>
      </c>
      <c r="CX13">
        <f t="shared" si="39"/>
        <v>0</v>
      </c>
      <c r="CY13">
        <f t="shared" si="40"/>
        <v>0</v>
      </c>
      <c r="CZ13">
        <f t="shared" si="41"/>
        <v>0</v>
      </c>
      <c r="DA13">
        <f t="shared" si="42"/>
        <v>0</v>
      </c>
      <c r="DB13">
        <f t="shared" si="43"/>
        <v>0</v>
      </c>
      <c r="DC13">
        <f t="shared" si="44"/>
        <v>0</v>
      </c>
      <c r="DD13" s="238">
        <f t="shared" si="45"/>
        <v>0</v>
      </c>
      <c r="DE13" s="238">
        <f t="shared" si="46"/>
        <v>0</v>
      </c>
      <c r="DF13" s="238">
        <f t="shared" si="47"/>
        <v>0</v>
      </c>
      <c r="DG13" s="238">
        <f t="shared" si="48"/>
        <v>1</v>
      </c>
      <c r="DH13" s="9">
        <f t="shared" si="49"/>
        <v>0.15</v>
      </c>
      <c r="DI13" s="9">
        <f t="shared" si="50"/>
        <v>0.15</v>
      </c>
      <c r="DJ13" s="9">
        <f t="shared" si="51"/>
        <v>0.15</v>
      </c>
      <c r="DK13" s="9">
        <f>IF(MIN(Data[[#This Row],[¿El agente cumple con la identificación formal y profesional?3]:[¿El agente realiza despedida corporativa?5]])=0,0,15%)</f>
        <v>0.15</v>
      </c>
      <c r="DL13" s="9">
        <f t="shared" si="52"/>
        <v>0.3</v>
      </c>
      <c r="DM13" s="9">
        <f t="shared" si="53"/>
        <v>0.3</v>
      </c>
      <c r="DN13" s="9">
        <f t="shared" si="54"/>
        <v>0.3</v>
      </c>
      <c r="DO13" s="9">
        <f t="shared" si="55"/>
        <v>0.3</v>
      </c>
      <c r="DP13" s="9">
        <f>IF(MIN(Data[[#This Row],[¿El agente demuestra escucha activa durante la gestión?6]:[¿El agente parafrasea para confirmar entendimiento?9]])=0,0,30%)</f>
        <v>0.3</v>
      </c>
      <c r="DQ13" s="9">
        <f t="shared" si="56"/>
        <v>0.3</v>
      </c>
      <c r="DR13" s="9">
        <f t="shared" si="57"/>
        <v>0.3</v>
      </c>
      <c r="DS13" s="9">
        <f t="shared" si="58"/>
        <v>0.3</v>
      </c>
      <c r="DT13" s="9">
        <f t="shared" si="59"/>
        <v>0.3</v>
      </c>
      <c r="DU13" s="239">
        <f>IF(MIN(Data[[#This Row],[¿El agente adapta su comunicación al cliente?11]:[¿El agente utiliza el plural corporativo correctamente?14]])=0,0,30%)</f>
        <v>0.3</v>
      </c>
      <c r="DV13" s="9">
        <f t="shared" si="60"/>
        <v>0.25</v>
      </c>
      <c r="DW13" s="9">
        <f t="shared" si="151"/>
        <v>0.25</v>
      </c>
      <c r="DX13" s="9">
        <f t="shared" si="152"/>
        <v>1</v>
      </c>
      <c r="DY13" s="9">
        <f t="shared" si="61"/>
        <v>1</v>
      </c>
      <c r="DZ13" s="9">
        <f t="shared" si="62"/>
        <v>1</v>
      </c>
      <c r="EA13" s="9">
        <f t="shared" si="63"/>
        <v>1</v>
      </c>
      <c r="EB13" s="9">
        <f t="shared" si="64"/>
        <v>1</v>
      </c>
      <c r="EC13" s="9">
        <f>IF(SUM(Data[[#This Row],[¿El agente informa correctamente sobre los centros de pago?19]:[¿El agente explica el ciclo de facturación adecuadamente?22]])=400%,100%,0%)</f>
        <v>1</v>
      </c>
      <c r="ED13" s="9">
        <f t="shared" si="65"/>
        <v>1</v>
      </c>
      <c r="EE13" s="9">
        <f t="shared" si="66"/>
        <v>1</v>
      </c>
      <c r="EF13" s="9">
        <f>IF(SUM(Data[[#This Row],[¿El agente presenta correctamente los beneficios del producto?23]:[¿El agente comunica beneficios emocionales al cliente?24]])=200%,100%,0%)</f>
        <v>1</v>
      </c>
      <c r="EG13" s="9">
        <f t="shared" si="67"/>
        <v>1</v>
      </c>
      <c r="EH13" s="9">
        <f t="shared" si="68"/>
        <v>1</v>
      </c>
      <c r="EI13" s="9">
        <f t="shared" si="69"/>
        <v>1</v>
      </c>
      <c r="EJ13" s="9">
        <f>IF(SUM(Data[[#This Row],[¿El agente realiza un resumen comercial adecuado?25]:[¿El agente formaliza correctamente el acuerdo de venta?27]])=300%,100%,0%)</f>
        <v>1</v>
      </c>
      <c r="EK13" s="9">
        <f t="shared" si="70"/>
        <v>1</v>
      </c>
      <c r="EL13" s="9">
        <f>+Data[[#This Row],[¿El agente explica los términos y condiciones del servicio?28]]</f>
        <v>1</v>
      </c>
      <c r="EM13" s="9">
        <f t="shared" si="71"/>
        <v>1</v>
      </c>
      <c r="EN13" s="9">
        <f>+Data[[#This Row],[¿El agente identifica correctamente la solicitud del cliente?29]]</f>
        <v>1</v>
      </c>
      <c r="EO13" s="9">
        <f t="shared" si="72"/>
        <v>1</v>
      </c>
      <c r="EP13" s="9">
        <f t="shared" si="73"/>
        <v>1</v>
      </c>
      <c r="EQ13" s="9">
        <f t="shared" si="74"/>
        <v>1</v>
      </c>
      <c r="ER13" s="9">
        <f>IF(SUM(Data[[#This Row],[¿El agente evita activar un servicio diferente al solicitado?30]:[¿El agente configura adecuadamente el producto contratado?32]])=300%,100%,0%)</f>
        <v>1</v>
      </c>
      <c r="ES13" s="9">
        <f t="shared" si="75"/>
        <v>1</v>
      </c>
      <c r="ET13" s="9">
        <f t="shared" si="76"/>
        <v>1</v>
      </c>
      <c r="EU13" s="9">
        <f>IF(SUM(Data[[#This Row],[¿El agente mantiene respeto y cordialidad en toda la interacción?33]:[¿El agente utiliza un lenguaje adecuado y profesional?34]])=200%,100%,0%)</f>
        <v>1</v>
      </c>
      <c r="EV13" s="9">
        <f t="shared" si="77"/>
        <v>1</v>
      </c>
      <c r="EW13" s="9">
        <f t="shared" si="78"/>
        <v>1</v>
      </c>
      <c r="EX13" s="9">
        <f t="shared" si="79"/>
        <v>1</v>
      </c>
      <c r="EY13" s="9">
        <f t="shared" si="80"/>
        <v>1</v>
      </c>
      <c r="EZ13" s="9">
        <f t="shared" si="81"/>
        <v>1</v>
      </c>
      <c r="FA13" s="9">
        <f t="shared" si="82"/>
        <v>1</v>
      </c>
      <c r="FB13" s="9">
        <f>IF(SUM(Data[[#This Row],[¿El agente verifica correctamente la cobertura?35]:[¿El agente agenda citas o gestiones cuando es necesario?41]])=600%,100%,0%)</f>
        <v>1</v>
      </c>
      <c r="FC13" s="9">
        <f t="shared" si="153"/>
        <v>1</v>
      </c>
      <c r="FD13" s="9">
        <f t="shared" si="83"/>
        <v>1</v>
      </c>
      <c r="FE13" s="9">
        <f t="shared" si="84"/>
        <v>1</v>
      </c>
      <c r="FF13" s="9">
        <f t="shared" si="85"/>
        <v>1</v>
      </c>
      <c r="FG13" s="9">
        <f t="shared" si="86"/>
        <v>1</v>
      </c>
      <c r="FH13" s="9">
        <f t="shared" si="87"/>
        <v>1</v>
      </c>
      <c r="FI13" s="9">
        <f t="shared" si="88"/>
        <v>0</v>
      </c>
      <c r="FJ13" s="9">
        <f>IF(SUM(Data[[#This Row],[¿El agente ofrece adecuadamente un producto adicional?42]:[¿El agente maneja correctamente las objeciones del cliente?47]])=600%,100%,)</f>
        <v>0</v>
      </c>
      <c r="FK13" s="9">
        <f t="shared" si="89"/>
        <v>1</v>
      </c>
      <c r="FL13" s="9">
        <f>+Data[[#This Row],[¿El agente gestiona la oferta según la campaña vigente?48]]</f>
        <v>1</v>
      </c>
      <c r="FM13" s="9">
        <f t="shared" si="90"/>
        <v>1</v>
      </c>
      <c r="FN13" s="9">
        <f t="shared" si="91"/>
        <v>1</v>
      </c>
      <c r="FO13" s="9">
        <f t="shared" si="92"/>
        <v>1</v>
      </c>
      <c r="FP13" s="9">
        <f>IF(SUM(Data[[#This Row],[¿El agente solicita coordenadas cuando es necesario?49]:[¿El agente maneja adecuadamente llamadas en conferencia?51]])=300%,100%,)</f>
        <v>1</v>
      </c>
      <c r="FQ13" s="9">
        <f t="shared" si="93"/>
        <v>1</v>
      </c>
      <c r="FR13" s="9">
        <f>+Data[[#This Row],[¿El agente registra correctamente todas las interacciones?52]]</f>
        <v>1</v>
      </c>
      <c r="FS13" s="9">
        <f t="shared" si="154"/>
        <v>0</v>
      </c>
      <c r="FT13" s="238">
        <f t="shared" si="155"/>
        <v>1</v>
      </c>
      <c r="FU13" s="9">
        <f>+Data[[#This Row],[¿El agente confirma la titularidad del cliente adecuadamente?53]]</f>
        <v>1</v>
      </c>
      <c r="FV13" s="238">
        <f t="shared" si="94"/>
        <v>1</v>
      </c>
      <c r="FW13" s="238">
        <f t="shared" si="95"/>
        <v>1</v>
      </c>
      <c r="FX13" s="9">
        <f>IF(SUM(Data[[#This Row],[¿El agente evita la omisión de alertas importantes?54]]:Data[[#This Row],[¿El agente mantiene conducta ética durante la interacción?55]])=200%,100%,)</f>
        <v>1</v>
      </c>
      <c r="FY13" s="238">
        <f t="shared" si="96"/>
        <v>1</v>
      </c>
      <c r="FZ13" s="9">
        <f>+Data[[#This Row],[¿El agente evita compartir información sensible?56]]</f>
        <v>1</v>
      </c>
      <c r="GA13" s="9">
        <f t="shared" si="156"/>
        <v>1</v>
      </c>
      <c r="GB13" s="239">
        <f t="shared" si="97"/>
        <v>0.1</v>
      </c>
      <c r="GC13" s="239">
        <f t="shared" si="98"/>
        <v>0.3</v>
      </c>
      <c r="GD13" s="240">
        <f t="shared" si="99"/>
        <v>0</v>
      </c>
      <c r="GE13" s="240">
        <f t="shared" si="100"/>
        <v>0.3</v>
      </c>
      <c r="GF13" s="9">
        <f>SUM(Data[[#This Row],[PESO PENC]:[PESO PECCUM]])</f>
        <v>0.7</v>
      </c>
      <c r="GG13" s="238">
        <f>1</f>
        <v>1</v>
      </c>
      <c r="GH13" s="238">
        <f t="shared" si="101"/>
        <v>1</v>
      </c>
      <c r="GI13" t="str">
        <f t="shared" si="102"/>
        <v/>
      </c>
      <c r="GJ13" t="str">
        <f t="shared" si="103"/>
        <v/>
      </c>
      <c r="GK13" t="str">
        <f t="shared" si="104"/>
        <v/>
      </c>
      <c r="GN13" t="str">
        <f t="shared" si="105"/>
        <v/>
      </c>
      <c r="GO13" t="str">
        <f t="shared" si="106"/>
        <v/>
      </c>
      <c r="GP13" t="str">
        <f t="shared" si="107"/>
        <v/>
      </c>
      <c r="GQ13" t="str">
        <f t="shared" si="108"/>
        <v/>
      </c>
      <c r="GR13" t="str">
        <f t="shared" si="109"/>
        <v/>
      </c>
      <c r="GS13" t="str">
        <f t="shared" si="110"/>
        <v/>
      </c>
      <c r="GT13" t="str">
        <f t="shared" si="111"/>
        <v/>
      </c>
      <c r="GU13" t="e">
        <f>IF(#REF!="No",#REF!,"")</f>
        <v>#REF!</v>
      </c>
      <c r="GV13" t="str">
        <f t="shared" si="112"/>
        <v/>
      </c>
      <c r="GW13" t="str">
        <f t="shared" si="113"/>
        <v/>
      </c>
      <c r="GX13" t="str">
        <f t="shared" si="114"/>
        <v/>
      </c>
      <c r="GY13" t="str">
        <f t="shared" si="115"/>
        <v/>
      </c>
      <c r="GZ13" t="str">
        <f t="shared" si="116"/>
        <v/>
      </c>
      <c r="HA13" t="str">
        <f t="shared" si="117"/>
        <v/>
      </c>
      <c r="HB13" t="str">
        <f t="shared" si="118"/>
        <v/>
      </c>
      <c r="HC13" t="str">
        <f t="shared" si="119"/>
        <v/>
      </c>
      <c r="HD13" t="str">
        <f t="shared" si="120"/>
        <v/>
      </c>
      <c r="HE13" t="str">
        <f t="shared" si="121"/>
        <v/>
      </c>
      <c r="HF13" t="str">
        <f t="shared" si="122"/>
        <v/>
      </c>
      <c r="HG13" t="str">
        <f t="shared" si="123"/>
        <v/>
      </c>
      <c r="HH13" t="str">
        <f t="shared" si="124"/>
        <v/>
      </c>
      <c r="HI13" t="str">
        <f t="shared" si="125"/>
        <v/>
      </c>
      <c r="HJ13" t="str">
        <f t="shared" si="126"/>
        <v/>
      </c>
      <c r="HK13" t="str">
        <f t="shared" si="127"/>
        <v/>
      </c>
      <c r="HL13" t="str">
        <f t="shared" si="128"/>
        <v/>
      </c>
      <c r="HM13" t="str">
        <f t="shared" si="129"/>
        <v/>
      </c>
      <c r="HN13" t="str">
        <f t="shared" si="130"/>
        <v/>
      </c>
      <c r="HO13" t="str">
        <f t="shared" si="131"/>
        <v/>
      </c>
      <c r="HP13" t="str">
        <f t="shared" si="132"/>
        <v/>
      </c>
      <c r="HQ13" t="str">
        <f t="shared" si="133"/>
        <v/>
      </c>
      <c r="HR13" t="e">
        <f>IF(#REF!="No",#REF!,"")</f>
        <v>#REF!</v>
      </c>
      <c r="HS13" t="str">
        <f t="shared" si="134"/>
        <v/>
      </c>
      <c r="HT13" t="str">
        <f t="shared" si="135"/>
        <v/>
      </c>
      <c r="HU13" t="str">
        <f t="shared" si="136"/>
        <v/>
      </c>
      <c r="HV13" t="str">
        <f t="shared" si="137"/>
        <v/>
      </c>
      <c r="HW13" t="str">
        <f t="shared" si="138"/>
        <v/>
      </c>
      <c r="HX13" t="str">
        <f t="shared" si="139"/>
        <v xml:space="preserve">¿El agente maneja correctamente las objeciones del cliente? </v>
      </c>
      <c r="HY13" t="str">
        <f t="shared" si="140"/>
        <v/>
      </c>
      <c r="HZ13" t="str">
        <f t="shared" si="141"/>
        <v/>
      </c>
      <c r="IA13" t="str">
        <f t="shared" si="142"/>
        <v/>
      </c>
      <c r="IB13" t="str">
        <f t="shared" si="143"/>
        <v/>
      </c>
      <c r="IC13" t="str">
        <f t="shared" si="144"/>
        <v/>
      </c>
      <c r="ID13" s="238" t="str">
        <f t="shared" si="145"/>
        <v/>
      </c>
      <c r="IE13" s="238" t="str">
        <f t="shared" si="146"/>
        <v/>
      </c>
      <c r="IF13" s="238" t="str">
        <f t="shared" si="147"/>
        <v/>
      </c>
      <c r="IG13" s="238" t="str">
        <f t="shared" si="148"/>
        <v/>
      </c>
      <c r="IH13" s="241" t="str">
        <f>A13&amp;" "&amp;F13&amp;" "&amp;Data[[#This Row],[mes]]</f>
        <v>Gina Batista Outbound jun-26</v>
      </c>
      <c r="II13" s="244">
        <f>COUNTIF($IH13:$IH46,IH13)</f>
        <v>2</v>
      </c>
      <c r="IJ13" s="241">
        <f>IF(COUNTIF($IH$4:IH13,IH13)=1,1,0)</f>
        <v>0</v>
      </c>
      <c r="IK13" s="244">
        <f>IF(Data[[#This Row],[Muestra Critica]]&gt;0,Data[[#This Row],[Muestra Critica]],"")</f>
        <v>1</v>
      </c>
      <c r="IL13" s="238">
        <f>IF(IK13="","",COUNTIF($IK$4:$IK45,IK13))</f>
        <v>26</v>
      </c>
      <c r="IM13">
        <f t="shared" si="149"/>
        <v>0</v>
      </c>
      <c r="IN13" s="241" t="str">
        <f t="shared" si="150"/>
        <v>jun-26</v>
      </c>
      <c r="IO13" s="241"/>
      <c r="IP13" s="241"/>
      <c r="IQ13" s="241"/>
      <c r="IR13" s="241"/>
      <c r="IS13" s="241">
        <f>IFERROR(_xlfn.XLOOKUP(A:A,HC!B:B,HC!E:E,,0),0)</f>
        <v>0</v>
      </c>
    </row>
    <row r="14" spans="1:253" ht="15.5" x14ac:dyDescent="0.35">
      <c r="A14" s="232" t="s">
        <v>417</v>
      </c>
      <c r="B14" s="232">
        <v>67559170</v>
      </c>
      <c r="C14" s="242">
        <v>46193</v>
      </c>
      <c r="D14" s="232" t="s">
        <v>406</v>
      </c>
      <c r="E14" s="232" t="s">
        <v>397</v>
      </c>
      <c r="F14" s="232" t="s">
        <v>32</v>
      </c>
      <c r="G14" s="232" t="s">
        <v>402</v>
      </c>
      <c r="H14" s="232" t="s">
        <v>420</v>
      </c>
      <c r="I14" s="233" t="s">
        <v>411</v>
      </c>
      <c r="J14" s="234" t="s">
        <v>33</v>
      </c>
      <c r="K14" s="234" t="s">
        <v>33</v>
      </c>
      <c r="L14" s="234" t="s">
        <v>33</v>
      </c>
      <c r="M14" s="234" t="s">
        <v>33</v>
      </c>
      <c r="N14" s="234" t="s">
        <v>33</v>
      </c>
      <c r="O14" s="234" t="s">
        <v>33</v>
      </c>
      <c r="P14" s="234" t="s">
        <v>33</v>
      </c>
      <c r="Q14" s="234" t="s">
        <v>33</v>
      </c>
      <c r="R14" s="234" t="s">
        <v>33</v>
      </c>
      <c r="S14" s="234" t="s">
        <v>33</v>
      </c>
      <c r="T14" s="234" t="s">
        <v>33</v>
      </c>
      <c r="U14" s="234" t="s">
        <v>33</v>
      </c>
      <c r="V14" s="235" t="s">
        <v>33</v>
      </c>
      <c r="W14" s="235" t="s">
        <v>33</v>
      </c>
      <c r="X14" s="235" t="s">
        <v>33</v>
      </c>
      <c r="Y14" s="235" t="s">
        <v>33</v>
      </c>
      <c r="Z14" s="235" t="s">
        <v>33</v>
      </c>
      <c r="AA14" s="235" t="s">
        <v>33</v>
      </c>
      <c r="AB14" s="235" t="s">
        <v>33</v>
      </c>
      <c r="AC14" s="235" t="s">
        <v>33</v>
      </c>
      <c r="AD14" s="235" t="s">
        <v>33</v>
      </c>
      <c r="AE14" s="235" t="s">
        <v>33</v>
      </c>
      <c r="AF14" s="235" t="s">
        <v>33</v>
      </c>
      <c r="AG14" s="235" t="s">
        <v>33</v>
      </c>
      <c r="AH14" s="235" t="s">
        <v>33</v>
      </c>
      <c r="AI14" s="235" t="s">
        <v>33</v>
      </c>
      <c r="AJ14" s="235" t="s">
        <v>33</v>
      </c>
      <c r="AK14" s="235" t="s">
        <v>33</v>
      </c>
      <c r="AL14" s="235" t="s">
        <v>33</v>
      </c>
      <c r="AM14" s="235" t="s">
        <v>33</v>
      </c>
      <c r="AN14" s="235" t="s">
        <v>33</v>
      </c>
      <c r="AO14" s="235" t="s">
        <v>33</v>
      </c>
      <c r="AP14" s="235" t="s">
        <v>33</v>
      </c>
      <c r="AQ14" s="235" t="s">
        <v>33</v>
      </c>
      <c r="AR14" s="235" t="s">
        <v>33</v>
      </c>
      <c r="AS14" s="235" t="s">
        <v>33</v>
      </c>
      <c r="AT14" s="235" t="s">
        <v>33</v>
      </c>
      <c r="AU14" s="235" t="s">
        <v>33</v>
      </c>
      <c r="AV14" s="235" t="s">
        <v>33</v>
      </c>
      <c r="AW14" s="235" t="s">
        <v>33</v>
      </c>
      <c r="AX14" s="235" t="s">
        <v>33</v>
      </c>
      <c r="AY14" s="235" t="s">
        <v>33</v>
      </c>
      <c r="AZ14" s="235" t="s">
        <v>33</v>
      </c>
      <c r="BA14" s="235" t="s">
        <v>33</v>
      </c>
      <c r="BB14" s="235" t="s">
        <v>33</v>
      </c>
      <c r="BC14" s="236" t="s">
        <v>33</v>
      </c>
      <c r="BD14" s="236" t="s">
        <v>33</v>
      </c>
      <c r="BE14" s="236" t="s">
        <v>33</v>
      </c>
      <c r="BF14" s="237" t="s">
        <v>33</v>
      </c>
      <c r="BG14" s="241"/>
      <c r="BH14" s="245" t="str">
        <f>Data[[#This Row],[Tipo de Muestra]]</f>
        <v>No Critica</v>
      </c>
      <c r="BI14" s="241"/>
      <c r="BJ14" s="241"/>
      <c r="BK14">
        <f t="shared" si="0"/>
        <v>1</v>
      </c>
      <c r="BL14">
        <f t="shared" si="1"/>
        <v>1</v>
      </c>
      <c r="BM14">
        <f t="shared" si="2"/>
        <v>1</v>
      </c>
      <c r="BN14">
        <f t="shared" si="3"/>
        <v>1</v>
      </c>
      <c r="BO14">
        <f t="shared" si="4"/>
        <v>1</v>
      </c>
      <c r="BP14">
        <f t="shared" si="5"/>
        <v>1</v>
      </c>
      <c r="BQ14">
        <f t="shared" si="6"/>
        <v>1</v>
      </c>
      <c r="BR14">
        <f t="shared" si="7"/>
        <v>1</v>
      </c>
      <c r="BS14">
        <f t="shared" si="8"/>
        <v>1</v>
      </c>
      <c r="BT14">
        <f t="shared" si="9"/>
        <v>1</v>
      </c>
      <c r="BU14">
        <f t="shared" si="10"/>
        <v>1</v>
      </c>
      <c r="BV14">
        <f t="shared" si="11"/>
        <v>1</v>
      </c>
      <c r="BW14">
        <f t="shared" si="12"/>
        <v>1</v>
      </c>
      <c r="BX14">
        <f t="shared" si="13"/>
        <v>1</v>
      </c>
      <c r="BY14">
        <f t="shared" si="14"/>
        <v>0</v>
      </c>
      <c r="BZ14">
        <f t="shared" si="15"/>
        <v>0</v>
      </c>
      <c r="CA14">
        <f t="shared" si="16"/>
        <v>0</v>
      </c>
      <c r="CB14">
        <f t="shared" si="17"/>
        <v>0</v>
      </c>
      <c r="CC14">
        <f t="shared" si="18"/>
        <v>0</v>
      </c>
      <c r="CD14">
        <f t="shared" si="19"/>
        <v>0</v>
      </c>
      <c r="CE14">
        <f t="shared" si="20"/>
        <v>0</v>
      </c>
      <c r="CF14">
        <f t="shared" si="21"/>
        <v>0</v>
      </c>
      <c r="CG14">
        <f t="shared" si="22"/>
        <v>0</v>
      </c>
      <c r="CH14">
        <f t="shared" si="23"/>
        <v>0</v>
      </c>
      <c r="CI14">
        <f t="shared" si="24"/>
        <v>0</v>
      </c>
      <c r="CJ14">
        <f t="shared" si="25"/>
        <v>0</v>
      </c>
      <c r="CK14">
        <f t="shared" si="26"/>
        <v>0</v>
      </c>
      <c r="CL14">
        <f t="shared" si="27"/>
        <v>0</v>
      </c>
      <c r="CM14">
        <f t="shared" si="28"/>
        <v>0</v>
      </c>
      <c r="CN14">
        <f t="shared" si="29"/>
        <v>0</v>
      </c>
      <c r="CO14">
        <f t="shared" si="30"/>
        <v>0</v>
      </c>
      <c r="CP14">
        <f t="shared" si="31"/>
        <v>0</v>
      </c>
      <c r="CQ14">
        <f t="shared" si="32"/>
        <v>0</v>
      </c>
      <c r="CR14">
        <f t="shared" si="33"/>
        <v>0</v>
      </c>
      <c r="CS14">
        <f t="shared" si="34"/>
        <v>0</v>
      </c>
      <c r="CT14">
        <f t="shared" si="35"/>
        <v>0</v>
      </c>
      <c r="CU14">
        <f t="shared" si="36"/>
        <v>0</v>
      </c>
      <c r="CV14">
        <f t="shared" si="37"/>
        <v>0</v>
      </c>
      <c r="CW14">
        <f t="shared" si="38"/>
        <v>0</v>
      </c>
      <c r="CX14">
        <f t="shared" si="39"/>
        <v>0</v>
      </c>
      <c r="CY14">
        <f t="shared" si="40"/>
        <v>0</v>
      </c>
      <c r="CZ14">
        <f t="shared" si="41"/>
        <v>0</v>
      </c>
      <c r="DA14">
        <f t="shared" si="42"/>
        <v>0</v>
      </c>
      <c r="DB14">
        <f t="shared" si="43"/>
        <v>0</v>
      </c>
      <c r="DC14">
        <f t="shared" si="44"/>
        <v>0</v>
      </c>
      <c r="DD14" s="238">
        <f t="shared" si="45"/>
        <v>0</v>
      </c>
      <c r="DE14" s="238">
        <f t="shared" si="46"/>
        <v>0</v>
      </c>
      <c r="DF14" s="238">
        <f t="shared" si="47"/>
        <v>0</v>
      </c>
      <c r="DG14" s="238">
        <f t="shared" si="48"/>
        <v>1</v>
      </c>
      <c r="DH14" s="9">
        <f t="shared" si="49"/>
        <v>0.15</v>
      </c>
      <c r="DI14" s="9">
        <f t="shared" si="50"/>
        <v>0.15</v>
      </c>
      <c r="DJ14" s="9">
        <f t="shared" si="51"/>
        <v>0.15</v>
      </c>
      <c r="DK14" s="9">
        <f>IF(MIN(Data[[#This Row],[¿El agente cumple con la identificación formal y profesional?3]:[¿El agente realiza despedida corporativa?5]])=0,0,15%)</f>
        <v>0.15</v>
      </c>
      <c r="DL14" s="9">
        <f t="shared" si="52"/>
        <v>0.3</v>
      </c>
      <c r="DM14" s="9">
        <f t="shared" si="53"/>
        <v>0.3</v>
      </c>
      <c r="DN14" s="9">
        <f t="shared" si="54"/>
        <v>0.3</v>
      </c>
      <c r="DO14" s="9">
        <f t="shared" si="55"/>
        <v>0.3</v>
      </c>
      <c r="DP14" s="9">
        <f>IF(MIN(Data[[#This Row],[¿El agente demuestra escucha activa durante la gestión?6]:[¿El agente parafrasea para confirmar entendimiento?9]])=0,0,30%)</f>
        <v>0.3</v>
      </c>
      <c r="DQ14" s="9">
        <f t="shared" si="56"/>
        <v>0.3</v>
      </c>
      <c r="DR14" s="9">
        <f t="shared" si="57"/>
        <v>0.3</v>
      </c>
      <c r="DS14" s="9">
        <f t="shared" si="58"/>
        <v>0.3</v>
      </c>
      <c r="DT14" s="9">
        <f t="shared" si="59"/>
        <v>0.3</v>
      </c>
      <c r="DU14" s="239">
        <f>IF(MIN(Data[[#This Row],[¿El agente adapta su comunicación al cliente?11]:[¿El agente utiliza el plural corporativo correctamente?14]])=0,0,30%)</f>
        <v>0.3</v>
      </c>
      <c r="DV14" s="9">
        <f t="shared" si="60"/>
        <v>0.25</v>
      </c>
      <c r="DW14" s="9">
        <f t="shared" si="151"/>
        <v>0.25</v>
      </c>
      <c r="DX14" s="9">
        <f t="shared" si="152"/>
        <v>1</v>
      </c>
      <c r="DY14" s="9">
        <f t="shared" si="61"/>
        <v>1</v>
      </c>
      <c r="DZ14" s="9">
        <f t="shared" si="62"/>
        <v>1</v>
      </c>
      <c r="EA14" s="9">
        <f t="shared" si="63"/>
        <v>1</v>
      </c>
      <c r="EB14" s="9">
        <f t="shared" si="64"/>
        <v>1</v>
      </c>
      <c r="EC14" s="9">
        <f>IF(SUM(Data[[#This Row],[¿El agente informa correctamente sobre los centros de pago?19]:[¿El agente explica el ciclo de facturación adecuadamente?22]])=400%,100%,0%)</f>
        <v>1</v>
      </c>
      <c r="ED14" s="9">
        <f t="shared" si="65"/>
        <v>1</v>
      </c>
      <c r="EE14" s="9">
        <f t="shared" si="66"/>
        <v>1</v>
      </c>
      <c r="EF14" s="9">
        <f>IF(SUM(Data[[#This Row],[¿El agente presenta correctamente los beneficios del producto?23]:[¿El agente comunica beneficios emocionales al cliente?24]])=200%,100%,0%)</f>
        <v>1</v>
      </c>
      <c r="EG14" s="9">
        <f t="shared" si="67"/>
        <v>1</v>
      </c>
      <c r="EH14" s="9">
        <f t="shared" si="68"/>
        <v>1</v>
      </c>
      <c r="EI14" s="9">
        <f t="shared" si="69"/>
        <v>1</v>
      </c>
      <c r="EJ14" s="9">
        <f>IF(SUM(Data[[#This Row],[¿El agente realiza un resumen comercial adecuado?25]:[¿El agente formaliza correctamente el acuerdo de venta?27]])=300%,100%,0%)</f>
        <v>1</v>
      </c>
      <c r="EK14" s="9">
        <f t="shared" si="70"/>
        <v>1</v>
      </c>
      <c r="EL14" s="9">
        <f>+Data[[#This Row],[¿El agente explica los términos y condiciones del servicio?28]]</f>
        <v>1</v>
      </c>
      <c r="EM14" s="9">
        <f t="shared" si="71"/>
        <v>1</v>
      </c>
      <c r="EN14" s="9">
        <f>+Data[[#This Row],[¿El agente identifica correctamente la solicitud del cliente?29]]</f>
        <v>1</v>
      </c>
      <c r="EO14" s="9">
        <f t="shared" si="72"/>
        <v>1</v>
      </c>
      <c r="EP14" s="9">
        <f t="shared" si="73"/>
        <v>1</v>
      </c>
      <c r="EQ14" s="9">
        <f t="shared" si="74"/>
        <v>1</v>
      </c>
      <c r="ER14" s="9">
        <f>IF(SUM(Data[[#This Row],[¿El agente evita activar un servicio diferente al solicitado?30]:[¿El agente configura adecuadamente el producto contratado?32]])=300%,100%,0%)</f>
        <v>1</v>
      </c>
      <c r="ES14" s="9">
        <f t="shared" si="75"/>
        <v>1</v>
      </c>
      <c r="ET14" s="9">
        <f t="shared" si="76"/>
        <v>1</v>
      </c>
      <c r="EU14" s="9">
        <f>IF(SUM(Data[[#This Row],[¿El agente mantiene respeto y cordialidad en toda la interacción?33]:[¿El agente utiliza un lenguaje adecuado y profesional?34]])=200%,100%,0%)</f>
        <v>1</v>
      </c>
      <c r="EV14" s="9">
        <f t="shared" si="77"/>
        <v>1</v>
      </c>
      <c r="EW14" s="9">
        <f t="shared" si="78"/>
        <v>1</v>
      </c>
      <c r="EX14" s="9">
        <f t="shared" si="79"/>
        <v>1</v>
      </c>
      <c r="EY14" s="9">
        <f t="shared" si="80"/>
        <v>1</v>
      </c>
      <c r="EZ14" s="9">
        <f t="shared" si="81"/>
        <v>1</v>
      </c>
      <c r="FA14" s="9">
        <f t="shared" si="82"/>
        <v>1</v>
      </c>
      <c r="FB14" s="9">
        <f>IF(SUM(Data[[#This Row],[¿El agente verifica correctamente la cobertura?35]:[¿El agente agenda citas o gestiones cuando es necesario?41]])=600%,100%,0%)</f>
        <v>1</v>
      </c>
      <c r="FC14" s="9">
        <f t="shared" si="153"/>
        <v>1</v>
      </c>
      <c r="FD14" s="9">
        <f t="shared" si="83"/>
        <v>1</v>
      </c>
      <c r="FE14" s="9">
        <f t="shared" si="84"/>
        <v>1</v>
      </c>
      <c r="FF14" s="9">
        <f t="shared" si="85"/>
        <v>1</v>
      </c>
      <c r="FG14" s="9">
        <f t="shared" si="86"/>
        <v>1</v>
      </c>
      <c r="FH14" s="9">
        <f t="shared" si="87"/>
        <v>1</v>
      </c>
      <c r="FI14" s="9">
        <f t="shared" si="88"/>
        <v>1</v>
      </c>
      <c r="FJ14" s="9">
        <f>IF(SUM(Data[[#This Row],[¿El agente ofrece adecuadamente un producto adicional?42]:[¿El agente maneja correctamente las objeciones del cliente?47]])=600%,100%,)</f>
        <v>1</v>
      </c>
      <c r="FK14" s="9">
        <f t="shared" si="89"/>
        <v>1</v>
      </c>
      <c r="FL14" s="9">
        <f>+Data[[#This Row],[¿El agente gestiona la oferta según la campaña vigente?48]]</f>
        <v>1</v>
      </c>
      <c r="FM14" s="9">
        <f t="shared" si="90"/>
        <v>1</v>
      </c>
      <c r="FN14" s="9">
        <f t="shared" si="91"/>
        <v>1</v>
      </c>
      <c r="FO14" s="9">
        <f t="shared" si="92"/>
        <v>1</v>
      </c>
      <c r="FP14" s="9">
        <f>IF(SUM(Data[[#This Row],[¿El agente solicita coordenadas cuando es necesario?49]:[¿El agente maneja adecuadamente llamadas en conferencia?51]])=300%,100%,)</f>
        <v>1</v>
      </c>
      <c r="FQ14" s="9">
        <f t="shared" si="93"/>
        <v>1</v>
      </c>
      <c r="FR14" s="9">
        <f>+Data[[#This Row],[¿El agente registra correctamente todas las interacciones?52]]</f>
        <v>1</v>
      </c>
      <c r="FS14" s="9">
        <f t="shared" si="154"/>
        <v>1</v>
      </c>
      <c r="FT14" s="238">
        <f t="shared" si="155"/>
        <v>1</v>
      </c>
      <c r="FU14" s="9">
        <f>+Data[[#This Row],[¿El agente confirma la titularidad del cliente adecuadamente?53]]</f>
        <v>1</v>
      </c>
      <c r="FV14" s="238">
        <f t="shared" si="94"/>
        <v>1</v>
      </c>
      <c r="FW14" s="238">
        <f t="shared" si="95"/>
        <v>1</v>
      </c>
      <c r="FX14" s="9">
        <f>IF(SUM(Data[[#This Row],[¿El agente evita la omisión de alertas importantes?54]]:Data[[#This Row],[¿El agente mantiene conducta ética durante la interacción?55]])=200%,100%,)</f>
        <v>1</v>
      </c>
      <c r="FY14" s="238">
        <f t="shared" si="96"/>
        <v>1</v>
      </c>
      <c r="FZ14" s="9">
        <f>+Data[[#This Row],[¿El agente evita compartir información sensible?56]]</f>
        <v>1</v>
      </c>
      <c r="GA14" s="9">
        <f t="shared" si="156"/>
        <v>1</v>
      </c>
      <c r="GB14" s="239">
        <f t="shared" si="97"/>
        <v>0.1</v>
      </c>
      <c r="GC14" s="239">
        <f t="shared" si="98"/>
        <v>0.3</v>
      </c>
      <c r="GD14" s="240">
        <f t="shared" si="99"/>
        <v>0.3</v>
      </c>
      <c r="GE14" s="240">
        <f t="shared" si="100"/>
        <v>0.3</v>
      </c>
      <c r="GF14" s="9">
        <f>SUM(Data[[#This Row],[PESO PENC]:[PESO PECCUM]])</f>
        <v>1</v>
      </c>
      <c r="GG14" s="238">
        <f>1</f>
        <v>1</v>
      </c>
      <c r="GH14" s="238">
        <f t="shared" si="101"/>
        <v>0</v>
      </c>
      <c r="GI14" t="str">
        <f t="shared" si="102"/>
        <v/>
      </c>
      <c r="GJ14" t="str">
        <f t="shared" si="103"/>
        <v/>
      </c>
      <c r="GK14" t="str">
        <f t="shared" si="104"/>
        <v/>
      </c>
      <c r="GN14" t="str">
        <f t="shared" si="105"/>
        <v/>
      </c>
      <c r="GO14" t="str">
        <f t="shared" si="106"/>
        <v/>
      </c>
      <c r="GP14" t="str">
        <f t="shared" si="107"/>
        <v/>
      </c>
      <c r="GQ14" t="str">
        <f t="shared" si="108"/>
        <v/>
      </c>
      <c r="GR14" t="str">
        <f t="shared" si="109"/>
        <v/>
      </c>
      <c r="GS14" t="str">
        <f t="shared" si="110"/>
        <v/>
      </c>
      <c r="GT14" t="str">
        <f t="shared" si="111"/>
        <v/>
      </c>
      <c r="GU14" t="e">
        <f>IF(#REF!="No",#REF!,"")</f>
        <v>#REF!</v>
      </c>
      <c r="GV14" t="str">
        <f t="shared" si="112"/>
        <v/>
      </c>
      <c r="GW14" t="str">
        <f t="shared" si="113"/>
        <v/>
      </c>
      <c r="GX14" t="str">
        <f t="shared" si="114"/>
        <v/>
      </c>
      <c r="GY14" t="str">
        <f t="shared" si="115"/>
        <v/>
      </c>
      <c r="GZ14" t="str">
        <f t="shared" si="116"/>
        <v/>
      </c>
      <c r="HA14" t="str">
        <f t="shared" si="117"/>
        <v/>
      </c>
      <c r="HB14" t="str">
        <f t="shared" si="118"/>
        <v/>
      </c>
      <c r="HC14" t="str">
        <f t="shared" si="119"/>
        <v/>
      </c>
      <c r="HD14" t="str">
        <f t="shared" si="120"/>
        <v/>
      </c>
      <c r="HE14" t="str">
        <f t="shared" si="121"/>
        <v/>
      </c>
      <c r="HF14" t="str">
        <f t="shared" si="122"/>
        <v/>
      </c>
      <c r="HG14" t="str">
        <f t="shared" si="123"/>
        <v/>
      </c>
      <c r="HH14" t="str">
        <f t="shared" si="124"/>
        <v/>
      </c>
      <c r="HI14" t="str">
        <f t="shared" si="125"/>
        <v/>
      </c>
      <c r="HJ14" t="str">
        <f t="shared" si="126"/>
        <v/>
      </c>
      <c r="HK14" t="str">
        <f t="shared" si="127"/>
        <v/>
      </c>
      <c r="HL14" t="str">
        <f t="shared" si="128"/>
        <v/>
      </c>
      <c r="HM14" t="str">
        <f t="shared" si="129"/>
        <v/>
      </c>
      <c r="HN14" t="str">
        <f t="shared" si="130"/>
        <v/>
      </c>
      <c r="HO14" t="str">
        <f t="shared" si="131"/>
        <v/>
      </c>
      <c r="HP14" t="str">
        <f t="shared" si="132"/>
        <v/>
      </c>
      <c r="HQ14" t="str">
        <f t="shared" si="133"/>
        <v/>
      </c>
      <c r="HR14" t="e">
        <f>IF(#REF!="No",#REF!,"")</f>
        <v>#REF!</v>
      </c>
      <c r="HS14" t="str">
        <f t="shared" si="134"/>
        <v/>
      </c>
      <c r="HT14" t="str">
        <f t="shared" si="135"/>
        <v/>
      </c>
      <c r="HU14" t="str">
        <f t="shared" si="136"/>
        <v/>
      </c>
      <c r="HV14" t="str">
        <f t="shared" si="137"/>
        <v/>
      </c>
      <c r="HW14" t="str">
        <f t="shared" si="138"/>
        <v/>
      </c>
      <c r="HX14" t="str">
        <f t="shared" si="139"/>
        <v/>
      </c>
      <c r="HY14" t="str">
        <f t="shared" si="140"/>
        <v/>
      </c>
      <c r="HZ14" t="str">
        <f t="shared" si="141"/>
        <v/>
      </c>
      <c r="IA14" t="str">
        <f t="shared" si="142"/>
        <v/>
      </c>
      <c r="IB14" t="str">
        <f t="shared" si="143"/>
        <v/>
      </c>
      <c r="IC14" t="str">
        <f t="shared" si="144"/>
        <v/>
      </c>
      <c r="ID14" s="238" t="str">
        <f t="shared" si="145"/>
        <v/>
      </c>
      <c r="IE14" s="238" t="str">
        <f t="shared" si="146"/>
        <v/>
      </c>
      <c r="IF14" s="238" t="str">
        <f t="shared" si="147"/>
        <v/>
      </c>
      <c r="IG14" s="238" t="str">
        <f t="shared" si="148"/>
        <v/>
      </c>
      <c r="IH14" s="241" t="str">
        <f>A14&amp;" "&amp;F14&amp;" "&amp;Data[[#This Row],[mes]]</f>
        <v>Astrid Carolina Camaño Outbound jun-26</v>
      </c>
      <c r="II14" s="244">
        <f>COUNTIF($IH14:$IH47,IH14)</f>
        <v>2</v>
      </c>
      <c r="IJ14" s="241">
        <f>IF(COUNTIF($IH$4:IH14,IH14)=1,1,0)</f>
        <v>0</v>
      </c>
      <c r="IK14" s="244" t="str">
        <f>IF(Data[[#This Row],[Muestra Critica]]&gt;0,Data[[#This Row],[Muestra Critica]],"")</f>
        <v/>
      </c>
      <c r="IL14" s="238" t="str">
        <f>IF(IK14="","",COUNTIF($IK$4:$IK46,IK14))</f>
        <v/>
      </c>
      <c r="IM14">
        <f t="shared" si="149"/>
        <v>0</v>
      </c>
      <c r="IN14" s="241" t="str">
        <f t="shared" si="150"/>
        <v>jun-26</v>
      </c>
      <c r="IO14" s="241"/>
      <c r="IP14" s="241"/>
      <c r="IQ14" s="241"/>
      <c r="IR14" s="241"/>
      <c r="IS14" s="241">
        <f>IFERROR(_xlfn.XLOOKUP(A:A,HC!B:B,HC!E:E,,0),0)</f>
        <v>0</v>
      </c>
    </row>
    <row r="15" spans="1:253" ht="15.5" x14ac:dyDescent="0.35">
      <c r="A15" s="232" t="s">
        <v>416</v>
      </c>
      <c r="B15" s="232">
        <v>65497231</v>
      </c>
      <c r="C15" s="242">
        <v>46193</v>
      </c>
      <c r="D15" s="232" t="s">
        <v>406</v>
      </c>
      <c r="E15" s="232" t="s">
        <v>397</v>
      </c>
      <c r="F15" s="232" t="s">
        <v>32</v>
      </c>
      <c r="G15" s="232" t="s">
        <v>402</v>
      </c>
      <c r="H15" s="232" t="s">
        <v>420</v>
      </c>
      <c r="I15" s="233" t="s">
        <v>412</v>
      </c>
      <c r="J15" s="234" t="s">
        <v>33</v>
      </c>
      <c r="K15" s="234" t="s">
        <v>33</v>
      </c>
      <c r="L15" s="234" t="s">
        <v>33</v>
      </c>
      <c r="M15" s="234" t="s">
        <v>33</v>
      </c>
      <c r="N15" s="234" t="s">
        <v>33</v>
      </c>
      <c r="O15" s="234" t="s">
        <v>33</v>
      </c>
      <c r="P15" s="234" t="s">
        <v>33</v>
      </c>
      <c r="Q15" s="234" t="s">
        <v>33</v>
      </c>
      <c r="R15" s="234" t="s">
        <v>33</v>
      </c>
      <c r="S15" s="234" t="s">
        <v>33</v>
      </c>
      <c r="T15" s="234" t="s">
        <v>33</v>
      </c>
      <c r="U15" s="234" t="s">
        <v>33</v>
      </c>
      <c r="V15" s="235" t="s">
        <v>33</v>
      </c>
      <c r="W15" s="235" t="s">
        <v>33</v>
      </c>
      <c r="X15" s="235" t="s">
        <v>33</v>
      </c>
      <c r="Y15" s="235" t="s">
        <v>34</v>
      </c>
      <c r="Z15" s="235" t="s">
        <v>34</v>
      </c>
      <c r="AA15" s="235" t="s">
        <v>33</v>
      </c>
      <c r="AB15" s="235" t="s">
        <v>33</v>
      </c>
      <c r="AC15" s="235" t="s">
        <v>33</v>
      </c>
      <c r="AD15" s="235" t="s">
        <v>33</v>
      </c>
      <c r="AE15" s="235" t="s">
        <v>33</v>
      </c>
      <c r="AF15" s="235" t="s">
        <v>33</v>
      </c>
      <c r="AG15" s="235" t="s">
        <v>33</v>
      </c>
      <c r="AH15" s="235" t="s">
        <v>33</v>
      </c>
      <c r="AI15" s="235" t="s">
        <v>33</v>
      </c>
      <c r="AJ15" s="235" t="s">
        <v>33</v>
      </c>
      <c r="AK15" s="235" t="s">
        <v>33</v>
      </c>
      <c r="AL15" s="235" t="s">
        <v>33</v>
      </c>
      <c r="AM15" s="235" t="s">
        <v>33</v>
      </c>
      <c r="AN15" s="235" t="s">
        <v>33</v>
      </c>
      <c r="AO15" s="235" t="s">
        <v>33</v>
      </c>
      <c r="AP15" s="235" t="s">
        <v>33</v>
      </c>
      <c r="AQ15" s="235" t="s">
        <v>33</v>
      </c>
      <c r="AR15" s="235" t="s">
        <v>33</v>
      </c>
      <c r="AS15" s="235" t="s">
        <v>33</v>
      </c>
      <c r="AT15" s="235" t="s">
        <v>33</v>
      </c>
      <c r="AU15" s="235" t="s">
        <v>33</v>
      </c>
      <c r="AV15" s="235" t="s">
        <v>33</v>
      </c>
      <c r="AW15" s="235" t="s">
        <v>33</v>
      </c>
      <c r="AX15" s="235" t="s">
        <v>33</v>
      </c>
      <c r="AY15" s="235" t="s">
        <v>33</v>
      </c>
      <c r="AZ15" s="235" t="s">
        <v>33</v>
      </c>
      <c r="BA15" s="235" t="s">
        <v>33</v>
      </c>
      <c r="BB15" s="235" t="s">
        <v>33</v>
      </c>
      <c r="BC15" s="236" t="s">
        <v>33</v>
      </c>
      <c r="BD15" s="236" t="s">
        <v>33</v>
      </c>
      <c r="BE15" s="236" t="s">
        <v>33</v>
      </c>
      <c r="BF15" s="237" t="s">
        <v>33</v>
      </c>
      <c r="BG15" s="241"/>
      <c r="BH15" s="245" t="str">
        <f>Data[[#This Row],[Tipo de Muestra]]</f>
        <v>Critica</v>
      </c>
      <c r="BI15" s="241"/>
      <c r="BJ15" s="241"/>
      <c r="BK15">
        <f t="shared" si="0"/>
        <v>1</v>
      </c>
      <c r="BL15">
        <f t="shared" si="1"/>
        <v>1</v>
      </c>
      <c r="BM15">
        <f t="shared" si="2"/>
        <v>1</v>
      </c>
      <c r="BN15">
        <f t="shared" si="3"/>
        <v>1</v>
      </c>
      <c r="BO15">
        <f t="shared" si="4"/>
        <v>1</v>
      </c>
      <c r="BP15">
        <f t="shared" si="5"/>
        <v>1</v>
      </c>
      <c r="BQ15">
        <f t="shared" si="6"/>
        <v>1</v>
      </c>
      <c r="BR15">
        <f t="shared" si="7"/>
        <v>1</v>
      </c>
      <c r="BS15">
        <f t="shared" si="8"/>
        <v>1</v>
      </c>
      <c r="BT15">
        <f t="shared" si="9"/>
        <v>1</v>
      </c>
      <c r="BU15">
        <f t="shared" si="10"/>
        <v>1</v>
      </c>
      <c r="BV15">
        <f t="shared" si="11"/>
        <v>1</v>
      </c>
      <c r="BW15">
        <f t="shared" si="12"/>
        <v>1</v>
      </c>
      <c r="BX15">
        <f t="shared" si="13"/>
        <v>1</v>
      </c>
      <c r="BY15">
        <f t="shared" si="14"/>
        <v>0</v>
      </c>
      <c r="BZ15">
        <f t="shared" si="15"/>
        <v>0</v>
      </c>
      <c r="CA15">
        <f t="shared" si="16"/>
        <v>0</v>
      </c>
      <c r="CB15">
        <f t="shared" si="17"/>
        <v>0</v>
      </c>
      <c r="CC15">
        <f t="shared" si="18"/>
        <v>0</v>
      </c>
      <c r="CD15">
        <f t="shared" si="19"/>
        <v>0</v>
      </c>
      <c r="CE15">
        <f t="shared" si="20"/>
        <v>0</v>
      </c>
      <c r="CF15">
        <f t="shared" si="21"/>
        <v>0</v>
      </c>
      <c r="CG15">
        <f t="shared" si="22"/>
        <v>0</v>
      </c>
      <c r="CH15">
        <f t="shared" si="23"/>
        <v>0</v>
      </c>
      <c r="CI15">
        <f t="shared" si="24"/>
        <v>0</v>
      </c>
      <c r="CJ15">
        <f t="shared" si="25"/>
        <v>0</v>
      </c>
      <c r="CK15">
        <f t="shared" si="26"/>
        <v>0</v>
      </c>
      <c r="CL15">
        <f t="shared" si="27"/>
        <v>0</v>
      </c>
      <c r="CM15">
        <f t="shared" si="28"/>
        <v>0</v>
      </c>
      <c r="CN15">
        <f t="shared" si="29"/>
        <v>0</v>
      </c>
      <c r="CO15">
        <f t="shared" si="30"/>
        <v>0</v>
      </c>
      <c r="CP15">
        <f t="shared" si="31"/>
        <v>0</v>
      </c>
      <c r="CQ15">
        <f t="shared" si="32"/>
        <v>0</v>
      </c>
      <c r="CR15">
        <f t="shared" si="33"/>
        <v>0</v>
      </c>
      <c r="CS15">
        <f t="shared" si="34"/>
        <v>0</v>
      </c>
      <c r="CT15">
        <f t="shared" si="35"/>
        <v>0</v>
      </c>
      <c r="CU15">
        <f t="shared" si="36"/>
        <v>0</v>
      </c>
      <c r="CV15">
        <f t="shared" si="37"/>
        <v>0</v>
      </c>
      <c r="CW15">
        <f t="shared" si="38"/>
        <v>0</v>
      </c>
      <c r="CX15">
        <f t="shared" si="39"/>
        <v>0</v>
      </c>
      <c r="CY15">
        <f t="shared" si="40"/>
        <v>0</v>
      </c>
      <c r="CZ15">
        <f t="shared" si="41"/>
        <v>0</v>
      </c>
      <c r="DA15">
        <f t="shared" si="42"/>
        <v>0</v>
      </c>
      <c r="DB15">
        <f t="shared" si="43"/>
        <v>0</v>
      </c>
      <c r="DC15">
        <f t="shared" si="44"/>
        <v>0</v>
      </c>
      <c r="DD15" s="238">
        <f t="shared" si="45"/>
        <v>0</v>
      </c>
      <c r="DE15" s="238">
        <f t="shared" si="46"/>
        <v>0</v>
      </c>
      <c r="DF15" s="238">
        <f t="shared" si="47"/>
        <v>0</v>
      </c>
      <c r="DG15" s="238">
        <f t="shared" si="48"/>
        <v>1</v>
      </c>
      <c r="DH15" s="9">
        <f t="shared" si="49"/>
        <v>0.15</v>
      </c>
      <c r="DI15" s="9">
        <f t="shared" si="50"/>
        <v>0.15</v>
      </c>
      <c r="DJ15" s="9">
        <f t="shared" si="51"/>
        <v>0.15</v>
      </c>
      <c r="DK15" s="9">
        <f>IF(MIN(Data[[#This Row],[¿El agente cumple con la identificación formal y profesional?3]:[¿El agente realiza despedida corporativa?5]])=0,0,15%)</f>
        <v>0.15</v>
      </c>
      <c r="DL15" s="9">
        <f t="shared" si="52"/>
        <v>0.3</v>
      </c>
      <c r="DM15" s="9">
        <f t="shared" si="53"/>
        <v>0.3</v>
      </c>
      <c r="DN15" s="9">
        <f t="shared" si="54"/>
        <v>0.3</v>
      </c>
      <c r="DO15" s="9">
        <f t="shared" si="55"/>
        <v>0.3</v>
      </c>
      <c r="DP15" s="9">
        <f>IF(MIN(Data[[#This Row],[¿El agente demuestra escucha activa durante la gestión?6]:[¿El agente parafrasea para confirmar entendimiento?9]])=0,0,30%)</f>
        <v>0.3</v>
      </c>
      <c r="DQ15" s="9">
        <f t="shared" si="56"/>
        <v>0.3</v>
      </c>
      <c r="DR15" s="9">
        <f t="shared" si="57"/>
        <v>0.3</v>
      </c>
      <c r="DS15" s="9">
        <f t="shared" si="58"/>
        <v>0.3</v>
      </c>
      <c r="DT15" s="9">
        <f t="shared" si="59"/>
        <v>0.3</v>
      </c>
      <c r="DU15" s="239">
        <f>IF(MIN(Data[[#This Row],[¿El agente adapta su comunicación al cliente?11]:[¿El agente utiliza el plural corporativo correctamente?14]])=0,0,30%)</f>
        <v>0.3</v>
      </c>
      <c r="DV15" s="9">
        <f t="shared" si="60"/>
        <v>0.25</v>
      </c>
      <c r="DW15" s="9">
        <f t="shared" si="151"/>
        <v>0.25</v>
      </c>
      <c r="DX15" s="9">
        <f t="shared" si="152"/>
        <v>1</v>
      </c>
      <c r="DY15" s="9">
        <f t="shared" si="61"/>
        <v>1</v>
      </c>
      <c r="DZ15" s="9">
        <f t="shared" si="62"/>
        <v>1</v>
      </c>
      <c r="EA15" s="9">
        <f t="shared" si="63"/>
        <v>0</v>
      </c>
      <c r="EB15" s="9">
        <f t="shared" si="64"/>
        <v>0</v>
      </c>
      <c r="EC15" s="9">
        <f>IF(SUM(Data[[#This Row],[¿El agente informa correctamente sobre los centros de pago?19]:[¿El agente explica el ciclo de facturación adecuadamente?22]])=400%,100%,0%)</f>
        <v>0</v>
      </c>
      <c r="ED15" s="9">
        <f t="shared" si="65"/>
        <v>1</v>
      </c>
      <c r="EE15" s="9">
        <f t="shared" si="66"/>
        <v>1</v>
      </c>
      <c r="EF15" s="9">
        <f>IF(SUM(Data[[#This Row],[¿El agente presenta correctamente los beneficios del producto?23]:[¿El agente comunica beneficios emocionales al cliente?24]])=200%,100%,0%)</f>
        <v>1</v>
      </c>
      <c r="EG15" s="9">
        <f t="shared" si="67"/>
        <v>1</v>
      </c>
      <c r="EH15" s="9">
        <f t="shared" si="68"/>
        <v>1</v>
      </c>
      <c r="EI15" s="9">
        <f t="shared" si="69"/>
        <v>1</v>
      </c>
      <c r="EJ15" s="9">
        <f>IF(SUM(Data[[#This Row],[¿El agente realiza un resumen comercial adecuado?25]:[¿El agente formaliza correctamente el acuerdo de venta?27]])=300%,100%,0%)</f>
        <v>1</v>
      </c>
      <c r="EK15" s="9">
        <f t="shared" si="70"/>
        <v>1</v>
      </c>
      <c r="EL15" s="9">
        <f>+Data[[#This Row],[¿El agente explica los términos y condiciones del servicio?28]]</f>
        <v>1</v>
      </c>
      <c r="EM15" s="9">
        <f t="shared" si="71"/>
        <v>1</v>
      </c>
      <c r="EN15" s="9">
        <f>+Data[[#This Row],[¿El agente identifica correctamente la solicitud del cliente?29]]</f>
        <v>1</v>
      </c>
      <c r="EO15" s="9">
        <f t="shared" si="72"/>
        <v>1</v>
      </c>
      <c r="EP15" s="9">
        <f t="shared" si="73"/>
        <v>1</v>
      </c>
      <c r="EQ15" s="9">
        <f t="shared" si="74"/>
        <v>1</v>
      </c>
      <c r="ER15" s="9">
        <f>IF(SUM(Data[[#This Row],[¿El agente evita activar un servicio diferente al solicitado?30]:[¿El agente configura adecuadamente el producto contratado?32]])=300%,100%,0%)</f>
        <v>1</v>
      </c>
      <c r="ES15" s="9">
        <f t="shared" si="75"/>
        <v>1</v>
      </c>
      <c r="ET15" s="9">
        <f t="shared" si="76"/>
        <v>1</v>
      </c>
      <c r="EU15" s="9">
        <f>IF(SUM(Data[[#This Row],[¿El agente mantiene respeto y cordialidad en toda la interacción?33]:[¿El agente utiliza un lenguaje adecuado y profesional?34]])=200%,100%,0%)</f>
        <v>1</v>
      </c>
      <c r="EV15" s="9">
        <f t="shared" si="77"/>
        <v>1</v>
      </c>
      <c r="EW15" s="9">
        <f t="shared" si="78"/>
        <v>1</v>
      </c>
      <c r="EX15" s="9">
        <f t="shared" si="79"/>
        <v>1</v>
      </c>
      <c r="EY15" s="9">
        <f t="shared" si="80"/>
        <v>1</v>
      </c>
      <c r="EZ15" s="9">
        <f t="shared" si="81"/>
        <v>1</v>
      </c>
      <c r="FA15" s="9">
        <f t="shared" si="82"/>
        <v>1</v>
      </c>
      <c r="FB15" s="9">
        <f>IF(SUM(Data[[#This Row],[¿El agente verifica correctamente la cobertura?35]:[¿El agente agenda citas o gestiones cuando es necesario?41]])=600%,100%,0%)</f>
        <v>1</v>
      </c>
      <c r="FC15" s="9">
        <f t="shared" si="153"/>
        <v>0</v>
      </c>
      <c r="FD15" s="9">
        <f t="shared" si="83"/>
        <v>1</v>
      </c>
      <c r="FE15" s="9">
        <f t="shared" si="84"/>
        <v>1</v>
      </c>
      <c r="FF15" s="9">
        <f t="shared" si="85"/>
        <v>1</v>
      </c>
      <c r="FG15" s="9">
        <f t="shared" si="86"/>
        <v>1</v>
      </c>
      <c r="FH15" s="9">
        <f t="shared" si="87"/>
        <v>1</v>
      </c>
      <c r="FI15" s="9">
        <f t="shared" si="88"/>
        <v>1</v>
      </c>
      <c r="FJ15" s="9">
        <f>IF(SUM(Data[[#This Row],[¿El agente ofrece adecuadamente un producto adicional?42]:[¿El agente maneja correctamente las objeciones del cliente?47]])=600%,100%,)</f>
        <v>1</v>
      </c>
      <c r="FK15" s="9">
        <f t="shared" si="89"/>
        <v>1</v>
      </c>
      <c r="FL15" s="9">
        <f>+Data[[#This Row],[¿El agente gestiona la oferta según la campaña vigente?48]]</f>
        <v>1</v>
      </c>
      <c r="FM15" s="9">
        <f t="shared" si="90"/>
        <v>1</v>
      </c>
      <c r="FN15" s="9">
        <f t="shared" si="91"/>
        <v>1</v>
      </c>
      <c r="FO15" s="9">
        <f t="shared" si="92"/>
        <v>1</v>
      </c>
      <c r="FP15" s="9">
        <f>IF(SUM(Data[[#This Row],[¿El agente solicita coordenadas cuando es necesario?49]:[¿El agente maneja adecuadamente llamadas en conferencia?51]])=300%,100%,)</f>
        <v>1</v>
      </c>
      <c r="FQ15" s="9">
        <f t="shared" si="93"/>
        <v>1</v>
      </c>
      <c r="FR15" s="9">
        <f>+Data[[#This Row],[¿El agente registra correctamente todas las interacciones?52]]</f>
        <v>1</v>
      </c>
      <c r="FS15" s="9">
        <f t="shared" si="154"/>
        <v>1</v>
      </c>
      <c r="FT15" s="238">
        <f t="shared" si="155"/>
        <v>1</v>
      </c>
      <c r="FU15" s="9">
        <f>+Data[[#This Row],[¿El agente confirma la titularidad del cliente adecuadamente?53]]</f>
        <v>1</v>
      </c>
      <c r="FV15" s="238">
        <f t="shared" si="94"/>
        <v>1</v>
      </c>
      <c r="FW15" s="238">
        <f t="shared" si="95"/>
        <v>1</v>
      </c>
      <c r="FX15" s="9">
        <f>IF(SUM(Data[[#This Row],[¿El agente evita la omisión de alertas importantes?54]]:Data[[#This Row],[¿El agente mantiene conducta ética durante la interacción?55]])=200%,100%,)</f>
        <v>1</v>
      </c>
      <c r="FY15" s="238">
        <f t="shared" si="96"/>
        <v>1</v>
      </c>
      <c r="FZ15" s="9">
        <f>+Data[[#This Row],[¿El agente evita compartir información sensible?56]]</f>
        <v>1</v>
      </c>
      <c r="GA15" s="9">
        <f t="shared" si="156"/>
        <v>1</v>
      </c>
      <c r="GB15" s="239">
        <f t="shared" si="97"/>
        <v>0.1</v>
      </c>
      <c r="GC15" s="239">
        <f t="shared" si="98"/>
        <v>0</v>
      </c>
      <c r="GD15" s="240">
        <f t="shared" si="99"/>
        <v>0.3</v>
      </c>
      <c r="GE15" s="240">
        <f t="shared" si="100"/>
        <v>0.3</v>
      </c>
      <c r="GF15" s="9">
        <f>SUM(Data[[#This Row],[PESO PENC]:[PESO PECCUM]])</f>
        <v>0.7</v>
      </c>
      <c r="GG15" s="238">
        <f>1</f>
        <v>1</v>
      </c>
      <c r="GH15" s="238">
        <f t="shared" si="101"/>
        <v>1</v>
      </c>
      <c r="GI15" t="str">
        <f t="shared" si="102"/>
        <v/>
      </c>
      <c r="GJ15" t="str">
        <f t="shared" si="103"/>
        <v/>
      </c>
      <c r="GK15" t="str">
        <f t="shared" si="104"/>
        <v/>
      </c>
      <c r="GN15" t="str">
        <f t="shared" si="105"/>
        <v/>
      </c>
      <c r="GO15" t="str">
        <f t="shared" si="106"/>
        <v/>
      </c>
      <c r="GP15" t="str">
        <f t="shared" si="107"/>
        <v/>
      </c>
      <c r="GQ15" t="str">
        <f t="shared" si="108"/>
        <v/>
      </c>
      <c r="GR15" t="str">
        <f t="shared" si="109"/>
        <v/>
      </c>
      <c r="GS15" t="str">
        <f t="shared" si="110"/>
        <v/>
      </c>
      <c r="GT15" t="str">
        <f t="shared" si="111"/>
        <v/>
      </c>
      <c r="GU15" t="e">
        <f>IF(#REF!="No",#REF!,"")</f>
        <v>#REF!</v>
      </c>
      <c r="GV15" t="str">
        <f t="shared" si="112"/>
        <v/>
      </c>
      <c r="GW15" t="str">
        <f t="shared" si="113"/>
        <v/>
      </c>
      <c r="GX15" t="str">
        <f t="shared" si="114"/>
        <v/>
      </c>
      <c r="GY15" t="str">
        <f t="shared" si="115"/>
        <v xml:space="preserve">¿El agente explica el ciclo de facturación adecuadamente? </v>
      </c>
      <c r="GZ15" t="str">
        <f t="shared" si="116"/>
        <v xml:space="preserve">¿El agente presenta correctamente los beneficios del producto? </v>
      </c>
      <c r="HA15" t="str">
        <f t="shared" si="117"/>
        <v/>
      </c>
      <c r="HB15" t="str">
        <f t="shared" si="118"/>
        <v/>
      </c>
      <c r="HC15" t="str">
        <f t="shared" si="119"/>
        <v/>
      </c>
      <c r="HD15" t="str">
        <f t="shared" si="120"/>
        <v/>
      </c>
      <c r="HE15" t="str">
        <f t="shared" si="121"/>
        <v/>
      </c>
      <c r="HF15" t="str">
        <f t="shared" si="122"/>
        <v/>
      </c>
      <c r="HG15" t="str">
        <f t="shared" si="123"/>
        <v/>
      </c>
      <c r="HH15" t="str">
        <f t="shared" si="124"/>
        <v/>
      </c>
      <c r="HI15" t="str">
        <f t="shared" si="125"/>
        <v/>
      </c>
      <c r="HJ15" t="str">
        <f t="shared" si="126"/>
        <v/>
      </c>
      <c r="HK15" t="str">
        <f t="shared" si="127"/>
        <v/>
      </c>
      <c r="HL15" t="str">
        <f t="shared" si="128"/>
        <v/>
      </c>
      <c r="HM15" t="str">
        <f t="shared" si="129"/>
        <v/>
      </c>
      <c r="HN15" t="str">
        <f t="shared" si="130"/>
        <v/>
      </c>
      <c r="HO15" t="str">
        <f t="shared" si="131"/>
        <v/>
      </c>
      <c r="HP15" t="str">
        <f t="shared" si="132"/>
        <v/>
      </c>
      <c r="HQ15" t="str">
        <f t="shared" si="133"/>
        <v/>
      </c>
      <c r="HR15" t="e">
        <f>IF(#REF!="No",#REF!,"")</f>
        <v>#REF!</v>
      </c>
      <c r="HS15" t="str">
        <f t="shared" si="134"/>
        <v/>
      </c>
      <c r="HT15" t="str">
        <f t="shared" si="135"/>
        <v/>
      </c>
      <c r="HU15" t="str">
        <f t="shared" si="136"/>
        <v/>
      </c>
      <c r="HV15" t="str">
        <f t="shared" si="137"/>
        <v/>
      </c>
      <c r="HW15" t="str">
        <f t="shared" si="138"/>
        <v/>
      </c>
      <c r="HX15" t="str">
        <f t="shared" si="139"/>
        <v/>
      </c>
      <c r="HY15" t="str">
        <f t="shared" si="140"/>
        <v/>
      </c>
      <c r="HZ15" t="str">
        <f t="shared" si="141"/>
        <v/>
      </c>
      <c r="IA15" t="str">
        <f t="shared" si="142"/>
        <v/>
      </c>
      <c r="IB15" t="str">
        <f t="shared" si="143"/>
        <v/>
      </c>
      <c r="IC15" t="str">
        <f t="shared" si="144"/>
        <v/>
      </c>
      <c r="ID15" s="238" t="str">
        <f t="shared" si="145"/>
        <v/>
      </c>
      <c r="IE15" s="238" t="str">
        <f t="shared" si="146"/>
        <v/>
      </c>
      <c r="IF15" s="238" t="str">
        <f t="shared" si="147"/>
        <v/>
      </c>
      <c r="IG15" s="238" t="str">
        <f t="shared" si="148"/>
        <v/>
      </c>
      <c r="IH15" s="241" t="str">
        <f>A15&amp;" "&amp;F15&amp;" "&amp;Data[[#This Row],[mes]]</f>
        <v>David Gonzalez Outbound jun-26</v>
      </c>
      <c r="II15" s="244">
        <f>COUNTIF($IH15:$IH48,IH15)</f>
        <v>2</v>
      </c>
      <c r="IJ15" s="241">
        <f>IF(COUNTIF($IH$4:IH15,IH15)=1,1,0)</f>
        <v>0</v>
      </c>
      <c r="IK15" s="244">
        <f>IF(Data[[#This Row],[Muestra Critica]]&gt;0,Data[[#This Row],[Muestra Critica]],"")</f>
        <v>1</v>
      </c>
      <c r="IL15" s="238">
        <f>IF(IK15="","",COUNTIF($IK$4:$IK47,IK15))</f>
        <v>26</v>
      </c>
      <c r="IM15">
        <f t="shared" si="149"/>
        <v>0</v>
      </c>
      <c r="IN15" s="241" t="str">
        <f t="shared" si="150"/>
        <v>jun-26</v>
      </c>
      <c r="IO15" s="241"/>
      <c r="IP15" s="241"/>
      <c r="IQ15" s="241"/>
      <c r="IR15" s="241"/>
      <c r="IS15" s="241">
        <f>IFERROR(_xlfn.XLOOKUP(A:A,HC!B:B,HC!E:E,,0),0)</f>
        <v>0</v>
      </c>
    </row>
    <row r="16" spans="1:253" ht="15.5" x14ac:dyDescent="0.35">
      <c r="A16" s="232" t="s">
        <v>422</v>
      </c>
      <c r="B16" s="232">
        <v>67480734</v>
      </c>
      <c r="C16" s="242">
        <v>46193</v>
      </c>
      <c r="D16" s="232" t="s">
        <v>406</v>
      </c>
      <c r="E16" s="232" t="s">
        <v>397</v>
      </c>
      <c r="F16" s="232" t="s">
        <v>32</v>
      </c>
      <c r="G16" s="232" t="s">
        <v>402</v>
      </c>
      <c r="H16" s="232" t="s">
        <v>420</v>
      </c>
      <c r="I16" s="233" t="s">
        <v>412</v>
      </c>
      <c r="J16" s="234" t="s">
        <v>33</v>
      </c>
      <c r="K16" s="234" t="s">
        <v>33</v>
      </c>
      <c r="L16" s="234" t="s">
        <v>33</v>
      </c>
      <c r="M16" s="234" t="s">
        <v>33</v>
      </c>
      <c r="N16" s="234" t="s">
        <v>33</v>
      </c>
      <c r="O16" s="234" t="s">
        <v>33</v>
      </c>
      <c r="P16" s="234" t="s">
        <v>33</v>
      </c>
      <c r="Q16" s="234" t="s">
        <v>33</v>
      </c>
      <c r="R16" s="234" t="s">
        <v>33</v>
      </c>
      <c r="S16" s="234" t="s">
        <v>33</v>
      </c>
      <c r="T16" s="234" t="s">
        <v>33</v>
      </c>
      <c r="U16" s="234" t="s">
        <v>33</v>
      </c>
      <c r="V16" s="235" t="s">
        <v>33</v>
      </c>
      <c r="W16" s="235" t="s">
        <v>33</v>
      </c>
      <c r="X16" s="235" t="s">
        <v>33</v>
      </c>
      <c r="Y16" s="235" t="s">
        <v>33</v>
      </c>
      <c r="Z16" s="235" t="s">
        <v>33</v>
      </c>
      <c r="AA16" s="235" t="s">
        <v>33</v>
      </c>
      <c r="AB16" s="235" t="s">
        <v>33</v>
      </c>
      <c r="AC16" s="235" t="s">
        <v>33</v>
      </c>
      <c r="AD16" s="235" t="s">
        <v>33</v>
      </c>
      <c r="AE16" s="235" t="s">
        <v>33</v>
      </c>
      <c r="AF16" s="235" t="s">
        <v>33</v>
      </c>
      <c r="AG16" s="235" t="s">
        <v>33</v>
      </c>
      <c r="AH16" s="235" t="s">
        <v>33</v>
      </c>
      <c r="AI16" s="235" t="s">
        <v>33</v>
      </c>
      <c r="AJ16" s="235" t="s">
        <v>33</v>
      </c>
      <c r="AK16" s="235" t="s">
        <v>33</v>
      </c>
      <c r="AL16" s="235" t="s">
        <v>33</v>
      </c>
      <c r="AM16" s="235" t="s">
        <v>33</v>
      </c>
      <c r="AN16" s="235" t="s">
        <v>33</v>
      </c>
      <c r="AO16" s="235" t="s">
        <v>33</v>
      </c>
      <c r="AP16" s="235" t="s">
        <v>33</v>
      </c>
      <c r="AQ16" s="235" t="s">
        <v>33</v>
      </c>
      <c r="AR16" s="235" t="s">
        <v>33</v>
      </c>
      <c r="AS16" s="235" t="s">
        <v>33</v>
      </c>
      <c r="AT16" s="235" t="s">
        <v>33</v>
      </c>
      <c r="AU16" s="235" t="s">
        <v>33</v>
      </c>
      <c r="AV16" s="235" t="s">
        <v>33</v>
      </c>
      <c r="AW16" s="235" t="s">
        <v>34</v>
      </c>
      <c r="AX16" s="235" t="s">
        <v>33</v>
      </c>
      <c r="AY16" s="235" t="s">
        <v>33</v>
      </c>
      <c r="AZ16" s="235" t="s">
        <v>33</v>
      </c>
      <c r="BA16" s="235" t="s">
        <v>33</v>
      </c>
      <c r="BB16" s="235" t="s">
        <v>33</v>
      </c>
      <c r="BC16" s="236" t="s">
        <v>33</v>
      </c>
      <c r="BD16" s="236" t="s">
        <v>33</v>
      </c>
      <c r="BE16" s="236" t="s">
        <v>33</v>
      </c>
      <c r="BF16" s="237" t="s">
        <v>33</v>
      </c>
      <c r="BG16" s="241"/>
      <c r="BH16" s="245" t="str">
        <f>Data[[#This Row],[Tipo de Muestra]]</f>
        <v>Critica</v>
      </c>
      <c r="BI16" s="241"/>
      <c r="BJ16" s="241"/>
      <c r="BK16">
        <f t="shared" si="0"/>
        <v>1</v>
      </c>
      <c r="BL16">
        <f t="shared" si="1"/>
        <v>1</v>
      </c>
      <c r="BM16">
        <f t="shared" si="2"/>
        <v>1</v>
      </c>
      <c r="BN16">
        <f t="shared" si="3"/>
        <v>1</v>
      </c>
      <c r="BO16">
        <f t="shared" si="4"/>
        <v>1</v>
      </c>
      <c r="BP16">
        <f t="shared" si="5"/>
        <v>1</v>
      </c>
      <c r="BQ16">
        <f t="shared" si="6"/>
        <v>1</v>
      </c>
      <c r="BR16">
        <f t="shared" si="7"/>
        <v>1</v>
      </c>
      <c r="BS16">
        <f t="shared" si="8"/>
        <v>1</v>
      </c>
      <c r="BT16">
        <f t="shared" si="9"/>
        <v>1</v>
      </c>
      <c r="BU16">
        <f t="shared" si="10"/>
        <v>1</v>
      </c>
      <c r="BV16">
        <f t="shared" si="11"/>
        <v>1</v>
      </c>
      <c r="BW16">
        <f t="shared" si="12"/>
        <v>1</v>
      </c>
      <c r="BX16">
        <f t="shared" si="13"/>
        <v>1</v>
      </c>
      <c r="BY16">
        <f t="shared" si="14"/>
        <v>0</v>
      </c>
      <c r="BZ16">
        <f t="shared" si="15"/>
        <v>0</v>
      </c>
      <c r="CA16">
        <f t="shared" si="16"/>
        <v>0</v>
      </c>
      <c r="CB16">
        <f t="shared" si="17"/>
        <v>0</v>
      </c>
      <c r="CC16">
        <f t="shared" si="18"/>
        <v>0</v>
      </c>
      <c r="CD16">
        <f t="shared" si="19"/>
        <v>0</v>
      </c>
      <c r="CE16">
        <f t="shared" si="20"/>
        <v>0</v>
      </c>
      <c r="CF16">
        <f t="shared" si="21"/>
        <v>0</v>
      </c>
      <c r="CG16">
        <f t="shared" si="22"/>
        <v>0</v>
      </c>
      <c r="CH16">
        <f t="shared" si="23"/>
        <v>0</v>
      </c>
      <c r="CI16">
        <f t="shared" si="24"/>
        <v>0</v>
      </c>
      <c r="CJ16">
        <f t="shared" si="25"/>
        <v>0</v>
      </c>
      <c r="CK16">
        <f t="shared" si="26"/>
        <v>0</v>
      </c>
      <c r="CL16">
        <f t="shared" si="27"/>
        <v>0</v>
      </c>
      <c r="CM16">
        <f t="shared" si="28"/>
        <v>0</v>
      </c>
      <c r="CN16">
        <f t="shared" si="29"/>
        <v>0</v>
      </c>
      <c r="CO16">
        <f t="shared" si="30"/>
        <v>0</v>
      </c>
      <c r="CP16">
        <f t="shared" si="31"/>
        <v>0</v>
      </c>
      <c r="CQ16">
        <f t="shared" si="32"/>
        <v>0</v>
      </c>
      <c r="CR16">
        <f t="shared" si="33"/>
        <v>0</v>
      </c>
      <c r="CS16">
        <f t="shared" si="34"/>
        <v>0</v>
      </c>
      <c r="CT16">
        <f t="shared" si="35"/>
        <v>0</v>
      </c>
      <c r="CU16">
        <f t="shared" si="36"/>
        <v>0</v>
      </c>
      <c r="CV16">
        <f t="shared" si="37"/>
        <v>0</v>
      </c>
      <c r="CW16">
        <f t="shared" si="38"/>
        <v>0</v>
      </c>
      <c r="CX16">
        <f t="shared" si="39"/>
        <v>0</v>
      </c>
      <c r="CY16">
        <f t="shared" si="40"/>
        <v>0</v>
      </c>
      <c r="CZ16">
        <f t="shared" si="41"/>
        <v>0</v>
      </c>
      <c r="DA16">
        <f t="shared" si="42"/>
        <v>0</v>
      </c>
      <c r="DB16">
        <f t="shared" si="43"/>
        <v>0</v>
      </c>
      <c r="DC16">
        <f t="shared" si="44"/>
        <v>0</v>
      </c>
      <c r="DD16" s="238">
        <f t="shared" si="45"/>
        <v>0</v>
      </c>
      <c r="DE16" s="238">
        <f t="shared" si="46"/>
        <v>0</v>
      </c>
      <c r="DF16" s="238">
        <f t="shared" si="47"/>
        <v>0</v>
      </c>
      <c r="DG16" s="238">
        <f t="shared" si="48"/>
        <v>1</v>
      </c>
      <c r="DH16" s="9">
        <f t="shared" si="49"/>
        <v>0.15</v>
      </c>
      <c r="DI16" s="9">
        <f t="shared" si="50"/>
        <v>0.15</v>
      </c>
      <c r="DJ16" s="9">
        <f t="shared" si="51"/>
        <v>0.15</v>
      </c>
      <c r="DK16" s="9">
        <f>IF(MIN(Data[[#This Row],[¿El agente cumple con la identificación formal y profesional?3]:[¿El agente realiza despedida corporativa?5]])=0,0,15%)</f>
        <v>0.15</v>
      </c>
      <c r="DL16" s="9">
        <f t="shared" si="52"/>
        <v>0.3</v>
      </c>
      <c r="DM16" s="9">
        <f t="shared" si="53"/>
        <v>0.3</v>
      </c>
      <c r="DN16" s="9">
        <f t="shared" si="54"/>
        <v>0.3</v>
      </c>
      <c r="DO16" s="9">
        <f t="shared" si="55"/>
        <v>0.3</v>
      </c>
      <c r="DP16" s="9">
        <f>IF(MIN(Data[[#This Row],[¿El agente demuestra escucha activa durante la gestión?6]:[¿El agente parafrasea para confirmar entendimiento?9]])=0,0,30%)</f>
        <v>0.3</v>
      </c>
      <c r="DQ16" s="9">
        <f t="shared" si="56"/>
        <v>0.3</v>
      </c>
      <c r="DR16" s="9">
        <f t="shared" si="57"/>
        <v>0.3</v>
      </c>
      <c r="DS16" s="9">
        <f t="shared" si="58"/>
        <v>0.3</v>
      </c>
      <c r="DT16" s="9">
        <f t="shared" si="59"/>
        <v>0.3</v>
      </c>
      <c r="DU16" s="239">
        <f>IF(MIN(Data[[#This Row],[¿El agente adapta su comunicación al cliente?11]:[¿El agente utiliza el plural corporativo correctamente?14]])=0,0,30%)</f>
        <v>0.3</v>
      </c>
      <c r="DV16" s="9">
        <f t="shared" si="60"/>
        <v>0.25</v>
      </c>
      <c r="DW16" s="9">
        <f t="shared" si="151"/>
        <v>0.25</v>
      </c>
      <c r="DX16" s="9">
        <f t="shared" si="152"/>
        <v>1</v>
      </c>
      <c r="DY16" s="9">
        <f t="shared" si="61"/>
        <v>1</v>
      </c>
      <c r="DZ16" s="9">
        <f t="shared" si="62"/>
        <v>1</v>
      </c>
      <c r="EA16" s="9">
        <f t="shared" si="63"/>
        <v>1</v>
      </c>
      <c r="EB16" s="9">
        <f t="shared" si="64"/>
        <v>1</v>
      </c>
      <c r="EC16" s="9">
        <f>IF(SUM(Data[[#This Row],[¿El agente informa correctamente sobre los centros de pago?19]:[¿El agente explica el ciclo de facturación adecuadamente?22]])=400%,100%,0%)</f>
        <v>1</v>
      </c>
      <c r="ED16" s="9">
        <f t="shared" si="65"/>
        <v>1</v>
      </c>
      <c r="EE16" s="9">
        <f t="shared" si="66"/>
        <v>1</v>
      </c>
      <c r="EF16" s="9">
        <f>IF(SUM(Data[[#This Row],[¿El agente presenta correctamente los beneficios del producto?23]:[¿El agente comunica beneficios emocionales al cliente?24]])=200%,100%,0%)</f>
        <v>1</v>
      </c>
      <c r="EG16" s="9">
        <f t="shared" si="67"/>
        <v>1</v>
      </c>
      <c r="EH16" s="9">
        <f t="shared" si="68"/>
        <v>1</v>
      </c>
      <c r="EI16" s="9">
        <f t="shared" si="69"/>
        <v>1</v>
      </c>
      <c r="EJ16" s="9">
        <f>IF(SUM(Data[[#This Row],[¿El agente realiza un resumen comercial adecuado?25]:[¿El agente formaliza correctamente el acuerdo de venta?27]])=300%,100%,0%)</f>
        <v>1</v>
      </c>
      <c r="EK16" s="9">
        <f t="shared" si="70"/>
        <v>1</v>
      </c>
      <c r="EL16" s="9">
        <f>+Data[[#This Row],[¿El agente explica los términos y condiciones del servicio?28]]</f>
        <v>1</v>
      </c>
      <c r="EM16" s="9">
        <f t="shared" si="71"/>
        <v>1</v>
      </c>
      <c r="EN16" s="9">
        <f>+Data[[#This Row],[¿El agente identifica correctamente la solicitud del cliente?29]]</f>
        <v>1</v>
      </c>
      <c r="EO16" s="9">
        <f t="shared" si="72"/>
        <v>1</v>
      </c>
      <c r="EP16" s="9">
        <f t="shared" si="73"/>
        <v>1</v>
      </c>
      <c r="EQ16" s="9">
        <f t="shared" si="74"/>
        <v>1</v>
      </c>
      <c r="ER16" s="9">
        <f>IF(SUM(Data[[#This Row],[¿El agente evita activar un servicio diferente al solicitado?30]:[¿El agente configura adecuadamente el producto contratado?32]])=300%,100%,0%)</f>
        <v>1</v>
      </c>
      <c r="ES16" s="9">
        <f t="shared" si="75"/>
        <v>1</v>
      </c>
      <c r="ET16" s="9">
        <f t="shared" si="76"/>
        <v>1</v>
      </c>
      <c r="EU16" s="9">
        <f>IF(SUM(Data[[#This Row],[¿El agente mantiene respeto y cordialidad en toda la interacción?33]:[¿El agente utiliza un lenguaje adecuado y profesional?34]])=200%,100%,0%)</f>
        <v>1</v>
      </c>
      <c r="EV16" s="9">
        <f t="shared" si="77"/>
        <v>1</v>
      </c>
      <c r="EW16" s="9">
        <f t="shared" si="78"/>
        <v>1</v>
      </c>
      <c r="EX16" s="9">
        <f t="shared" si="79"/>
        <v>1</v>
      </c>
      <c r="EY16" s="9">
        <f t="shared" si="80"/>
        <v>1</v>
      </c>
      <c r="EZ16" s="9">
        <f t="shared" si="81"/>
        <v>1</v>
      </c>
      <c r="FA16" s="9">
        <f t="shared" si="82"/>
        <v>1</v>
      </c>
      <c r="FB16" s="9">
        <f>IF(SUM(Data[[#This Row],[¿El agente verifica correctamente la cobertura?35]:[¿El agente agenda citas o gestiones cuando es necesario?41]])=600%,100%,0%)</f>
        <v>1</v>
      </c>
      <c r="FC16" s="9">
        <f t="shared" si="153"/>
        <v>1</v>
      </c>
      <c r="FD16" s="9">
        <f t="shared" si="83"/>
        <v>1</v>
      </c>
      <c r="FE16" s="9">
        <f t="shared" si="84"/>
        <v>1</v>
      </c>
      <c r="FF16" s="9">
        <f t="shared" si="85"/>
        <v>1</v>
      </c>
      <c r="FG16" s="9">
        <f t="shared" si="86"/>
        <v>1</v>
      </c>
      <c r="FH16" s="9">
        <f t="shared" si="87"/>
        <v>1</v>
      </c>
      <c r="FI16" s="9">
        <f t="shared" si="88"/>
        <v>0</v>
      </c>
      <c r="FJ16" s="9">
        <f>IF(SUM(Data[[#This Row],[¿El agente ofrece adecuadamente un producto adicional?42]:[¿El agente maneja correctamente las objeciones del cliente?47]])=600%,100%,)</f>
        <v>0</v>
      </c>
      <c r="FK16" s="9">
        <f t="shared" si="89"/>
        <v>1</v>
      </c>
      <c r="FL16" s="9">
        <f>+Data[[#This Row],[¿El agente gestiona la oferta según la campaña vigente?48]]</f>
        <v>1</v>
      </c>
      <c r="FM16" s="9">
        <f t="shared" si="90"/>
        <v>1</v>
      </c>
      <c r="FN16" s="9">
        <f t="shared" si="91"/>
        <v>1</v>
      </c>
      <c r="FO16" s="9">
        <f t="shared" si="92"/>
        <v>1</v>
      </c>
      <c r="FP16" s="9">
        <f>IF(SUM(Data[[#This Row],[¿El agente solicita coordenadas cuando es necesario?49]:[¿El agente maneja adecuadamente llamadas en conferencia?51]])=300%,100%,)</f>
        <v>1</v>
      </c>
      <c r="FQ16" s="9">
        <f t="shared" si="93"/>
        <v>1</v>
      </c>
      <c r="FR16" s="9">
        <f>+Data[[#This Row],[¿El agente registra correctamente todas las interacciones?52]]</f>
        <v>1</v>
      </c>
      <c r="FS16" s="9">
        <f t="shared" si="154"/>
        <v>0</v>
      </c>
      <c r="FT16" s="238">
        <f t="shared" si="155"/>
        <v>1</v>
      </c>
      <c r="FU16" s="9">
        <f>+Data[[#This Row],[¿El agente confirma la titularidad del cliente adecuadamente?53]]</f>
        <v>1</v>
      </c>
      <c r="FV16" s="238">
        <f t="shared" si="94"/>
        <v>1</v>
      </c>
      <c r="FW16" s="238">
        <f t="shared" si="95"/>
        <v>1</v>
      </c>
      <c r="FX16" s="9">
        <f>IF(SUM(Data[[#This Row],[¿El agente evita la omisión de alertas importantes?54]]:Data[[#This Row],[¿El agente mantiene conducta ética durante la interacción?55]])=200%,100%,)</f>
        <v>1</v>
      </c>
      <c r="FY16" s="238">
        <f t="shared" si="96"/>
        <v>1</v>
      </c>
      <c r="FZ16" s="9">
        <f>+Data[[#This Row],[¿El agente evita compartir información sensible?56]]</f>
        <v>1</v>
      </c>
      <c r="GA16" s="9">
        <f t="shared" si="156"/>
        <v>1</v>
      </c>
      <c r="GB16" s="239">
        <f t="shared" si="97"/>
        <v>0.1</v>
      </c>
      <c r="GC16" s="239">
        <f t="shared" si="98"/>
        <v>0.3</v>
      </c>
      <c r="GD16" s="240">
        <f t="shared" si="99"/>
        <v>0</v>
      </c>
      <c r="GE16" s="240">
        <f t="shared" si="100"/>
        <v>0.3</v>
      </c>
      <c r="GF16" s="9">
        <f>SUM(Data[[#This Row],[PESO PENC]:[PESO PECCUM]])</f>
        <v>0.7</v>
      </c>
      <c r="GG16" s="238">
        <f>1</f>
        <v>1</v>
      </c>
      <c r="GH16" s="238">
        <f t="shared" si="101"/>
        <v>1</v>
      </c>
      <c r="GI16" t="str">
        <f t="shared" si="102"/>
        <v/>
      </c>
      <c r="GJ16" t="str">
        <f t="shared" si="103"/>
        <v/>
      </c>
      <c r="GK16" t="str">
        <f t="shared" si="104"/>
        <v/>
      </c>
      <c r="GN16" t="str">
        <f t="shared" si="105"/>
        <v/>
      </c>
      <c r="GO16" t="str">
        <f t="shared" si="106"/>
        <v/>
      </c>
      <c r="GP16" t="str">
        <f t="shared" si="107"/>
        <v/>
      </c>
      <c r="GQ16" t="str">
        <f t="shared" si="108"/>
        <v/>
      </c>
      <c r="GR16" t="str">
        <f t="shared" si="109"/>
        <v/>
      </c>
      <c r="GS16" t="str">
        <f t="shared" si="110"/>
        <v/>
      </c>
      <c r="GT16" t="str">
        <f t="shared" si="111"/>
        <v/>
      </c>
      <c r="GU16" t="e">
        <f>IF(#REF!="No",#REF!,"")</f>
        <v>#REF!</v>
      </c>
      <c r="GV16" t="str">
        <f t="shared" si="112"/>
        <v/>
      </c>
      <c r="GW16" t="str">
        <f t="shared" si="113"/>
        <v/>
      </c>
      <c r="GX16" t="str">
        <f t="shared" si="114"/>
        <v/>
      </c>
      <c r="GY16" t="str">
        <f t="shared" si="115"/>
        <v/>
      </c>
      <c r="GZ16" t="str">
        <f t="shared" si="116"/>
        <v/>
      </c>
      <c r="HA16" t="str">
        <f t="shared" si="117"/>
        <v/>
      </c>
      <c r="HB16" t="str">
        <f t="shared" si="118"/>
        <v/>
      </c>
      <c r="HC16" t="str">
        <f t="shared" si="119"/>
        <v/>
      </c>
      <c r="HD16" t="str">
        <f t="shared" si="120"/>
        <v/>
      </c>
      <c r="HE16" t="str">
        <f t="shared" si="121"/>
        <v/>
      </c>
      <c r="HF16" t="str">
        <f t="shared" si="122"/>
        <v/>
      </c>
      <c r="HG16" t="str">
        <f t="shared" si="123"/>
        <v/>
      </c>
      <c r="HH16" t="str">
        <f t="shared" si="124"/>
        <v/>
      </c>
      <c r="HI16" t="str">
        <f t="shared" si="125"/>
        <v/>
      </c>
      <c r="HJ16" t="str">
        <f t="shared" si="126"/>
        <v/>
      </c>
      <c r="HK16" t="str">
        <f t="shared" si="127"/>
        <v/>
      </c>
      <c r="HL16" t="str">
        <f t="shared" si="128"/>
        <v/>
      </c>
      <c r="HM16" t="str">
        <f t="shared" si="129"/>
        <v/>
      </c>
      <c r="HN16" t="str">
        <f t="shared" si="130"/>
        <v/>
      </c>
      <c r="HO16" t="str">
        <f t="shared" si="131"/>
        <v/>
      </c>
      <c r="HP16" t="str">
        <f t="shared" si="132"/>
        <v/>
      </c>
      <c r="HQ16" t="str">
        <f t="shared" si="133"/>
        <v/>
      </c>
      <c r="HR16" t="e">
        <f>IF(#REF!="No",#REF!,"")</f>
        <v>#REF!</v>
      </c>
      <c r="HS16" t="str">
        <f t="shared" si="134"/>
        <v/>
      </c>
      <c r="HT16" t="str">
        <f t="shared" si="135"/>
        <v/>
      </c>
      <c r="HU16" t="str">
        <f t="shared" si="136"/>
        <v/>
      </c>
      <c r="HV16" t="str">
        <f t="shared" si="137"/>
        <v/>
      </c>
      <c r="HW16" t="str">
        <f t="shared" si="138"/>
        <v/>
      </c>
      <c r="HX16" t="str">
        <f t="shared" si="139"/>
        <v xml:space="preserve">¿El agente maneja correctamente las objeciones del cliente? </v>
      </c>
      <c r="HY16" t="str">
        <f t="shared" si="140"/>
        <v/>
      </c>
      <c r="HZ16" t="str">
        <f t="shared" si="141"/>
        <v/>
      </c>
      <c r="IA16" t="str">
        <f t="shared" si="142"/>
        <v/>
      </c>
      <c r="IB16" t="str">
        <f t="shared" si="143"/>
        <v/>
      </c>
      <c r="IC16" t="str">
        <f t="shared" si="144"/>
        <v/>
      </c>
      <c r="ID16" s="238" t="str">
        <f t="shared" si="145"/>
        <v/>
      </c>
      <c r="IE16" s="238" t="str">
        <f t="shared" si="146"/>
        <v/>
      </c>
      <c r="IF16" s="238" t="str">
        <f t="shared" si="147"/>
        <v/>
      </c>
      <c r="IG16" s="238" t="str">
        <f t="shared" si="148"/>
        <v/>
      </c>
      <c r="IH16" s="241" t="str">
        <f>A16&amp;" "&amp;F16&amp;" "&amp;Data[[#This Row],[mes]]</f>
        <v>Yaelin Bethancourt Outbound jun-26</v>
      </c>
      <c r="II16" s="244">
        <f>COUNTIF($IH16:$IH49,IH16)</f>
        <v>2</v>
      </c>
      <c r="IJ16" s="241">
        <f>IF(COUNTIF($IH$4:IH16,IH16)=1,1,0)</f>
        <v>0</v>
      </c>
      <c r="IK16" s="244">
        <f>IF(Data[[#This Row],[Muestra Critica]]&gt;0,Data[[#This Row],[Muestra Critica]],"")</f>
        <v>1</v>
      </c>
      <c r="IL16" s="238">
        <f>IF(IK16="","",COUNTIF($IK$4:$IK48,IK16))</f>
        <v>26</v>
      </c>
      <c r="IM16">
        <f t="shared" si="149"/>
        <v>0</v>
      </c>
      <c r="IN16" s="241" t="str">
        <f t="shared" si="150"/>
        <v>jun-26</v>
      </c>
      <c r="IO16" s="241"/>
      <c r="IP16" s="241"/>
      <c r="IQ16" s="241"/>
      <c r="IR16" s="241"/>
      <c r="IS16" s="241">
        <f>IFERROR(_xlfn.XLOOKUP(A:A,HC!B:B,HC!E:E,,0),0)</f>
        <v>0</v>
      </c>
    </row>
    <row r="17" spans="1:253" ht="15.5" x14ac:dyDescent="0.35">
      <c r="A17" s="232" t="s">
        <v>414</v>
      </c>
      <c r="B17" s="232">
        <v>67480734</v>
      </c>
      <c r="C17" s="242">
        <v>46194</v>
      </c>
      <c r="D17" s="232" t="s">
        <v>406</v>
      </c>
      <c r="E17" s="232" t="s">
        <v>398</v>
      </c>
      <c r="F17" s="232" t="s">
        <v>32</v>
      </c>
      <c r="G17" s="232" t="s">
        <v>402</v>
      </c>
      <c r="H17" s="232" t="s">
        <v>420</v>
      </c>
      <c r="I17" s="233" t="s">
        <v>411</v>
      </c>
      <c r="J17" s="234" t="s">
        <v>33</v>
      </c>
      <c r="K17" s="234" t="s">
        <v>33</v>
      </c>
      <c r="L17" s="234" t="s">
        <v>33</v>
      </c>
      <c r="M17" s="234" t="s">
        <v>33</v>
      </c>
      <c r="N17" s="234" t="s">
        <v>33</v>
      </c>
      <c r="O17" s="234" t="s">
        <v>33</v>
      </c>
      <c r="P17" s="234" t="s">
        <v>33</v>
      </c>
      <c r="Q17" s="234" t="s">
        <v>33</v>
      </c>
      <c r="R17" s="234" t="s">
        <v>33</v>
      </c>
      <c r="S17" s="234" t="s">
        <v>33</v>
      </c>
      <c r="T17" s="234" t="s">
        <v>33</v>
      </c>
      <c r="U17" s="234" t="s">
        <v>33</v>
      </c>
      <c r="V17" s="235" t="s">
        <v>33</v>
      </c>
      <c r="W17" s="235" t="s">
        <v>33</v>
      </c>
      <c r="X17" s="235" t="s">
        <v>33</v>
      </c>
      <c r="Y17" s="235" t="s">
        <v>33</v>
      </c>
      <c r="Z17" s="235" t="s">
        <v>33</v>
      </c>
      <c r="AA17" s="235" t="s">
        <v>33</v>
      </c>
      <c r="AB17" s="235" t="s">
        <v>33</v>
      </c>
      <c r="AC17" s="235" t="s">
        <v>33</v>
      </c>
      <c r="AD17" s="235" t="s">
        <v>33</v>
      </c>
      <c r="AE17" s="235" t="s">
        <v>33</v>
      </c>
      <c r="AF17" s="235" t="s">
        <v>33</v>
      </c>
      <c r="AG17" s="235" t="s">
        <v>33</v>
      </c>
      <c r="AH17" s="235" t="s">
        <v>33</v>
      </c>
      <c r="AI17" s="235" t="s">
        <v>33</v>
      </c>
      <c r="AJ17" s="235" t="s">
        <v>33</v>
      </c>
      <c r="AK17" s="235" t="s">
        <v>33</v>
      </c>
      <c r="AL17" s="235" t="s">
        <v>33</v>
      </c>
      <c r="AM17" s="235" t="s">
        <v>33</v>
      </c>
      <c r="AN17" s="235" t="s">
        <v>33</v>
      </c>
      <c r="AO17" s="235" t="s">
        <v>33</v>
      </c>
      <c r="AP17" s="235" t="s">
        <v>33</v>
      </c>
      <c r="AQ17" s="235" t="s">
        <v>33</v>
      </c>
      <c r="AR17" s="235" t="s">
        <v>33</v>
      </c>
      <c r="AS17" s="235" t="s">
        <v>33</v>
      </c>
      <c r="AT17" s="235" t="s">
        <v>33</v>
      </c>
      <c r="AU17" s="235" t="s">
        <v>33</v>
      </c>
      <c r="AV17" s="235" t="s">
        <v>33</v>
      </c>
      <c r="AW17" s="235" t="s">
        <v>33</v>
      </c>
      <c r="AX17" s="235" t="s">
        <v>33</v>
      </c>
      <c r="AY17" s="235" t="s">
        <v>33</v>
      </c>
      <c r="AZ17" s="235" t="s">
        <v>33</v>
      </c>
      <c r="BA17" s="235" t="s">
        <v>33</v>
      </c>
      <c r="BB17" s="235" t="s">
        <v>33</v>
      </c>
      <c r="BC17" s="236" t="s">
        <v>33</v>
      </c>
      <c r="BD17" s="236" t="s">
        <v>33</v>
      </c>
      <c r="BE17" s="236" t="s">
        <v>33</v>
      </c>
      <c r="BF17" s="237" t="s">
        <v>33</v>
      </c>
      <c r="BG17" s="241"/>
      <c r="BH17" s="245" t="str">
        <f>Data[[#This Row],[Tipo de Muestra]]</f>
        <v>No Critica</v>
      </c>
      <c r="BI17" s="241"/>
      <c r="BJ17" s="241"/>
      <c r="BK17">
        <f t="shared" si="0"/>
        <v>1</v>
      </c>
      <c r="BL17">
        <f t="shared" si="1"/>
        <v>1</v>
      </c>
      <c r="BM17">
        <f t="shared" si="2"/>
        <v>1</v>
      </c>
      <c r="BN17">
        <f t="shared" si="3"/>
        <v>1</v>
      </c>
      <c r="BO17">
        <f t="shared" si="4"/>
        <v>1</v>
      </c>
      <c r="BP17">
        <f t="shared" si="5"/>
        <v>1</v>
      </c>
      <c r="BQ17">
        <f t="shared" si="6"/>
        <v>1</v>
      </c>
      <c r="BR17">
        <f t="shared" si="7"/>
        <v>1</v>
      </c>
      <c r="BS17">
        <f t="shared" si="8"/>
        <v>1</v>
      </c>
      <c r="BT17">
        <f t="shared" si="9"/>
        <v>1</v>
      </c>
      <c r="BU17">
        <f t="shared" si="10"/>
        <v>1</v>
      </c>
      <c r="BV17">
        <f t="shared" si="11"/>
        <v>1</v>
      </c>
      <c r="BW17">
        <f t="shared" si="12"/>
        <v>1</v>
      </c>
      <c r="BX17">
        <f t="shared" si="13"/>
        <v>1</v>
      </c>
      <c r="BY17">
        <f t="shared" si="14"/>
        <v>0</v>
      </c>
      <c r="BZ17">
        <f t="shared" si="15"/>
        <v>0</v>
      </c>
      <c r="CA17">
        <f t="shared" si="16"/>
        <v>0</v>
      </c>
      <c r="CB17">
        <f t="shared" si="17"/>
        <v>0</v>
      </c>
      <c r="CC17">
        <f t="shared" si="18"/>
        <v>0</v>
      </c>
      <c r="CD17">
        <f t="shared" si="19"/>
        <v>0</v>
      </c>
      <c r="CE17">
        <f t="shared" si="20"/>
        <v>0</v>
      </c>
      <c r="CF17">
        <f t="shared" si="21"/>
        <v>0</v>
      </c>
      <c r="CG17">
        <f t="shared" si="22"/>
        <v>0</v>
      </c>
      <c r="CH17">
        <f t="shared" si="23"/>
        <v>0</v>
      </c>
      <c r="CI17">
        <f t="shared" si="24"/>
        <v>0</v>
      </c>
      <c r="CJ17">
        <f t="shared" si="25"/>
        <v>0</v>
      </c>
      <c r="CK17">
        <f t="shared" si="26"/>
        <v>0</v>
      </c>
      <c r="CL17">
        <f t="shared" si="27"/>
        <v>0</v>
      </c>
      <c r="CM17">
        <f t="shared" si="28"/>
        <v>0</v>
      </c>
      <c r="CN17">
        <f t="shared" si="29"/>
        <v>0</v>
      </c>
      <c r="CO17">
        <f t="shared" si="30"/>
        <v>0</v>
      </c>
      <c r="CP17">
        <f t="shared" si="31"/>
        <v>0</v>
      </c>
      <c r="CQ17">
        <f t="shared" si="32"/>
        <v>0</v>
      </c>
      <c r="CR17">
        <f t="shared" si="33"/>
        <v>0</v>
      </c>
      <c r="CS17">
        <f t="shared" si="34"/>
        <v>0</v>
      </c>
      <c r="CT17">
        <f t="shared" si="35"/>
        <v>0</v>
      </c>
      <c r="CU17">
        <f t="shared" si="36"/>
        <v>0</v>
      </c>
      <c r="CV17">
        <f t="shared" si="37"/>
        <v>0</v>
      </c>
      <c r="CW17">
        <f t="shared" si="38"/>
        <v>0</v>
      </c>
      <c r="CX17">
        <f t="shared" si="39"/>
        <v>0</v>
      </c>
      <c r="CY17">
        <f t="shared" si="40"/>
        <v>0</v>
      </c>
      <c r="CZ17">
        <f t="shared" si="41"/>
        <v>0</v>
      </c>
      <c r="DA17">
        <f t="shared" si="42"/>
        <v>0</v>
      </c>
      <c r="DB17">
        <f t="shared" si="43"/>
        <v>0</v>
      </c>
      <c r="DC17">
        <f t="shared" si="44"/>
        <v>0</v>
      </c>
      <c r="DD17" s="238">
        <f t="shared" si="45"/>
        <v>0</v>
      </c>
      <c r="DE17" s="238">
        <f t="shared" si="46"/>
        <v>0</v>
      </c>
      <c r="DF17" s="238">
        <f t="shared" si="47"/>
        <v>0</v>
      </c>
      <c r="DG17" s="238">
        <f t="shared" si="48"/>
        <v>1</v>
      </c>
      <c r="DH17" s="9">
        <f t="shared" si="49"/>
        <v>0.15</v>
      </c>
      <c r="DI17" s="9">
        <f t="shared" si="50"/>
        <v>0.15</v>
      </c>
      <c r="DJ17" s="9">
        <f t="shared" si="51"/>
        <v>0.15</v>
      </c>
      <c r="DK17" s="9">
        <f>IF(MIN(Data[[#This Row],[¿El agente cumple con la identificación formal y profesional?3]:[¿El agente realiza despedida corporativa?5]])=0,0,15%)</f>
        <v>0.15</v>
      </c>
      <c r="DL17" s="9">
        <f t="shared" si="52"/>
        <v>0.3</v>
      </c>
      <c r="DM17" s="9">
        <f t="shared" si="53"/>
        <v>0.3</v>
      </c>
      <c r="DN17" s="9">
        <f t="shared" si="54"/>
        <v>0.3</v>
      </c>
      <c r="DO17" s="9">
        <f t="shared" si="55"/>
        <v>0.3</v>
      </c>
      <c r="DP17" s="9">
        <f>IF(MIN(Data[[#This Row],[¿El agente demuestra escucha activa durante la gestión?6]:[¿El agente parafrasea para confirmar entendimiento?9]])=0,0,30%)</f>
        <v>0.3</v>
      </c>
      <c r="DQ17" s="9">
        <f t="shared" si="56"/>
        <v>0.3</v>
      </c>
      <c r="DR17" s="9">
        <f t="shared" si="57"/>
        <v>0.3</v>
      </c>
      <c r="DS17" s="9">
        <f t="shared" si="58"/>
        <v>0.3</v>
      </c>
      <c r="DT17" s="9">
        <f t="shared" si="59"/>
        <v>0.3</v>
      </c>
      <c r="DU17" s="239">
        <f>IF(MIN(Data[[#This Row],[¿El agente adapta su comunicación al cliente?11]:[¿El agente utiliza el plural corporativo correctamente?14]])=0,0,30%)</f>
        <v>0.3</v>
      </c>
      <c r="DV17" s="9">
        <f t="shared" si="60"/>
        <v>0.25</v>
      </c>
      <c r="DW17" s="9">
        <f t="shared" si="151"/>
        <v>0.25</v>
      </c>
      <c r="DX17" s="9">
        <f t="shared" si="152"/>
        <v>1</v>
      </c>
      <c r="DY17" s="9">
        <f t="shared" si="61"/>
        <v>1</v>
      </c>
      <c r="DZ17" s="9">
        <f t="shared" si="62"/>
        <v>1</v>
      </c>
      <c r="EA17" s="9">
        <f t="shared" si="63"/>
        <v>1</v>
      </c>
      <c r="EB17" s="9">
        <f t="shared" si="64"/>
        <v>1</v>
      </c>
      <c r="EC17" s="9">
        <f>IF(SUM(Data[[#This Row],[¿El agente informa correctamente sobre los centros de pago?19]:[¿El agente explica el ciclo de facturación adecuadamente?22]])=400%,100%,0%)</f>
        <v>1</v>
      </c>
      <c r="ED17" s="9">
        <f t="shared" si="65"/>
        <v>1</v>
      </c>
      <c r="EE17" s="9">
        <f t="shared" si="66"/>
        <v>1</v>
      </c>
      <c r="EF17" s="9">
        <f>IF(SUM(Data[[#This Row],[¿El agente presenta correctamente los beneficios del producto?23]:[¿El agente comunica beneficios emocionales al cliente?24]])=200%,100%,0%)</f>
        <v>1</v>
      </c>
      <c r="EG17" s="9">
        <f t="shared" si="67"/>
        <v>1</v>
      </c>
      <c r="EH17" s="9">
        <f t="shared" si="68"/>
        <v>1</v>
      </c>
      <c r="EI17" s="9">
        <f t="shared" si="69"/>
        <v>1</v>
      </c>
      <c r="EJ17" s="9">
        <f>IF(SUM(Data[[#This Row],[¿El agente realiza un resumen comercial adecuado?25]:[¿El agente formaliza correctamente el acuerdo de venta?27]])=300%,100%,0%)</f>
        <v>1</v>
      </c>
      <c r="EK17" s="9">
        <f t="shared" si="70"/>
        <v>1</v>
      </c>
      <c r="EL17" s="9">
        <f>+Data[[#This Row],[¿El agente explica los términos y condiciones del servicio?28]]</f>
        <v>1</v>
      </c>
      <c r="EM17" s="9">
        <f t="shared" si="71"/>
        <v>1</v>
      </c>
      <c r="EN17" s="9">
        <f>+Data[[#This Row],[¿El agente identifica correctamente la solicitud del cliente?29]]</f>
        <v>1</v>
      </c>
      <c r="EO17" s="9">
        <f t="shared" si="72"/>
        <v>1</v>
      </c>
      <c r="EP17" s="9">
        <f t="shared" si="73"/>
        <v>1</v>
      </c>
      <c r="EQ17" s="9">
        <f t="shared" si="74"/>
        <v>1</v>
      </c>
      <c r="ER17" s="9">
        <f>IF(SUM(Data[[#This Row],[¿El agente evita activar un servicio diferente al solicitado?30]:[¿El agente configura adecuadamente el producto contratado?32]])=300%,100%,0%)</f>
        <v>1</v>
      </c>
      <c r="ES17" s="9">
        <f t="shared" si="75"/>
        <v>1</v>
      </c>
      <c r="ET17" s="9">
        <f t="shared" si="76"/>
        <v>1</v>
      </c>
      <c r="EU17" s="9">
        <f>IF(SUM(Data[[#This Row],[¿El agente mantiene respeto y cordialidad en toda la interacción?33]:[¿El agente utiliza un lenguaje adecuado y profesional?34]])=200%,100%,0%)</f>
        <v>1</v>
      </c>
      <c r="EV17" s="9">
        <f t="shared" si="77"/>
        <v>1</v>
      </c>
      <c r="EW17" s="9">
        <f t="shared" si="78"/>
        <v>1</v>
      </c>
      <c r="EX17" s="9">
        <f t="shared" si="79"/>
        <v>1</v>
      </c>
      <c r="EY17" s="9">
        <f t="shared" si="80"/>
        <v>1</v>
      </c>
      <c r="EZ17" s="9">
        <f t="shared" si="81"/>
        <v>1</v>
      </c>
      <c r="FA17" s="9">
        <f t="shared" si="82"/>
        <v>1</v>
      </c>
      <c r="FB17" s="9">
        <f>IF(SUM(Data[[#This Row],[¿El agente verifica correctamente la cobertura?35]:[¿El agente agenda citas o gestiones cuando es necesario?41]])=600%,100%,0%)</f>
        <v>1</v>
      </c>
      <c r="FC17" s="9">
        <f t="shared" si="153"/>
        <v>1</v>
      </c>
      <c r="FD17" s="9">
        <f t="shared" si="83"/>
        <v>1</v>
      </c>
      <c r="FE17" s="9">
        <f t="shared" si="84"/>
        <v>1</v>
      </c>
      <c r="FF17" s="9">
        <f t="shared" si="85"/>
        <v>1</v>
      </c>
      <c r="FG17" s="9">
        <f t="shared" si="86"/>
        <v>1</v>
      </c>
      <c r="FH17" s="9">
        <f t="shared" si="87"/>
        <v>1</v>
      </c>
      <c r="FI17" s="9">
        <f t="shared" si="88"/>
        <v>1</v>
      </c>
      <c r="FJ17" s="9">
        <f>IF(SUM(Data[[#This Row],[¿El agente ofrece adecuadamente un producto adicional?42]:[¿El agente maneja correctamente las objeciones del cliente?47]])=600%,100%,)</f>
        <v>1</v>
      </c>
      <c r="FK17" s="9">
        <f t="shared" si="89"/>
        <v>1</v>
      </c>
      <c r="FL17" s="9">
        <f>+Data[[#This Row],[¿El agente gestiona la oferta según la campaña vigente?48]]</f>
        <v>1</v>
      </c>
      <c r="FM17" s="9">
        <f t="shared" si="90"/>
        <v>1</v>
      </c>
      <c r="FN17" s="9">
        <f t="shared" si="91"/>
        <v>1</v>
      </c>
      <c r="FO17" s="9">
        <f t="shared" si="92"/>
        <v>1</v>
      </c>
      <c r="FP17" s="9">
        <f>IF(SUM(Data[[#This Row],[¿El agente solicita coordenadas cuando es necesario?49]:[¿El agente maneja adecuadamente llamadas en conferencia?51]])=300%,100%,)</f>
        <v>1</v>
      </c>
      <c r="FQ17" s="9">
        <f t="shared" si="93"/>
        <v>1</v>
      </c>
      <c r="FR17" s="9">
        <f>+Data[[#This Row],[¿El agente registra correctamente todas las interacciones?52]]</f>
        <v>1</v>
      </c>
      <c r="FS17" s="9">
        <f t="shared" si="154"/>
        <v>1</v>
      </c>
      <c r="FT17" s="238">
        <f t="shared" si="155"/>
        <v>1</v>
      </c>
      <c r="FU17" s="9">
        <f>+Data[[#This Row],[¿El agente confirma la titularidad del cliente adecuadamente?53]]</f>
        <v>1</v>
      </c>
      <c r="FV17" s="238">
        <f t="shared" si="94"/>
        <v>1</v>
      </c>
      <c r="FW17" s="238">
        <f t="shared" si="95"/>
        <v>1</v>
      </c>
      <c r="FX17" s="9">
        <f>IF(SUM(Data[[#This Row],[¿El agente evita la omisión de alertas importantes?54]]:Data[[#This Row],[¿El agente mantiene conducta ética durante la interacción?55]])=200%,100%,)</f>
        <v>1</v>
      </c>
      <c r="FY17" s="238">
        <f t="shared" si="96"/>
        <v>1</v>
      </c>
      <c r="FZ17" s="9">
        <f>+Data[[#This Row],[¿El agente evita compartir información sensible?56]]</f>
        <v>1</v>
      </c>
      <c r="GA17" s="9">
        <f t="shared" si="156"/>
        <v>1</v>
      </c>
      <c r="GB17" s="239">
        <f t="shared" si="97"/>
        <v>0.1</v>
      </c>
      <c r="GC17" s="239">
        <f t="shared" si="98"/>
        <v>0.3</v>
      </c>
      <c r="GD17" s="240">
        <f t="shared" si="99"/>
        <v>0.3</v>
      </c>
      <c r="GE17" s="240">
        <f t="shared" si="100"/>
        <v>0.3</v>
      </c>
      <c r="GF17" s="9">
        <f>SUM(Data[[#This Row],[PESO PENC]:[PESO PECCUM]])</f>
        <v>1</v>
      </c>
      <c r="GG17" s="238">
        <f>1</f>
        <v>1</v>
      </c>
      <c r="GH17" s="238">
        <f t="shared" si="101"/>
        <v>0</v>
      </c>
      <c r="GI17" t="str">
        <f t="shared" si="102"/>
        <v/>
      </c>
      <c r="GJ17" t="str">
        <f t="shared" si="103"/>
        <v/>
      </c>
      <c r="GK17" t="str">
        <f t="shared" si="104"/>
        <v/>
      </c>
      <c r="GN17" t="str">
        <f t="shared" si="105"/>
        <v/>
      </c>
      <c r="GO17" t="str">
        <f t="shared" si="106"/>
        <v/>
      </c>
      <c r="GP17" t="str">
        <f t="shared" si="107"/>
        <v/>
      </c>
      <c r="GQ17" t="str">
        <f t="shared" si="108"/>
        <v/>
      </c>
      <c r="GR17" t="str">
        <f t="shared" si="109"/>
        <v/>
      </c>
      <c r="GS17" t="str">
        <f t="shared" si="110"/>
        <v/>
      </c>
      <c r="GT17" t="str">
        <f t="shared" si="111"/>
        <v/>
      </c>
      <c r="GU17" t="e">
        <f>IF(#REF!="No",#REF!,"")</f>
        <v>#REF!</v>
      </c>
      <c r="GV17" t="str">
        <f t="shared" si="112"/>
        <v/>
      </c>
      <c r="GW17" t="str">
        <f t="shared" si="113"/>
        <v/>
      </c>
      <c r="GX17" t="str">
        <f t="shared" si="114"/>
        <v/>
      </c>
      <c r="GY17" t="str">
        <f t="shared" si="115"/>
        <v/>
      </c>
      <c r="GZ17" t="str">
        <f t="shared" si="116"/>
        <v/>
      </c>
      <c r="HA17" t="str">
        <f t="shared" si="117"/>
        <v/>
      </c>
      <c r="HB17" t="str">
        <f t="shared" si="118"/>
        <v/>
      </c>
      <c r="HC17" t="str">
        <f t="shared" si="119"/>
        <v/>
      </c>
      <c r="HD17" t="str">
        <f t="shared" si="120"/>
        <v/>
      </c>
      <c r="HE17" t="str">
        <f t="shared" si="121"/>
        <v/>
      </c>
      <c r="HF17" t="str">
        <f t="shared" si="122"/>
        <v/>
      </c>
      <c r="HG17" t="str">
        <f t="shared" si="123"/>
        <v/>
      </c>
      <c r="HH17" t="str">
        <f t="shared" si="124"/>
        <v/>
      </c>
      <c r="HI17" t="str">
        <f t="shared" si="125"/>
        <v/>
      </c>
      <c r="HJ17" t="str">
        <f t="shared" si="126"/>
        <v/>
      </c>
      <c r="HK17" t="str">
        <f t="shared" si="127"/>
        <v/>
      </c>
      <c r="HL17" t="str">
        <f t="shared" si="128"/>
        <v/>
      </c>
      <c r="HM17" t="str">
        <f t="shared" si="129"/>
        <v/>
      </c>
      <c r="HN17" t="str">
        <f t="shared" si="130"/>
        <v/>
      </c>
      <c r="HO17" t="str">
        <f t="shared" si="131"/>
        <v/>
      </c>
      <c r="HP17" t="str">
        <f t="shared" si="132"/>
        <v/>
      </c>
      <c r="HQ17" t="str">
        <f t="shared" si="133"/>
        <v/>
      </c>
      <c r="HR17" t="e">
        <f>IF(#REF!="No",#REF!,"")</f>
        <v>#REF!</v>
      </c>
      <c r="HS17" t="str">
        <f t="shared" si="134"/>
        <v/>
      </c>
      <c r="HT17" t="str">
        <f t="shared" si="135"/>
        <v/>
      </c>
      <c r="HU17" t="str">
        <f t="shared" si="136"/>
        <v/>
      </c>
      <c r="HV17" t="str">
        <f t="shared" si="137"/>
        <v/>
      </c>
      <c r="HW17" t="str">
        <f t="shared" si="138"/>
        <v/>
      </c>
      <c r="HX17" t="str">
        <f t="shared" si="139"/>
        <v/>
      </c>
      <c r="HY17" t="str">
        <f t="shared" si="140"/>
        <v/>
      </c>
      <c r="HZ17" t="str">
        <f t="shared" si="141"/>
        <v/>
      </c>
      <c r="IA17" t="str">
        <f t="shared" si="142"/>
        <v/>
      </c>
      <c r="IB17" t="str">
        <f t="shared" si="143"/>
        <v/>
      </c>
      <c r="IC17" t="str">
        <f t="shared" si="144"/>
        <v/>
      </c>
      <c r="ID17" s="238" t="str">
        <f t="shared" si="145"/>
        <v/>
      </c>
      <c r="IE17" s="238" t="str">
        <f t="shared" si="146"/>
        <v/>
      </c>
      <c r="IF17" s="238" t="str">
        <f t="shared" si="147"/>
        <v/>
      </c>
      <c r="IG17" s="238" t="str">
        <f t="shared" si="148"/>
        <v/>
      </c>
      <c r="IH17" s="241" t="str">
        <f>A17&amp;" "&amp;F17&amp;" "&amp;Data[[#This Row],[mes]]</f>
        <v>Max Heurtematte   Outbound jun-26</v>
      </c>
      <c r="II17" s="244">
        <f>COUNTIF($IH17:$IH50,IH17)</f>
        <v>1</v>
      </c>
      <c r="IJ17" s="241">
        <f>IF(COUNTIF($IH$4:IH17,IH17)=1,1,0)</f>
        <v>0</v>
      </c>
      <c r="IK17" s="244" t="str">
        <f>IF(Data[[#This Row],[Muestra Critica]]&gt;0,Data[[#This Row],[Muestra Critica]],"")</f>
        <v/>
      </c>
      <c r="IL17" s="238" t="str">
        <f>IF(IK17="","",COUNTIF($IK$4:$IK49,IK17))</f>
        <v/>
      </c>
      <c r="IM17">
        <f t="shared" si="149"/>
        <v>0</v>
      </c>
      <c r="IN17" s="241" t="str">
        <f t="shared" si="150"/>
        <v>jun-26</v>
      </c>
      <c r="IO17" s="241"/>
      <c r="IP17" s="241"/>
      <c r="IQ17" s="241"/>
      <c r="IR17" s="241"/>
      <c r="IS17" s="241">
        <f>IFERROR(_xlfn.XLOOKUP(A:A,HC!B:B,HC!E:E,,0),0)</f>
        <v>0</v>
      </c>
    </row>
    <row r="18" spans="1:253" ht="15.5" x14ac:dyDescent="0.35">
      <c r="A18" s="232" t="s">
        <v>419</v>
      </c>
      <c r="B18" s="232">
        <v>68810422</v>
      </c>
      <c r="C18" s="242">
        <v>46194</v>
      </c>
      <c r="D18" s="232" t="s">
        <v>406</v>
      </c>
      <c r="E18" s="232" t="s">
        <v>398</v>
      </c>
      <c r="F18" s="232" t="s">
        <v>32</v>
      </c>
      <c r="G18" s="232" t="s">
        <v>402</v>
      </c>
      <c r="H18" s="232" t="s">
        <v>420</v>
      </c>
      <c r="I18" s="233" t="s">
        <v>412</v>
      </c>
      <c r="J18" s="234" t="s">
        <v>33</v>
      </c>
      <c r="K18" s="234" t="s">
        <v>33</v>
      </c>
      <c r="L18" s="234" t="s">
        <v>33</v>
      </c>
      <c r="M18" s="234" t="s">
        <v>33</v>
      </c>
      <c r="N18" s="234" t="s">
        <v>33</v>
      </c>
      <c r="O18" s="234" t="s">
        <v>33</v>
      </c>
      <c r="P18" s="234" t="s">
        <v>33</v>
      </c>
      <c r="Q18" s="234" t="s">
        <v>33</v>
      </c>
      <c r="R18" s="234" t="s">
        <v>33</v>
      </c>
      <c r="S18" s="234" t="s">
        <v>33</v>
      </c>
      <c r="T18" s="234" t="s">
        <v>33</v>
      </c>
      <c r="U18" s="234" t="s">
        <v>33</v>
      </c>
      <c r="V18" s="235" t="s">
        <v>33</v>
      </c>
      <c r="W18" s="235" t="s">
        <v>33</v>
      </c>
      <c r="X18" s="235" t="s">
        <v>33</v>
      </c>
      <c r="Y18" s="235" t="s">
        <v>33</v>
      </c>
      <c r="Z18" s="235" t="s">
        <v>33</v>
      </c>
      <c r="AA18" s="235" t="s">
        <v>33</v>
      </c>
      <c r="AB18" s="235" t="s">
        <v>33</v>
      </c>
      <c r="AC18" s="235" t="s">
        <v>33</v>
      </c>
      <c r="AD18" s="235" t="s">
        <v>33</v>
      </c>
      <c r="AE18" s="235" t="s">
        <v>33</v>
      </c>
      <c r="AF18" s="235" t="s">
        <v>33</v>
      </c>
      <c r="AG18" s="235" t="s">
        <v>33</v>
      </c>
      <c r="AH18" s="235" t="s">
        <v>33</v>
      </c>
      <c r="AI18" s="235" t="s">
        <v>33</v>
      </c>
      <c r="AJ18" s="235" t="s">
        <v>33</v>
      </c>
      <c r="AK18" s="235" t="s">
        <v>33</v>
      </c>
      <c r="AL18" s="235" t="s">
        <v>33</v>
      </c>
      <c r="AM18" s="235" t="s">
        <v>33</v>
      </c>
      <c r="AN18" s="235" t="s">
        <v>33</v>
      </c>
      <c r="AO18" s="235" t="s">
        <v>33</v>
      </c>
      <c r="AP18" s="235" t="s">
        <v>33</v>
      </c>
      <c r="AQ18" s="235" t="s">
        <v>33</v>
      </c>
      <c r="AR18" s="235" t="s">
        <v>33</v>
      </c>
      <c r="AS18" s="235" t="s">
        <v>34</v>
      </c>
      <c r="AT18" s="235" t="s">
        <v>33</v>
      </c>
      <c r="AU18" s="235" t="s">
        <v>33</v>
      </c>
      <c r="AV18" s="235" t="s">
        <v>33</v>
      </c>
      <c r="AW18" s="235" t="s">
        <v>33</v>
      </c>
      <c r="AX18" s="235" t="s">
        <v>33</v>
      </c>
      <c r="AY18" s="235" t="s">
        <v>33</v>
      </c>
      <c r="AZ18" s="235" t="s">
        <v>33</v>
      </c>
      <c r="BA18" s="235" t="s">
        <v>33</v>
      </c>
      <c r="BB18" s="235" t="s">
        <v>33</v>
      </c>
      <c r="BC18" s="236" t="s">
        <v>33</v>
      </c>
      <c r="BD18" s="236" t="s">
        <v>33</v>
      </c>
      <c r="BE18" s="236" t="s">
        <v>33</v>
      </c>
      <c r="BF18" s="237" t="s">
        <v>33</v>
      </c>
      <c r="BG18" s="241"/>
      <c r="BH18" s="245" t="str">
        <f>Data[[#This Row],[Tipo de Muestra]]</f>
        <v>Critica</v>
      </c>
      <c r="BI18" s="241"/>
      <c r="BJ18" s="241"/>
      <c r="BK18">
        <f t="shared" si="0"/>
        <v>1</v>
      </c>
      <c r="BL18">
        <f t="shared" si="1"/>
        <v>1</v>
      </c>
      <c r="BM18">
        <f t="shared" si="2"/>
        <v>1</v>
      </c>
      <c r="BN18">
        <f t="shared" si="3"/>
        <v>1</v>
      </c>
      <c r="BO18">
        <f t="shared" si="4"/>
        <v>1</v>
      </c>
      <c r="BP18">
        <f t="shared" si="5"/>
        <v>1</v>
      </c>
      <c r="BQ18">
        <f t="shared" si="6"/>
        <v>1</v>
      </c>
      <c r="BR18">
        <f t="shared" si="7"/>
        <v>1</v>
      </c>
      <c r="BS18">
        <f t="shared" si="8"/>
        <v>1</v>
      </c>
      <c r="BT18">
        <f t="shared" si="9"/>
        <v>1</v>
      </c>
      <c r="BU18">
        <f t="shared" si="10"/>
        <v>1</v>
      </c>
      <c r="BV18">
        <f t="shared" si="11"/>
        <v>1</v>
      </c>
      <c r="BW18">
        <f t="shared" si="12"/>
        <v>1</v>
      </c>
      <c r="BX18">
        <f t="shared" si="13"/>
        <v>1</v>
      </c>
      <c r="BY18">
        <f t="shared" si="14"/>
        <v>0</v>
      </c>
      <c r="BZ18">
        <f t="shared" si="15"/>
        <v>0</v>
      </c>
      <c r="CA18">
        <f t="shared" si="16"/>
        <v>0</v>
      </c>
      <c r="CB18">
        <f t="shared" si="17"/>
        <v>0</v>
      </c>
      <c r="CC18">
        <f t="shared" si="18"/>
        <v>0</v>
      </c>
      <c r="CD18">
        <f t="shared" si="19"/>
        <v>0</v>
      </c>
      <c r="CE18">
        <f t="shared" si="20"/>
        <v>0</v>
      </c>
      <c r="CF18">
        <f t="shared" si="21"/>
        <v>0</v>
      </c>
      <c r="CG18">
        <f t="shared" si="22"/>
        <v>0</v>
      </c>
      <c r="CH18">
        <f t="shared" si="23"/>
        <v>0</v>
      </c>
      <c r="CI18">
        <f t="shared" si="24"/>
        <v>0</v>
      </c>
      <c r="CJ18">
        <f t="shared" si="25"/>
        <v>0</v>
      </c>
      <c r="CK18">
        <f t="shared" si="26"/>
        <v>0</v>
      </c>
      <c r="CL18">
        <f t="shared" si="27"/>
        <v>0</v>
      </c>
      <c r="CM18">
        <f t="shared" si="28"/>
        <v>0</v>
      </c>
      <c r="CN18">
        <f t="shared" si="29"/>
        <v>0</v>
      </c>
      <c r="CO18">
        <f t="shared" si="30"/>
        <v>0</v>
      </c>
      <c r="CP18">
        <f t="shared" si="31"/>
        <v>0</v>
      </c>
      <c r="CQ18">
        <f t="shared" si="32"/>
        <v>0</v>
      </c>
      <c r="CR18">
        <f t="shared" si="33"/>
        <v>0</v>
      </c>
      <c r="CS18">
        <f t="shared" si="34"/>
        <v>0</v>
      </c>
      <c r="CT18">
        <f t="shared" si="35"/>
        <v>0</v>
      </c>
      <c r="CU18">
        <f t="shared" si="36"/>
        <v>0</v>
      </c>
      <c r="CV18">
        <f t="shared" si="37"/>
        <v>0</v>
      </c>
      <c r="CW18">
        <f t="shared" si="38"/>
        <v>0</v>
      </c>
      <c r="CX18">
        <f t="shared" si="39"/>
        <v>0</v>
      </c>
      <c r="CY18">
        <f t="shared" si="40"/>
        <v>0</v>
      </c>
      <c r="CZ18">
        <f t="shared" si="41"/>
        <v>0</v>
      </c>
      <c r="DA18">
        <f t="shared" si="42"/>
        <v>0</v>
      </c>
      <c r="DB18">
        <f t="shared" si="43"/>
        <v>0</v>
      </c>
      <c r="DC18">
        <f t="shared" si="44"/>
        <v>0</v>
      </c>
      <c r="DD18" s="238">
        <f t="shared" si="45"/>
        <v>0</v>
      </c>
      <c r="DE18" s="238">
        <f t="shared" si="46"/>
        <v>0</v>
      </c>
      <c r="DF18" s="238">
        <f t="shared" si="47"/>
        <v>0</v>
      </c>
      <c r="DG18" s="238">
        <f t="shared" si="48"/>
        <v>1</v>
      </c>
      <c r="DH18" s="9">
        <f t="shared" si="49"/>
        <v>0.15</v>
      </c>
      <c r="DI18" s="9">
        <f t="shared" si="50"/>
        <v>0.15</v>
      </c>
      <c r="DJ18" s="9">
        <f t="shared" si="51"/>
        <v>0.15</v>
      </c>
      <c r="DK18" s="9">
        <f>IF(MIN(Data[[#This Row],[¿El agente cumple con la identificación formal y profesional?3]:[¿El agente realiza despedida corporativa?5]])=0,0,15%)</f>
        <v>0.15</v>
      </c>
      <c r="DL18" s="9">
        <f t="shared" si="52"/>
        <v>0.3</v>
      </c>
      <c r="DM18" s="9">
        <f t="shared" si="53"/>
        <v>0.3</v>
      </c>
      <c r="DN18" s="9">
        <f t="shared" si="54"/>
        <v>0.3</v>
      </c>
      <c r="DO18" s="9">
        <f t="shared" si="55"/>
        <v>0.3</v>
      </c>
      <c r="DP18" s="9">
        <f>IF(MIN(Data[[#This Row],[¿El agente demuestra escucha activa durante la gestión?6]:[¿El agente parafrasea para confirmar entendimiento?9]])=0,0,30%)</f>
        <v>0.3</v>
      </c>
      <c r="DQ18" s="9">
        <f t="shared" si="56"/>
        <v>0.3</v>
      </c>
      <c r="DR18" s="9">
        <f t="shared" si="57"/>
        <v>0.3</v>
      </c>
      <c r="DS18" s="9">
        <f t="shared" si="58"/>
        <v>0.3</v>
      </c>
      <c r="DT18" s="9">
        <f t="shared" si="59"/>
        <v>0.3</v>
      </c>
      <c r="DU18" s="239">
        <f>IF(MIN(Data[[#This Row],[¿El agente adapta su comunicación al cliente?11]:[¿El agente utiliza el plural corporativo correctamente?14]])=0,0,30%)</f>
        <v>0.3</v>
      </c>
      <c r="DV18" s="9">
        <f t="shared" si="60"/>
        <v>0.25</v>
      </c>
      <c r="DW18" s="9">
        <f t="shared" si="151"/>
        <v>0.25</v>
      </c>
      <c r="DX18" s="9">
        <f t="shared" si="152"/>
        <v>1</v>
      </c>
      <c r="DY18" s="9">
        <f t="shared" si="61"/>
        <v>1</v>
      </c>
      <c r="DZ18" s="9">
        <f t="shared" si="62"/>
        <v>1</v>
      </c>
      <c r="EA18" s="9">
        <f t="shared" si="63"/>
        <v>1</v>
      </c>
      <c r="EB18" s="9">
        <f t="shared" si="64"/>
        <v>1</v>
      </c>
      <c r="EC18" s="9">
        <f>IF(SUM(Data[[#This Row],[¿El agente informa correctamente sobre los centros de pago?19]:[¿El agente explica el ciclo de facturación adecuadamente?22]])=400%,100%,0%)</f>
        <v>1</v>
      </c>
      <c r="ED18" s="9">
        <f t="shared" si="65"/>
        <v>1</v>
      </c>
      <c r="EE18" s="9">
        <f t="shared" si="66"/>
        <v>1</v>
      </c>
      <c r="EF18" s="9">
        <f>IF(SUM(Data[[#This Row],[¿El agente presenta correctamente los beneficios del producto?23]:[¿El agente comunica beneficios emocionales al cliente?24]])=200%,100%,0%)</f>
        <v>1</v>
      </c>
      <c r="EG18" s="9">
        <f t="shared" si="67"/>
        <v>1</v>
      </c>
      <c r="EH18" s="9">
        <f t="shared" si="68"/>
        <v>1</v>
      </c>
      <c r="EI18" s="9">
        <f t="shared" si="69"/>
        <v>1</v>
      </c>
      <c r="EJ18" s="9">
        <f>IF(SUM(Data[[#This Row],[¿El agente realiza un resumen comercial adecuado?25]:[¿El agente formaliza correctamente el acuerdo de venta?27]])=300%,100%,0%)</f>
        <v>1</v>
      </c>
      <c r="EK18" s="9">
        <f t="shared" si="70"/>
        <v>1</v>
      </c>
      <c r="EL18" s="9">
        <f>+Data[[#This Row],[¿El agente explica los términos y condiciones del servicio?28]]</f>
        <v>1</v>
      </c>
      <c r="EM18" s="9">
        <f t="shared" si="71"/>
        <v>1</v>
      </c>
      <c r="EN18" s="9">
        <f>+Data[[#This Row],[¿El agente identifica correctamente la solicitud del cliente?29]]</f>
        <v>1</v>
      </c>
      <c r="EO18" s="9">
        <f t="shared" si="72"/>
        <v>1</v>
      </c>
      <c r="EP18" s="9">
        <f t="shared" si="73"/>
        <v>1</v>
      </c>
      <c r="EQ18" s="9">
        <f t="shared" si="74"/>
        <v>1</v>
      </c>
      <c r="ER18" s="9">
        <f>IF(SUM(Data[[#This Row],[¿El agente evita activar un servicio diferente al solicitado?30]:[¿El agente configura adecuadamente el producto contratado?32]])=300%,100%,0%)</f>
        <v>1</v>
      </c>
      <c r="ES18" s="9">
        <f t="shared" si="75"/>
        <v>1</v>
      </c>
      <c r="ET18" s="9">
        <f t="shared" si="76"/>
        <v>1</v>
      </c>
      <c r="EU18" s="9">
        <f>IF(SUM(Data[[#This Row],[¿El agente mantiene respeto y cordialidad en toda la interacción?33]:[¿El agente utiliza un lenguaje adecuado y profesional?34]])=200%,100%,0%)</f>
        <v>1</v>
      </c>
      <c r="EV18" s="9">
        <f t="shared" si="77"/>
        <v>1</v>
      </c>
      <c r="EW18" s="9">
        <f t="shared" si="78"/>
        <v>1</v>
      </c>
      <c r="EX18" s="9">
        <f t="shared" si="79"/>
        <v>1</v>
      </c>
      <c r="EY18" s="9">
        <f t="shared" si="80"/>
        <v>1</v>
      </c>
      <c r="EZ18" s="9">
        <f t="shared" si="81"/>
        <v>1</v>
      </c>
      <c r="FA18" s="9">
        <f t="shared" si="82"/>
        <v>1</v>
      </c>
      <c r="FB18" s="9">
        <f>IF(SUM(Data[[#This Row],[¿El agente verifica correctamente la cobertura?35]:[¿El agente agenda citas o gestiones cuando es necesario?41]])=600%,100%,0%)</f>
        <v>1</v>
      </c>
      <c r="FC18" s="9">
        <f t="shared" si="153"/>
        <v>1</v>
      </c>
      <c r="FD18" s="9">
        <f t="shared" si="83"/>
        <v>1</v>
      </c>
      <c r="FE18" s="9">
        <f t="shared" si="84"/>
        <v>0</v>
      </c>
      <c r="FF18" s="9">
        <f t="shared" si="85"/>
        <v>1</v>
      </c>
      <c r="FG18" s="9">
        <f t="shared" si="86"/>
        <v>1</v>
      </c>
      <c r="FH18" s="9">
        <f t="shared" si="87"/>
        <v>1</v>
      </c>
      <c r="FI18" s="9">
        <f t="shared" si="88"/>
        <v>1</v>
      </c>
      <c r="FJ18" s="9">
        <f>IF(SUM(Data[[#This Row],[¿El agente ofrece adecuadamente un producto adicional?42]:[¿El agente maneja correctamente las objeciones del cliente?47]])=600%,100%,)</f>
        <v>0</v>
      </c>
      <c r="FK18" s="9">
        <f t="shared" si="89"/>
        <v>1</v>
      </c>
      <c r="FL18" s="9">
        <f>+Data[[#This Row],[¿El agente gestiona la oferta según la campaña vigente?48]]</f>
        <v>1</v>
      </c>
      <c r="FM18" s="9">
        <f t="shared" si="90"/>
        <v>1</v>
      </c>
      <c r="FN18" s="9">
        <f t="shared" si="91"/>
        <v>1</v>
      </c>
      <c r="FO18" s="9">
        <f t="shared" si="92"/>
        <v>1</v>
      </c>
      <c r="FP18" s="9">
        <f>IF(SUM(Data[[#This Row],[¿El agente solicita coordenadas cuando es necesario?49]:[¿El agente maneja adecuadamente llamadas en conferencia?51]])=300%,100%,)</f>
        <v>1</v>
      </c>
      <c r="FQ18" s="9">
        <f t="shared" si="93"/>
        <v>1</v>
      </c>
      <c r="FR18" s="9">
        <f>+Data[[#This Row],[¿El agente registra correctamente todas las interacciones?52]]</f>
        <v>1</v>
      </c>
      <c r="FS18" s="9">
        <f t="shared" si="154"/>
        <v>0</v>
      </c>
      <c r="FT18" s="238">
        <f t="shared" si="155"/>
        <v>1</v>
      </c>
      <c r="FU18" s="9">
        <f>+Data[[#This Row],[¿El agente confirma la titularidad del cliente adecuadamente?53]]</f>
        <v>1</v>
      </c>
      <c r="FV18" s="238">
        <f t="shared" si="94"/>
        <v>1</v>
      </c>
      <c r="FW18" s="238">
        <f t="shared" si="95"/>
        <v>1</v>
      </c>
      <c r="FX18" s="9">
        <f>IF(SUM(Data[[#This Row],[¿El agente evita la omisión de alertas importantes?54]]:Data[[#This Row],[¿El agente mantiene conducta ética durante la interacción?55]])=200%,100%,)</f>
        <v>1</v>
      </c>
      <c r="FY18" s="238">
        <f t="shared" si="96"/>
        <v>1</v>
      </c>
      <c r="FZ18" s="9">
        <f>+Data[[#This Row],[¿El agente evita compartir información sensible?56]]</f>
        <v>1</v>
      </c>
      <c r="GA18" s="9">
        <f t="shared" si="156"/>
        <v>1</v>
      </c>
      <c r="GB18" s="239">
        <f t="shared" si="97"/>
        <v>0.1</v>
      </c>
      <c r="GC18" s="239">
        <f t="shared" si="98"/>
        <v>0.3</v>
      </c>
      <c r="GD18" s="240">
        <f t="shared" si="99"/>
        <v>0</v>
      </c>
      <c r="GE18" s="240">
        <f t="shared" si="100"/>
        <v>0.3</v>
      </c>
      <c r="GF18" s="9">
        <f>SUM(Data[[#This Row],[PESO PENC]:[PESO PECCUM]])</f>
        <v>0.7</v>
      </c>
      <c r="GG18" s="238">
        <f>1</f>
        <v>1</v>
      </c>
      <c r="GH18" s="238">
        <f t="shared" si="101"/>
        <v>1</v>
      </c>
      <c r="GI18" t="str">
        <f t="shared" si="102"/>
        <v/>
      </c>
      <c r="GJ18" t="str">
        <f t="shared" si="103"/>
        <v/>
      </c>
      <c r="GK18" t="str">
        <f t="shared" si="104"/>
        <v/>
      </c>
      <c r="GN18" t="str">
        <f t="shared" si="105"/>
        <v/>
      </c>
      <c r="GO18" t="str">
        <f t="shared" si="106"/>
        <v/>
      </c>
      <c r="GP18" t="str">
        <f t="shared" si="107"/>
        <v/>
      </c>
      <c r="GQ18" t="str">
        <f t="shared" si="108"/>
        <v/>
      </c>
      <c r="GR18" t="str">
        <f t="shared" si="109"/>
        <v/>
      </c>
      <c r="GS18" t="str">
        <f t="shared" si="110"/>
        <v/>
      </c>
      <c r="GT18" t="str">
        <f t="shared" si="111"/>
        <v/>
      </c>
      <c r="GU18" t="e">
        <f>IF(#REF!="No",#REF!,"")</f>
        <v>#REF!</v>
      </c>
      <c r="GV18" t="str">
        <f t="shared" si="112"/>
        <v/>
      </c>
      <c r="GW18" t="str">
        <f t="shared" si="113"/>
        <v/>
      </c>
      <c r="GX18" t="str">
        <f t="shared" si="114"/>
        <v/>
      </c>
      <c r="GY18" t="str">
        <f t="shared" si="115"/>
        <v/>
      </c>
      <c r="GZ18" t="str">
        <f t="shared" si="116"/>
        <v/>
      </c>
      <c r="HA18" t="str">
        <f t="shared" si="117"/>
        <v/>
      </c>
      <c r="HB18" t="str">
        <f t="shared" si="118"/>
        <v/>
      </c>
      <c r="HC18" t="str">
        <f t="shared" si="119"/>
        <v/>
      </c>
      <c r="HD18" t="str">
        <f t="shared" si="120"/>
        <v/>
      </c>
      <c r="HE18" t="str">
        <f t="shared" si="121"/>
        <v/>
      </c>
      <c r="HF18" t="str">
        <f t="shared" si="122"/>
        <v/>
      </c>
      <c r="HG18" t="str">
        <f t="shared" si="123"/>
        <v/>
      </c>
      <c r="HH18" t="str">
        <f t="shared" si="124"/>
        <v/>
      </c>
      <c r="HI18" t="str">
        <f t="shared" si="125"/>
        <v/>
      </c>
      <c r="HJ18" t="str">
        <f t="shared" si="126"/>
        <v/>
      </c>
      <c r="HK18" t="str">
        <f t="shared" si="127"/>
        <v/>
      </c>
      <c r="HL18" t="str">
        <f t="shared" si="128"/>
        <v/>
      </c>
      <c r="HM18" t="str">
        <f t="shared" si="129"/>
        <v/>
      </c>
      <c r="HN18" t="str">
        <f t="shared" si="130"/>
        <v/>
      </c>
      <c r="HO18" t="str">
        <f t="shared" si="131"/>
        <v/>
      </c>
      <c r="HP18" t="str">
        <f t="shared" si="132"/>
        <v/>
      </c>
      <c r="HQ18" t="str">
        <f t="shared" si="133"/>
        <v/>
      </c>
      <c r="HR18" t="e">
        <f>IF(#REF!="No",#REF!,"")</f>
        <v>#REF!</v>
      </c>
      <c r="HS18" t="str">
        <f t="shared" si="134"/>
        <v/>
      </c>
      <c r="HT18" t="str">
        <f t="shared" si="135"/>
        <v xml:space="preserve">¿El agente realiza venta cruzada cuando corresponde? </v>
      </c>
      <c r="HU18" t="str">
        <f t="shared" si="136"/>
        <v/>
      </c>
      <c r="HV18" t="str">
        <f t="shared" si="137"/>
        <v/>
      </c>
      <c r="HW18" t="str">
        <f t="shared" si="138"/>
        <v/>
      </c>
      <c r="HX18" t="str">
        <f t="shared" si="139"/>
        <v/>
      </c>
      <c r="HY18" t="str">
        <f t="shared" si="140"/>
        <v/>
      </c>
      <c r="HZ18" t="str">
        <f t="shared" si="141"/>
        <v/>
      </c>
      <c r="IA18" t="str">
        <f t="shared" si="142"/>
        <v/>
      </c>
      <c r="IB18" t="str">
        <f t="shared" si="143"/>
        <v/>
      </c>
      <c r="IC18" t="str">
        <f t="shared" si="144"/>
        <v/>
      </c>
      <c r="ID18" s="238" t="str">
        <f t="shared" si="145"/>
        <v/>
      </c>
      <c r="IE18" s="238" t="str">
        <f t="shared" si="146"/>
        <v/>
      </c>
      <c r="IF18" s="238" t="str">
        <f t="shared" si="147"/>
        <v/>
      </c>
      <c r="IG18" s="238" t="str">
        <f t="shared" si="148"/>
        <v/>
      </c>
      <c r="IH18" s="241" t="str">
        <f>A18&amp;" "&amp;F18&amp;" "&amp;Data[[#This Row],[mes]]</f>
        <v>Mitxely Naar Outbound jun-26</v>
      </c>
      <c r="II18" s="244">
        <f>COUNTIF($IH18:$IH51,IH18)</f>
        <v>1</v>
      </c>
      <c r="IJ18" s="241">
        <f>IF(COUNTIF($IH$4:IH18,IH18)=1,1,0)</f>
        <v>0</v>
      </c>
      <c r="IK18" s="244">
        <f>IF(Data[[#This Row],[Muestra Critica]]&gt;0,Data[[#This Row],[Muestra Critica]],"")</f>
        <v>1</v>
      </c>
      <c r="IL18" s="238">
        <f>IF(IK18="","",COUNTIF($IK$4:$IK50,IK18))</f>
        <v>26</v>
      </c>
      <c r="IM18">
        <f t="shared" si="149"/>
        <v>0</v>
      </c>
      <c r="IN18" s="241" t="str">
        <f t="shared" si="150"/>
        <v>jun-26</v>
      </c>
      <c r="IO18" s="241"/>
      <c r="IP18" s="241"/>
      <c r="IQ18" s="241"/>
      <c r="IR18" s="241"/>
      <c r="IS18" s="241">
        <f>IFERROR(_xlfn.XLOOKUP(A:A,HC!B:B,HC!E:E,,0),0)</f>
        <v>0</v>
      </c>
    </row>
    <row r="19" spans="1:253" ht="15.5" x14ac:dyDescent="0.35">
      <c r="A19" s="232" t="s">
        <v>418</v>
      </c>
      <c r="B19" s="232">
        <v>69932373</v>
      </c>
      <c r="C19" s="242">
        <v>46194</v>
      </c>
      <c r="D19" s="232" t="s">
        <v>406</v>
      </c>
      <c r="E19" s="232" t="s">
        <v>398</v>
      </c>
      <c r="F19" s="232" t="s">
        <v>32</v>
      </c>
      <c r="G19" s="232" t="s">
        <v>402</v>
      </c>
      <c r="H19" s="232" t="s">
        <v>420</v>
      </c>
      <c r="I19" s="233" t="s">
        <v>412</v>
      </c>
      <c r="J19" s="234" t="s">
        <v>33</v>
      </c>
      <c r="K19" s="234" t="s">
        <v>33</v>
      </c>
      <c r="L19" s="234" t="s">
        <v>33</v>
      </c>
      <c r="M19" s="234" t="s">
        <v>33</v>
      </c>
      <c r="N19" s="234" t="s">
        <v>33</v>
      </c>
      <c r="O19" s="234" t="s">
        <v>33</v>
      </c>
      <c r="P19" s="234" t="s">
        <v>33</v>
      </c>
      <c r="Q19" s="234" t="s">
        <v>33</v>
      </c>
      <c r="R19" s="234" t="s">
        <v>33</v>
      </c>
      <c r="S19" s="234" t="s">
        <v>33</v>
      </c>
      <c r="T19" s="234" t="s">
        <v>33</v>
      </c>
      <c r="U19" s="234" t="s">
        <v>33</v>
      </c>
      <c r="V19" s="235" t="s">
        <v>33</v>
      </c>
      <c r="W19" s="235" t="s">
        <v>33</v>
      </c>
      <c r="X19" s="235" t="s">
        <v>33</v>
      </c>
      <c r="Y19" s="235" t="s">
        <v>33</v>
      </c>
      <c r="Z19" s="235" t="s">
        <v>33</v>
      </c>
      <c r="AA19" s="235" t="s">
        <v>33</v>
      </c>
      <c r="AB19" s="235" t="s">
        <v>33</v>
      </c>
      <c r="AC19" s="235" t="s">
        <v>33</v>
      </c>
      <c r="AD19" s="235" t="s">
        <v>33</v>
      </c>
      <c r="AE19" s="235" t="s">
        <v>33</v>
      </c>
      <c r="AF19" s="235" t="s">
        <v>33</v>
      </c>
      <c r="AG19" s="235" t="s">
        <v>33</v>
      </c>
      <c r="AH19" s="235" t="s">
        <v>33</v>
      </c>
      <c r="AI19" s="235" t="s">
        <v>33</v>
      </c>
      <c r="AJ19" s="235" t="s">
        <v>33</v>
      </c>
      <c r="AK19" s="235" t="s">
        <v>33</v>
      </c>
      <c r="AL19" s="235" t="s">
        <v>33</v>
      </c>
      <c r="AM19" s="235" t="s">
        <v>33</v>
      </c>
      <c r="AN19" s="235" t="s">
        <v>33</v>
      </c>
      <c r="AO19" s="235" t="s">
        <v>33</v>
      </c>
      <c r="AP19" s="235" t="s">
        <v>33</v>
      </c>
      <c r="AQ19" s="235" t="s">
        <v>33</v>
      </c>
      <c r="AR19" s="235" t="s">
        <v>33</v>
      </c>
      <c r="AS19" s="235" t="s">
        <v>33</v>
      </c>
      <c r="AT19" s="235" t="s">
        <v>33</v>
      </c>
      <c r="AU19" s="235" t="s">
        <v>33</v>
      </c>
      <c r="AV19" s="235" t="s">
        <v>33</v>
      </c>
      <c r="AW19" s="235" t="s">
        <v>34</v>
      </c>
      <c r="AX19" s="235" t="s">
        <v>33</v>
      </c>
      <c r="AY19" s="235" t="s">
        <v>33</v>
      </c>
      <c r="AZ19" s="235" t="s">
        <v>33</v>
      </c>
      <c r="BA19" s="235" t="s">
        <v>33</v>
      </c>
      <c r="BB19" s="235" t="s">
        <v>33</v>
      </c>
      <c r="BC19" s="236" t="s">
        <v>33</v>
      </c>
      <c r="BD19" s="236" t="s">
        <v>33</v>
      </c>
      <c r="BE19" s="236" t="s">
        <v>33</v>
      </c>
      <c r="BF19" s="237" t="s">
        <v>33</v>
      </c>
      <c r="BG19" s="241"/>
      <c r="BH19" s="245" t="str">
        <f>Data[[#This Row],[Tipo de Muestra]]</f>
        <v>Critica</v>
      </c>
      <c r="BI19" s="241"/>
      <c r="BJ19" s="241"/>
      <c r="BK19">
        <f t="shared" si="0"/>
        <v>1</v>
      </c>
      <c r="BL19">
        <f t="shared" si="1"/>
        <v>1</v>
      </c>
      <c r="BM19">
        <f t="shared" si="2"/>
        <v>1</v>
      </c>
      <c r="BN19">
        <f t="shared" si="3"/>
        <v>1</v>
      </c>
      <c r="BO19">
        <f t="shared" si="4"/>
        <v>1</v>
      </c>
      <c r="BP19">
        <f t="shared" si="5"/>
        <v>1</v>
      </c>
      <c r="BQ19">
        <f t="shared" si="6"/>
        <v>1</v>
      </c>
      <c r="BR19">
        <f t="shared" si="7"/>
        <v>1</v>
      </c>
      <c r="BS19">
        <f t="shared" si="8"/>
        <v>1</v>
      </c>
      <c r="BT19">
        <f t="shared" si="9"/>
        <v>1</v>
      </c>
      <c r="BU19">
        <f t="shared" si="10"/>
        <v>1</v>
      </c>
      <c r="BV19">
        <f t="shared" si="11"/>
        <v>1</v>
      </c>
      <c r="BW19">
        <f t="shared" si="12"/>
        <v>1</v>
      </c>
      <c r="BX19">
        <f t="shared" si="13"/>
        <v>1</v>
      </c>
      <c r="BY19">
        <f t="shared" si="14"/>
        <v>0</v>
      </c>
      <c r="BZ19">
        <f t="shared" si="15"/>
        <v>0</v>
      </c>
      <c r="CA19">
        <f t="shared" si="16"/>
        <v>0</v>
      </c>
      <c r="CB19">
        <f t="shared" si="17"/>
        <v>0</v>
      </c>
      <c r="CC19">
        <f t="shared" si="18"/>
        <v>0</v>
      </c>
      <c r="CD19">
        <f t="shared" si="19"/>
        <v>0</v>
      </c>
      <c r="CE19">
        <f t="shared" si="20"/>
        <v>0</v>
      </c>
      <c r="CF19">
        <f t="shared" si="21"/>
        <v>0</v>
      </c>
      <c r="CG19">
        <f t="shared" si="22"/>
        <v>0</v>
      </c>
      <c r="CH19">
        <f t="shared" si="23"/>
        <v>0</v>
      </c>
      <c r="CI19">
        <f t="shared" si="24"/>
        <v>0</v>
      </c>
      <c r="CJ19">
        <f t="shared" si="25"/>
        <v>0</v>
      </c>
      <c r="CK19">
        <f t="shared" si="26"/>
        <v>0</v>
      </c>
      <c r="CL19">
        <f t="shared" si="27"/>
        <v>0</v>
      </c>
      <c r="CM19">
        <f t="shared" si="28"/>
        <v>0</v>
      </c>
      <c r="CN19">
        <f t="shared" si="29"/>
        <v>0</v>
      </c>
      <c r="CO19">
        <f t="shared" si="30"/>
        <v>0</v>
      </c>
      <c r="CP19">
        <f t="shared" si="31"/>
        <v>0</v>
      </c>
      <c r="CQ19">
        <f t="shared" si="32"/>
        <v>0</v>
      </c>
      <c r="CR19">
        <f t="shared" si="33"/>
        <v>0</v>
      </c>
      <c r="CS19">
        <f t="shared" si="34"/>
        <v>0</v>
      </c>
      <c r="CT19">
        <f t="shared" si="35"/>
        <v>0</v>
      </c>
      <c r="CU19">
        <f t="shared" si="36"/>
        <v>0</v>
      </c>
      <c r="CV19">
        <f t="shared" si="37"/>
        <v>0</v>
      </c>
      <c r="CW19">
        <f t="shared" si="38"/>
        <v>0</v>
      </c>
      <c r="CX19">
        <f t="shared" si="39"/>
        <v>0</v>
      </c>
      <c r="CY19">
        <f t="shared" si="40"/>
        <v>0</v>
      </c>
      <c r="CZ19">
        <f t="shared" si="41"/>
        <v>0</v>
      </c>
      <c r="DA19">
        <f t="shared" si="42"/>
        <v>0</v>
      </c>
      <c r="DB19">
        <f t="shared" si="43"/>
        <v>0</v>
      </c>
      <c r="DC19">
        <f t="shared" si="44"/>
        <v>0</v>
      </c>
      <c r="DD19" s="238">
        <f t="shared" si="45"/>
        <v>0</v>
      </c>
      <c r="DE19" s="238">
        <f t="shared" si="46"/>
        <v>0</v>
      </c>
      <c r="DF19" s="238">
        <f t="shared" si="47"/>
        <v>0</v>
      </c>
      <c r="DG19" s="238">
        <f t="shared" si="48"/>
        <v>1</v>
      </c>
      <c r="DH19" s="9">
        <f t="shared" si="49"/>
        <v>0.15</v>
      </c>
      <c r="DI19" s="9">
        <f t="shared" si="50"/>
        <v>0.15</v>
      </c>
      <c r="DJ19" s="9">
        <f t="shared" si="51"/>
        <v>0.15</v>
      </c>
      <c r="DK19" s="9">
        <f>IF(MIN(Data[[#This Row],[¿El agente cumple con la identificación formal y profesional?3]:[¿El agente realiza despedida corporativa?5]])=0,0,15%)</f>
        <v>0.15</v>
      </c>
      <c r="DL19" s="9">
        <f t="shared" si="52"/>
        <v>0.3</v>
      </c>
      <c r="DM19" s="9">
        <f t="shared" si="53"/>
        <v>0.3</v>
      </c>
      <c r="DN19" s="9">
        <f t="shared" si="54"/>
        <v>0.3</v>
      </c>
      <c r="DO19" s="9">
        <f t="shared" si="55"/>
        <v>0.3</v>
      </c>
      <c r="DP19" s="9">
        <f>IF(MIN(Data[[#This Row],[¿El agente demuestra escucha activa durante la gestión?6]:[¿El agente parafrasea para confirmar entendimiento?9]])=0,0,30%)</f>
        <v>0.3</v>
      </c>
      <c r="DQ19" s="9">
        <f t="shared" si="56"/>
        <v>0.3</v>
      </c>
      <c r="DR19" s="9">
        <f t="shared" si="57"/>
        <v>0.3</v>
      </c>
      <c r="DS19" s="9">
        <f t="shared" si="58"/>
        <v>0.3</v>
      </c>
      <c r="DT19" s="9">
        <f t="shared" si="59"/>
        <v>0.3</v>
      </c>
      <c r="DU19" s="239">
        <f>IF(MIN(Data[[#This Row],[¿El agente adapta su comunicación al cliente?11]:[¿El agente utiliza el plural corporativo correctamente?14]])=0,0,30%)</f>
        <v>0.3</v>
      </c>
      <c r="DV19" s="9">
        <f t="shared" si="60"/>
        <v>0.25</v>
      </c>
      <c r="DW19" s="9">
        <f t="shared" si="151"/>
        <v>0.25</v>
      </c>
      <c r="DX19" s="9">
        <f t="shared" si="152"/>
        <v>1</v>
      </c>
      <c r="DY19" s="9">
        <f t="shared" si="61"/>
        <v>1</v>
      </c>
      <c r="DZ19" s="9">
        <f t="shared" si="62"/>
        <v>1</v>
      </c>
      <c r="EA19" s="9">
        <f t="shared" si="63"/>
        <v>1</v>
      </c>
      <c r="EB19" s="9">
        <f t="shared" si="64"/>
        <v>1</v>
      </c>
      <c r="EC19" s="9">
        <f>IF(SUM(Data[[#This Row],[¿El agente informa correctamente sobre los centros de pago?19]:[¿El agente explica el ciclo de facturación adecuadamente?22]])=400%,100%,0%)</f>
        <v>1</v>
      </c>
      <c r="ED19" s="9">
        <f t="shared" si="65"/>
        <v>1</v>
      </c>
      <c r="EE19" s="9">
        <f t="shared" si="66"/>
        <v>1</v>
      </c>
      <c r="EF19" s="9">
        <f>IF(SUM(Data[[#This Row],[¿El agente presenta correctamente los beneficios del producto?23]:[¿El agente comunica beneficios emocionales al cliente?24]])=200%,100%,0%)</f>
        <v>1</v>
      </c>
      <c r="EG19" s="9">
        <f t="shared" si="67"/>
        <v>1</v>
      </c>
      <c r="EH19" s="9">
        <f t="shared" si="68"/>
        <v>1</v>
      </c>
      <c r="EI19" s="9">
        <f t="shared" si="69"/>
        <v>1</v>
      </c>
      <c r="EJ19" s="9">
        <f>IF(SUM(Data[[#This Row],[¿El agente realiza un resumen comercial adecuado?25]:[¿El agente formaliza correctamente el acuerdo de venta?27]])=300%,100%,0%)</f>
        <v>1</v>
      </c>
      <c r="EK19" s="9">
        <f t="shared" si="70"/>
        <v>1</v>
      </c>
      <c r="EL19" s="9">
        <f>+Data[[#This Row],[¿El agente explica los términos y condiciones del servicio?28]]</f>
        <v>1</v>
      </c>
      <c r="EM19" s="9">
        <f t="shared" si="71"/>
        <v>1</v>
      </c>
      <c r="EN19" s="9">
        <f>+Data[[#This Row],[¿El agente identifica correctamente la solicitud del cliente?29]]</f>
        <v>1</v>
      </c>
      <c r="EO19" s="9">
        <f t="shared" si="72"/>
        <v>1</v>
      </c>
      <c r="EP19" s="9">
        <f t="shared" si="73"/>
        <v>1</v>
      </c>
      <c r="EQ19" s="9">
        <f t="shared" si="74"/>
        <v>1</v>
      </c>
      <c r="ER19" s="9">
        <f>IF(SUM(Data[[#This Row],[¿El agente evita activar un servicio diferente al solicitado?30]:[¿El agente configura adecuadamente el producto contratado?32]])=300%,100%,0%)</f>
        <v>1</v>
      </c>
      <c r="ES19" s="9">
        <f t="shared" si="75"/>
        <v>1</v>
      </c>
      <c r="ET19" s="9">
        <f t="shared" si="76"/>
        <v>1</v>
      </c>
      <c r="EU19" s="9">
        <f>IF(SUM(Data[[#This Row],[¿El agente mantiene respeto y cordialidad en toda la interacción?33]:[¿El agente utiliza un lenguaje adecuado y profesional?34]])=200%,100%,0%)</f>
        <v>1</v>
      </c>
      <c r="EV19" s="9">
        <f t="shared" si="77"/>
        <v>1</v>
      </c>
      <c r="EW19" s="9">
        <f t="shared" si="78"/>
        <v>1</v>
      </c>
      <c r="EX19" s="9">
        <f t="shared" si="79"/>
        <v>1</v>
      </c>
      <c r="EY19" s="9">
        <f t="shared" si="80"/>
        <v>1</v>
      </c>
      <c r="EZ19" s="9">
        <f t="shared" si="81"/>
        <v>1</v>
      </c>
      <c r="FA19" s="9">
        <f t="shared" si="82"/>
        <v>1</v>
      </c>
      <c r="FB19" s="9">
        <f>IF(SUM(Data[[#This Row],[¿El agente verifica correctamente la cobertura?35]:[¿El agente agenda citas o gestiones cuando es necesario?41]])=600%,100%,0%)</f>
        <v>1</v>
      </c>
      <c r="FC19" s="9">
        <f t="shared" si="153"/>
        <v>1</v>
      </c>
      <c r="FD19" s="9">
        <f t="shared" si="83"/>
        <v>1</v>
      </c>
      <c r="FE19" s="9">
        <f t="shared" si="84"/>
        <v>1</v>
      </c>
      <c r="FF19" s="9">
        <f t="shared" si="85"/>
        <v>1</v>
      </c>
      <c r="FG19" s="9">
        <f t="shared" si="86"/>
        <v>1</v>
      </c>
      <c r="FH19" s="9">
        <f t="shared" si="87"/>
        <v>1</v>
      </c>
      <c r="FI19" s="9">
        <f t="shared" si="88"/>
        <v>0</v>
      </c>
      <c r="FJ19" s="9">
        <f>IF(SUM(Data[[#This Row],[¿El agente ofrece adecuadamente un producto adicional?42]:[¿El agente maneja correctamente las objeciones del cliente?47]])=600%,100%,)</f>
        <v>0</v>
      </c>
      <c r="FK19" s="9">
        <f t="shared" si="89"/>
        <v>1</v>
      </c>
      <c r="FL19" s="9">
        <f>+Data[[#This Row],[¿El agente gestiona la oferta según la campaña vigente?48]]</f>
        <v>1</v>
      </c>
      <c r="FM19" s="9">
        <f t="shared" si="90"/>
        <v>1</v>
      </c>
      <c r="FN19" s="9">
        <f t="shared" si="91"/>
        <v>1</v>
      </c>
      <c r="FO19" s="9">
        <f t="shared" si="92"/>
        <v>1</v>
      </c>
      <c r="FP19" s="9">
        <f>IF(SUM(Data[[#This Row],[¿El agente solicita coordenadas cuando es necesario?49]:[¿El agente maneja adecuadamente llamadas en conferencia?51]])=300%,100%,)</f>
        <v>1</v>
      </c>
      <c r="FQ19" s="9">
        <f t="shared" si="93"/>
        <v>1</v>
      </c>
      <c r="FR19" s="9">
        <f>+Data[[#This Row],[¿El agente registra correctamente todas las interacciones?52]]</f>
        <v>1</v>
      </c>
      <c r="FS19" s="9">
        <f t="shared" si="154"/>
        <v>0</v>
      </c>
      <c r="FT19" s="238">
        <f t="shared" si="155"/>
        <v>1</v>
      </c>
      <c r="FU19" s="9">
        <f>+Data[[#This Row],[¿El agente confirma la titularidad del cliente adecuadamente?53]]</f>
        <v>1</v>
      </c>
      <c r="FV19" s="238">
        <f t="shared" si="94"/>
        <v>1</v>
      </c>
      <c r="FW19" s="238">
        <f t="shared" si="95"/>
        <v>1</v>
      </c>
      <c r="FX19" s="9">
        <f>IF(SUM(Data[[#This Row],[¿El agente evita la omisión de alertas importantes?54]]:Data[[#This Row],[¿El agente mantiene conducta ética durante la interacción?55]])=200%,100%,)</f>
        <v>1</v>
      </c>
      <c r="FY19" s="238">
        <f t="shared" si="96"/>
        <v>1</v>
      </c>
      <c r="FZ19" s="9">
        <f>+Data[[#This Row],[¿El agente evita compartir información sensible?56]]</f>
        <v>1</v>
      </c>
      <c r="GA19" s="9">
        <f t="shared" si="156"/>
        <v>1</v>
      </c>
      <c r="GB19" s="239">
        <f t="shared" si="97"/>
        <v>0.1</v>
      </c>
      <c r="GC19" s="239">
        <f t="shared" si="98"/>
        <v>0.3</v>
      </c>
      <c r="GD19" s="240">
        <f t="shared" si="99"/>
        <v>0</v>
      </c>
      <c r="GE19" s="240">
        <f t="shared" si="100"/>
        <v>0.3</v>
      </c>
      <c r="GF19" s="9">
        <f>SUM(Data[[#This Row],[PESO PENC]:[PESO PECCUM]])</f>
        <v>0.7</v>
      </c>
      <c r="GG19" s="238">
        <f>1</f>
        <v>1</v>
      </c>
      <c r="GH19" s="238">
        <f t="shared" si="101"/>
        <v>1</v>
      </c>
      <c r="GI19" t="str">
        <f t="shared" si="102"/>
        <v/>
      </c>
      <c r="GJ19" t="str">
        <f t="shared" si="103"/>
        <v/>
      </c>
      <c r="GK19" t="str">
        <f t="shared" si="104"/>
        <v/>
      </c>
      <c r="GN19" t="str">
        <f t="shared" si="105"/>
        <v/>
      </c>
      <c r="GO19" t="str">
        <f t="shared" si="106"/>
        <v/>
      </c>
      <c r="GP19" t="str">
        <f t="shared" si="107"/>
        <v/>
      </c>
      <c r="GQ19" t="str">
        <f t="shared" si="108"/>
        <v/>
      </c>
      <c r="GR19" t="str">
        <f t="shared" si="109"/>
        <v/>
      </c>
      <c r="GS19" t="str">
        <f t="shared" si="110"/>
        <v/>
      </c>
      <c r="GT19" t="str">
        <f t="shared" si="111"/>
        <v/>
      </c>
      <c r="GU19" t="e">
        <f>IF(#REF!="No",#REF!,"")</f>
        <v>#REF!</v>
      </c>
      <c r="GV19" t="str">
        <f t="shared" si="112"/>
        <v/>
      </c>
      <c r="GW19" t="str">
        <f t="shared" si="113"/>
        <v/>
      </c>
      <c r="GX19" t="str">
        <f t="shared" si="114"/>
        <v/>
      </c>
      <c r="GY19" t="str">
        <f t="shared" si="115"/>
        <v/>
      </c>
      <c r="GZ19" t="str">
        <f t="shared" si="116"/>
        <v/>
      </c>
      <c r="HA19" t="str">
        <f t="shared" si="117"/>
        <v/>
      </c>
      <c r="HB19" t="str">
        <f t="shared" si="118"/>
        <v/>
      </c>
      <c r="HC19" t="str">
        <f t="shared" si="119"/>
        <v/>
      </c>
      <c r="HD19" t="str">
        <f t="shared" si="120"/>
        <v/>
      </c>
      <c r="HE19" t="str">
        <f t="shared" si="121"/>
        <v/>
      </c>
      <c r="HF19" t="str">
        <f t="shared" si="122"/>
        <v/>
      </c>
      <c r="HG19" t="str">
        <f t="shared" si="123"/>
        <v/>
      </c>
      <c r="HH19" t="str">
        <f t="shared" si="124"/>
        <v/>
      </c>
      <c r="HI19" t="str">
        <f t="shared" si="125"/>
        <v/>
      </c>
      <c r="HJ19" t="str">
        <f t="shared" si="126"/>
        <v/>
      </c>
      <c r="HK19" t="str">
        <f t="shared" si="127"/>
        <v/>
      </c>
      <c r="HL19" t="str">
        <f t="shared" si="128"/>
        <v/>
      </c>
      <c r="HM19" t="str">
        <f t="shared" si="129"/>
        <v/>
      </c>
      <c r="HN19" t="str">
        <f t="shared" si="130"/>
        <v/>
      </c>
      <c r="HO19" t="str">
        <f t="shared" si="131"/>
        <v/>
      </c>
      <c r="HP19" t="str">
        <f t="shared" si="132"/>
        <v/>
      </c>
      <c r="HQ19" t="str">
        <f t="shared" si="133"/>
        <v/>
      </c>
      <c r="HR19" t="e">
        <f>IF(#REF!="No",#REF!,"")</f>
        <v>#REF!</v>
      </c>
      <c r="HS19" t="str">
        <f t="shared" si="134"/>
        <v/>
      </c>
      <c r="HT19" t="str">
        <f t="shared" si="135"/>
        <v/>
      </c>
      <c r="HU19" t="str">
        <f t="shared" si="136"/>
        <v/>
      </c>
      <c r="HV19" t="str">
        <f t="shared" si="137"/>
        <v/>
      </c>
      <c r="HW19" t="str">
        <f t="shared" si="138"/>
        <v/>
      </c>
      <c r="HX19" t="str">
        <f t="shared" si="139"/>
        <v xml:space="preserve">¿El agente maneja correctamente las objeciones del cliente? </v>
      </c>
      <c r="HY19" t="str">
        <f t="shared" si="140"/>
        <v/>
      </c>
      <c r="HZ19" t="str">
        <f t="shared" si="141"/>
        <v/>
      </c>
      <c r="IA19" t="str">
        <f t="shared" si="142"/>
        <v/>
      </c>
      <c r="IB19" t="str">
        <f t="shared" si="143"/>
        <v/>
      </c>
      <c r="IC19" t="str">
        <f t="shared" si="144"/>
        <v/>
      </c>
      <c r="ID19" s="238" t="str">
        <f t="shared" si="145"/>
        <v/>
      </c>
      <c r="IE19" s="238" t="str">
        <f t="shared" si="146"/>
        <v/>
      </c>
      <c r="IF19" s="238" t="str">
        <f t="shared" si="147"/>
        <v/>
      </c>
      <c r="IG19" s="238" t="str">
        <f t="shared" si="148"/>
        <v/>
      </c>
      <c r="IH19" s="241" t="str">
        <f>A19&amp;" "&amp;F19&amp;" "&amp;Data[[#This Row],[mes]]</f>
        <v>Evelyn Torres Outbound jun-26</v>
      </c>
      <c r="II19" s="244">
        <f>COUNTIF($IH19:$IH52,IH19)</f>
        <v>2</v>
      </c>
      <c r="IJ19" s="241">
        <f>IF(COUNTIF($IH$4:IH19,IH19)=1,1,0)</f>
        <v>0</v>
      </c>
      <c r="IK19" s="244">
        <f>IF(Data[[#This Row],[Muestra Critica]]&gt;0,Data[[#This Row],[Muestra Critica]],"")</f>
        <v>1</v>
      </c>
      <c r="IL19" s="238">
        <f>IF(IK19="","",COUNTIF($IK$4:$IK51,IK19))</f>
        <v>26</v>
      </c>
      <c r="IM19">
        <f t="shared" si="149"/>
        <v>0</v>
      </c>
      <c r="IN19" s="241" t="str">
        <f t="shared" si="150"/>
        <v>jun-26</v>
      </c>
      <c r="IO19" s="241"/>
      <c r="IP19" s="241"/>
      <c r="IQ19" s="241"/>
      <c r="IR19" s="241"/>
      <c r="IS19" s="241">
        <f>IFERROR(_xlfn.XLOOKUP(A:A,HC!B:B,HC!E:E,,0),0)</f>
        <v>0</v>
      </c>
    </row>
    <row r="20" spans="1:253" ht="15.5" x14ac:dyDescent="0.35">
      <c r="A20" s="232" t="s">
        <v>417</v>
      </c>
      <c r="B20" s="232">
        <v>69696560</v>
      </c>
      <c r="C20" s="242">
        <v>46194</v>
      </c>
      <c r="D20" s="232" t="s">
        <v>406</v>
      </c>
      <c r="E20" s="232" t="s">
        <v>398</v>
      </c>
      <c r="F20" s="232" t="s">
        <v>32</v>
      </c>
      <c r="G20" s="232" t="s">
        <v>402</v>
      </c>
      <c r="H20" s="232" t="s">
        <v>420</v>
      </c>
      <c r="I20" s="233" t="s">
        <v>412</v>
      </c>
      <c r="J20" s="234" t="s">
        <v>33</v>
      </c>
      <c r="K20" s="234" t="s">
        <v>33</v>
      </c>
      <c r="L20" s="234" t="s">
        <v>33</v>
      </c>
      <c r="M20" s="234" t="s">
        <v>33</v>
      </c>
      <c r="N20" s="234" t="s">
        <v>33</v>
      </c>
      <c r="O20" s="234" t="s">
        <v>33</v>
      </c>
      <c r="P20" s="234" t="s">
        <v>33</v>
      </c>
      <c r="Q20" s="234" t="s">
        <v>33</v>
      </c>
      <c r="R20" s="234" t="s">
        <v>33</v>
      </c>
      <c r="S20" s="234" t="s">
        <v>33</v>
      </c>
      <c r="T20" s="234" t="s">
        <v>33</v>
      </c>
      <c r="U20" s="234" t="s">
        <v>33</v>
      </c>
      <c r="V20" s="235" t="s">
        <v>33</v>
      </c>
      <c r="W20" s="235" t="s">
        <v>33</v>
      </c>
      <c r="X20" s="235" t="s">
        <v>33</v>
      </c>
      <c r="Y20" s="235" t="s">
        <v>33</v>
      </c>
      <c r="Z20" s="235" t="s">
        <v>33</v>
      </c>
      <c r="AA20" s="235" t="s">
        <v>33</v>
      </c>
      <c r="AB20" s="235" t="s">
        <v>33</v>
      </c>
      <c r="AC20" s="235" t="s">
        <v>33</v>
      </c>
      <c r="AD20" s="235" t="s">
        <v>33</v>
      </c>
      <c r="AE20" s="235" t="s">
        <v>33</v>
      </c>
      <c r="AF20" s="235" t="s">
        <v>33</v>
      </c>
      <c r="AG20" s="235" t="s">
        <v>33</v>
      </c>
      <c r="AH20" s="235" t="s">
        <v>33</v>
      </c>
      <c r="AI20" s="235" t="s">
        <v>33</v>
      </c>
      <c r="AJ20" s="235" t="s">
        <v>33</v>
      </c>
      <c r="AK20" s="235" t="s">
        <v>33</v>
      </c>
      <c r="AL20" s="235" t="s">
        <v>33</v>
      </c>
      <c r="AM20" s="235" t="s">
        <v>33</v>
      </c>
      <c r="AN20" s="235" t="s">
        <v>33</v>
      </c>
      <c r="AO20" s="235" t="s">
        <v>33</v>
      </c>
      <c r="AP20" s="235" t="s">
        <v>33</v>
      </c>
      <c r="AQ20" s="235" t="s">
        <v>33</v>
      </c>
      <c r="AR20" s="235" t="s">
        <v>33</v>
      </c>
      <c r="AS20" s="235" t="s">
        <v>33</v>
      </c>
      <c r="AT20" s="235" t="s">
        <v>33</v>
      </c>
      <c r="AU20" s="235" t="s">
        <v>33</v>
      </c>
      <c r="AV20" s="235" t="s">
        <v>33</v>
      </c>
      <c r="AW20" s="235" t="s">
        <v>34</v>
      </c>
      <c r="AX20" s="235" t="s">
        <v>33</v>
      </c>
      <c r="AY20" s="235" t="s">
        <v>33</v>
      </c>
      <c r="AZ20" s="235" t="s">
        <v>33</v>
      </c>
      <c r="BA20" s="235" t="s">
        <v>33</v>
      </c>
      <c r="BB20" s="235" t="s">
        <v>33</v>
      </c>
      <c r="BC20" s="236" t="s">
        <v>33</v>
      </c>
      <c r="BD20" s="236" t="s">
        <v>33</v>
      </c>
      <c r="BE20" s="236" t="s">
        <v>33</v>
      </c>
      <c r="BF20" s="237" t="s">
        <v>33</v>
      </c>
      <c r="BG20" s="241"/>
      <c r="BH20" s="245" t="str">
        <f>Data[[#This Row],[Tipo de Muestra]]</f>
        <v>Critica</v>
      </c>
      <c r="BI20" s="241"/>
      <c r="BJ20" s="241"/>
      <c r="BK20">
        <f t="shared" si="0"/>
        <v>1</v>
      </c>
      <c r="BL20">
        <f t="shared" si="1"/>
        <v>1</v>
      </c>
      <c r="BM20">
        <f t="shared" si="2"/>
        <v>1</v>
      </c>
      <c r="BN20">
        <f t="shared" si="3"/>
        <v>1</v>
      </c>
      <c r="BO20">
        <f t="shared" si="4"/>
        <v>1</v>
      </c>
      <c r="BP20">
        <f t="shared" si="5"/>
        <v>1</v>
      </c>
      <c r="BQ20">
        <f t="shared" si="6"/>
        <v>1</v>
      </c>
      <c r="BR20">
        <f t="shared" si="7"/>
        <v>1</v>
      </c>
      <c r="BS20">
        <f t="shared" si="8"/>
        <v>1</v>
      </c>
      <c r="BT20">
        <f t="shared" si="9"/>
        <v>1</v>
      </c>
      <c r="BU20">
        <f t="shared" si="10"/>
        <v>1</v>
      </c>
      <c r="BV20">
        <f t="shared" si="11"/>
        <v>1</v>
      </c>
      <c r="BW20">
        <f t="shared" si="12"/>
        <v>1</v>
      </c>
      <c r="BX20">
        <f t="shared" si="13"/>
        <v>1</v>
      </c>
      <c r="BY20">
        <f t="shared" si="14"/>
        <v>0</v>
      </c>
      <c r="BZ20">
        <f t="shared" si="15"/>
        <v>0</v>
      </c>
      <c r="CA20">
        <f t="shared" si="16"/>
        <v>0</v>
      </c>
      <c r="CB20">
        <f t="shared" si="17"/>
        <v>0</v>
      </c>
      <c r="CC20">
        <f t="shared" si="18"/>
        <v>0</v>
      </c>
      <c r="CD20">
        <f t="shared" si="19"/>
        <v>0</v>
      </c>
      <c r="CE20">
        <f t="shared" si="20"/>
        <v>0</v>
      </c>
      <c r="CF20">
        <f t="shared" si="21"/>
        <v>0</v>
      </c>
      <c r="CG20">
        <f t="shared" si="22"/>
        <v>0</v>
      </c>
      <c r="CH20">
        <f t="shared" si="23"/>
        <v>0</v>
      </c>
      <c r="CI20">
        <f t="shared" si="24"/>
        <v>0</v>
      </c>
      <c r="CJ20">
        <f t="shared" si="25"/>
        <v>0</v>
      </c>
      <c r="CK20">
        <f t="shared" si="26"/>
        <v>0</v>
      </c>
      <c r="CL20">
        <f t="shared" si="27"/>
        <v>0</v>
      </c>
      <c r="CM20">
        <f t="shared" si="28"/>
        <v>0</v>
      </c>
      <c r="CN20">
        <f t="shared" si="29"/>
        <v>0</v>
      </c>
      <c r="CO20">
        <f t="shared" si="30"/>
        <v>0</v>
      </c>
      <c r="CP20">
        <f t="shared" si="31"/>
        <v>0</v>
      </c>
      <c r="CQ20">
        <f t="shared" si="32"/>
        <v>0</v>
      </c>
      <c r="CR20">
        <f t="shared" si="33"/>
        <v>0</v>
      </c>
      <c r="CS20">
        <f t="shared" si="34"/>
        <v>0</v>
      </c>
      <c r="CT20">
        <f t="shared" si="35"/>
        <v>0</v>
      </c>
      <c r="CU20">
        <f t="shared" si="36"/>
        <v>0</v>
      </c>
      <c r="CV20">
        <f t="shared" si="37"/>
        <v>0</v>
      </c>
      <c r="CW20">
        <f t="shared" si="38"/>
        <v>0</v>
      </c>
      <c r="CX20">
        <f t="shared" si="39"/>
        <v>0</v>
      </c>
      <c r="CY20">
        <f t="shared" si="40"/>
        <v>0</v>
      </c>
      <c r="CZ20">
        <f t="shared" si="41"/>
        <v>0</v>
      </c>
      <c r="DA20">
        <f t="shared" si="42"/>
        <v>0</v>
      </c>
      <c r="DB20">
        <f t="shared" si="43"/>
        <v>0</v>
      </c>
      <c r="DC20">
        <f t="shared" si="44"/>
        <v>0</v>
      </c>
      <c r="DD20" s="238">
        <f t="shared" si="45"/>
        <v>0</v>
      </c>
      <c r="DE20" s="238">
        <f t="shared" si="46"/>
        <v>0</v>
      </c>
      <c r="DF20" s="238">
        <f t="shared" si="47"/>
        <v>0</v>
      </c>
      <c r="DG20" s="238">
        <f t="shared" si="48"/>
        <v>1</v>
      </c>
      <c r="DH20" s="9">
        <f t="shared" si="49"/>
        <v>0.15</v>
      </c>
      <c r="DI20" s="9">
        <f t="shared" si="50"/>
        <v>0.15</v>
      </c>
      <c r="DJ20" s="9">
        <f t="shared" si="51"/>
        <v>0.15</v>
      </c>
      <c r="DK20" s="9">
        <f>IF(MIN(Data[[#This Row],[¿El agente cumple con la identificación formal y profesional?3]:[¿El agente realiza despedida corporativa?5]])=0,0,15%)</f>
        <v>0.15</v>
      </c>
      <c r="DL20" s="9">
        <f t="shared" si="52"/>
        <v>0.3</v>
      </c>
      <c r="DM20" s="9">
        <f t="shared" si="53"/>
        <v>0.3</v>
      </c>
      <c r="DN20" s="9">
        <f t="shared" si="54"/>
        <v>0.3</v>
      </c>
      <c r="DO20" s="9">
        <f t="shared" si="55"/>
        <v>0.3</v>
      </c>
      <c r="DP20" s="9">
        <f>IF(MIN(Data[[#This Row],[¿El agente demuestra escucha activa durante la gestión?6]:[¿El agente parafrasea para confirmar entendimiento?9]])=0,0,30%)</f>
        <v>0.3</v>
      </c>
      <c r="DQ20" s="9">
        <f t="shared" si="56"/>
        <v>0.3</v>
      </c>
      <c r="DR20" s="9">
        <f t="shared" si="57"/>
        <v>0.3</v>
      </c>
      <c r="DS20" s="9">
        <f t="shared" si="58"/>
        <v>0.3</v>
      </c>
      <c r="DT20" s="9">
        <f t="shared" si="59"/>
        <v>0.3</v>
      </c>
      <c r="DU20" s="239">
        <f>IF(MIN(Data[[#This Row],[¿El agente adapta su comunicación al cliente?11]:[¿El agente utiliza el plural corporativo correctamente?14]])=0,0,30%)</f>
        <v>0.3</v>
      </c>
      <c r="DV20" s="9">
        <f t="shared" si="60"/>
        <v>0.25</v>
      </c>
      <c r="DW20" s="9">
        <f t="shared" si="151"/>
        <v>0.25</v>
      </c>
      <c r="DX20" s="9">
        <f t="shared" si="152"/>
        <v>1</v>
      </c>
      <c r="DY20" s="9">
        <f t="shared" si="61"/>
        <v>1</v>
      </c>
      <c r="DZ20" s="9">
        <f t="shared" si="62"/>
        <v>1</v>
      </c>
      <c r="EA20" s="9">
        <f t="shared" si="63"/>
        <v>1</v>
      </c>
      <c r="EB20" s="9">
        <f t="shared" si="64"/>
        <v>1</v>
      </c>
      <c r="EC20" s="9">
        <f>IF(SUM(Data[[#This Row],[¿El agente informa correctamente sobre los centros de pago?19]:[¿El agente explica el ciclo de facturación adecuadamente?22]])=400%,100%,0%)</f>
        <v>1</v>
      </c>
      <c r="ED20" s="9">
        <f t="shared" si="65"/>
        <v>1</v>
      </c>
      <c r="EE20" s="9">
        <f t="shared" si="66"/>
        <v>1</v>
      </c>
      <c r="EF20" s="9">
        <f>IF(SUM(Data[[#This Row],[¿El agente presenta correctamente los beneficios del producto?23]:[¿El agente comunica beneficios emocionales al cliente?24]])=200%,100%,0%)</f>
        <v>1</v>
      </c>
      <c r="EG20" s="9">
        <f t="shared" si="67"/>
        <v>1</v>
      </c>
      <c r="EH20" s="9">
        <f t="shared" si="68"/>
        <v>1</v>
      </c>
      <c r="EI20" s="9">
        <f t="shared" si="69"/>
        <v>1</v>
      </c>
      <c r="EJ20" s="9">
        <f>IF(SUM(Data[[#This Row],[¿El agente realiza un resumen comercial adecuado?25]:[¿El agente formaliza correctamente el acuerdo de venta?27]])=300%,100%,0%)</f>
        <v>1</v>
      </c>
      <c r="EK20" s="9">
        <f t="shared" si="70"/>
        <v>1</v>
      </c>
      <c r="EL20" s="9">
        <f>+Data[[#This Row],[¿El agente explica los términos y condiciones del servicio?28]]</f>
        <v>1</v>
      </c>
      <c r="EM20" s="9">
        <f t="shared" si="71"/>
        <v>1</v>
      </c>
      <c r="EN20" s="9">
        <f>+Data[[#This Row],[¿El agente identifica correctamente la solicitud del cliente?29]]</f>
        <v>1</v>
      </c>
      <c r="EO20" s="9">
        <f t="shared" si="72"/>
        <v>1</v>
      </c>
      <c r="EP20" s="9">
        <f t="shared" si="73"/>
        <v>1</v>
      </c>
      <c r="EQ20" s="9">
        <f t="shared" si="74"/>
        <v>1</v>
      </c>
      <c r="ER20" s="9">
        <f>IF(SUM(Data[[#This Row],[¿El agente evita activar un servicio diferente al solicitado?30]:[¿El agente configura adecuadamente el producto contratado?32]])=300%,100%,0%)</f>
        <v>1</v>
      </c>
      <c r="ES20" s="9">
        <f t="shared" si="75"/>
        <v>1</v>
      </c>
      <c r="ET20" s="9">
        <f t="shared" si="76"/>
        <v>1</v>
      </c>
      <c r="EU20" s="9">
        <f>IF(SUM(Data[[#This Row],[¿El agente mantiene respeto y cordialidad en toda la interacción?33]:[¿El agente utiliza un lenguaje adecuado y profesional?34]])=200%,100%,0%)</f>
        <v>1</v>
      </c>
      <c r="EV20" s="9">
        <f t="shared" si="77"/>
        <v>1</v>
      </c>
      <c r="EW20" s="9">
        <f t="shared" si="78"/>
        <v>1</v>
      </c>
      <c r="EX20" s="9">
        <f t="shared" si="79"/>
        <v>1</v>
      </c>
      <c r="EY20" s="9">
        <f t="shared" si="80"/>
        <v>1</v>
      </c>
      <c r="EZ20" s="9">
        <f t="shared" si="81"/>
        <v>1</v>
      </c>
      <c r="FA20" s="9">
        <f t="shared" si="82"/>
        <v>1</v>
      </c>
      <c r="FB20" s="9">
        <f>IF(SUM(Data[[#This Row],[¿El agente verifica correctamente la cobertura?35]:[¿El agente agenda citas o gestiones cuando es necesario?41]])=600%,100%,0%)</f>
        <v>1</v>
      </c>
      <c r="FC20" s="9">
        <f t="shared" si="153"/>
        <v>1</v>
      </c>
      <c r="FD20" s="9">
        <f t="shared" si="83"/>
        <v>1</v>
      </c>
      <c r="FE20" s="9">
        <f t="shared" si="84"/>
        <v>1</v>
      </c>
      <c r="FF20" s="9">
        <f t="shared" si="85"/>
        <v>1</v>
      </c>
      <c r="FG20" s="9">
        <f t="shared" si="86"/>
        <v>1</v>
      </c>
      <c r="FH20" s="9">
        <f t="shared" si="87"/>
        <v>1</v>
      </c>
      <c r="FI20" s="9">
        <f t="shared" si="88"/>
        <v>0</v>
      </c>
      <c r="FJ20" s="9">
        <f>IF(SUM(Data[[#This Row],[¿El agente ofrece adecuadamente un producto adicional?42]:[¿El agente maneja correctamente las objeciones del cliente?47]])=600%,100%,)</f>
        <v>0</v>
      </c>
      <c r="FK20" s="9">
        <f t="shared" si="89"/>
        <v>1</v>
      </c>
      <c r="FL20" s="9">
        <f>+Data[[#This Row],[¿El agente gestiona la oferta según la campaña vigente?48]]</f>
        <v>1</v>
      </c>
      <c r="FM20" s="9">
        <f t="shared" si="90"/>
        <v>1</v>
      </c>
      <c r="FN20" s="9">
        <f t="shared" si="91"/>
        <v>1</v>
      </c>
      <c r="FO20" s="9">
        <f t="shared" si="92"/>
        <v>1</v>
      </c>
      <c r="FP20" s="9">
        <f>IF(SUM(Data[[#This Row],[¿El agente solicita coordenadas cuando es necesario?49]:[¿El agente maneja adecuadamente llamadas en conferencia?51]])=300%,100%,)</f>
        <v>1</v>
      </c>
      <c r="FQ20" s="9">
        <f t="shared" si="93"/>
        <v>1</v>
      </c>
      <c r="FR20" s="9">
        <f>+Data[[#This Row],[¿El agente registra correctamente todas las interacciones?52]]</f>
        <v>1</v>
      </c>
      <c r="FS20" s="9">
        <f t="shared" si="154"/>
        <v>0</v>
      </c>
      <c r="FT20" s="238">
        <f t="shared" si="155"/>
        <v>1</v>
      </c>
      <c r="FU20" s="9">
        <f>+Data[[#This Row],[¿El agente confirma la titularidad del cliente adecuadamente?53]]</f>
        <v>1</v>
      </c>
      <c r="FV20" s="238">
        <f t="shared" si="94"/>
        <v>1</v>
      </c>
      <c r="FW20" s="238">
        <f t="shared" si="95"/>
        <v>1</v>
      </c>
      <c r="FX20" s="9">
        <f>IF(SUM(Data[[#This Row],[¿El agente evita la omisión de alertas importantes?54]]:Data[[#This Row],[¿El agente mantiene conducta ética durante la interacción?55]])=200%,100%,)</f>
        <v>1</v>
      </c>
      <c r="FY20" s="238">
        <f t="shared" si="96"/>
        <v>1</v>
      </c>
      <c r="FZ20" s="9">
        <f>+Data[[#This Row],[¿El agente evita compartir información sensible?56]]</f>
        <v>1</v>
      </c>
      <c r="GA20" s="9">
        <f t="shared" si="156"/>
        <v>1</v>
      </c>
      <c r="GB20" s="239">
        <f t="shared" si="97"/>
        <v>0.1</v>
      </c>
      <c r="GC20" s="239">
        <f t="shared" si="98"/>
        <v>0.3</v>
      </c>
      <c r="GD20" s="240">
        <f t="shared" si="99"/>
        <v>0</v>
      </c>
      <c r="GE20" s="240">
        <f t="shared" si="100"/>
        <v>0.3</v>
      </c>
      <c r="GF20" s="9">
        <f>SUM(Data[[#This Row],[PESO PENC]:[PESO PECCUM]])</f>
        <v>0.7</v>
      </c>
      <c r="GG20" s="238">
        <f>1</f>
        <v>1</v>
      </c>
      <c r="GH20" s="238">
        <f t="shared" si="101"/>
        <v>1</v>
      </c>
      <c r="GI20" t="str">
        <f t="shared" si="102"/>
        <v/>
      </c>
      <c r="GJ20" t="str">
        <f t="shared" si="103"/>
        <v/>
      </c>
      <c r="GK20" t="str">
        <f t="shared" si="104"/>
        <v/>
      </c>
      <c r="GN20" t="str">
        <f t="shared" si="105"/>
        <v/>
      </c>
      <c r="GO20" t="str">
        <f t="shared" si="106"/>
        <v/>
      </c>
      <c r="GP20" t="str">
        <f t="shared" si="107"/>
        <v/>
      </c>
      <c r="GQ20" t="str">
        <f t="shared" si="108"/>
        <v/>
      </c>
      <c r="GR20" t="str">
        <f t="shared" si="109"/>
        <v/>
      </c>
      <c r="GS20" t="str">
        <f t="shared" si="110"/>
        <v/>
      </c>
      <c r="GT20" t="str">
        <f t="shared" si="111"/>
        <v/>
      </c>
      <c r="GU20" t="e">
        <f>IF(#REF!="No",#REF!,"")</f>
        <v>#REF!</v>
      </c>
      <c r="GV20" t="str">
        <f t="shared" si="112"/>
        <v/>
      </c>
      <c r="GW20" t="str">
        <f t="shared" si="113"/>
        <v/>
      </c>
      <c r="GX20" t="str">
        <f t="shared" si="114"/>
        <v/>
      </c>
      <c r="GY20" t="str">
        <f t="shared" si="115"/>
        <v/>
      </c>
      <c r="GZ20" t="str">
        <f t="shared" si="116"/>
        <v/>
      </c>
      <c r="HA20" t="str">
        <f t="shared" si="117"/>
        <v/>
      </c>
      <c r="HB20" t="str">
        <f t="shared" si="118"/>
        <v/>
      </c>
      <c r="HC20" t="str">
        <f t="shared" si="119"/>
        <v/>
      </c>
      <c r="HD20" t="str">
        <f t="shared" si="120"/>
        <v/>
      </c>
      <c r="HE20" t="str">
        <f t="shared" si="121"/>
        <v/>
      </c>
      <c r="HF20" t="str">
        <f t="shared" si="122"/>
        <v/>
      </c>
      <c r="HG20" t="str">
        <f t="shared" si="123"/>
        <v/>
      </c>
      <c r="HH20" t="str">
        <f t="shared" si="124"/>
        <v/>
      </c>
      <c r="HI20" t="str">
        <f t="shared" si="125"/>
        <v/>
      </c>
      <c r="HJ20" t="str">
        <f t="shared" si="126"/>
        <v/>
      </c>
      <c r="HK20" t="str">
        <f t="shared" si="127"/>
        <v/>
      </c>
      <c r="HL20" t="str">
        <f t="shared" si="128"/>
        <v/>
      </c>
      <c r="HM20" t="str">
        <f t="shared" si="129"/>
        <v/>
      </c>
      <c r="HN20" t="str">
        <f t="shared" si="130"/>
        <v/>
      </c>
      <c r="HO20" t="str">
        <f t="shared" si="131"/>
        <v/>
      </c>
      <c r="HP20" t="str">
        <f t="shared" si="132"/>
        <v/>
      </c>
      <c r="HQ20" t="str">
        <f t="shared" si="133"/>
        <v/>
      </c>
      <c r="HR20" t="e">
        <f>IF(#REF!="No",#REF!,"")</f>
        <v>#REF!</v>
      </c>
      <c r="HS20" t="str">
        <f t="shared" si="134"/>
        <v/>
      </c>
      <c r="HT20" t="str">
        <f t="shared" si="135"/>
        <v/>
      </c>
      <c r="HU20" t="str">
        <f t="shared" si="136"/>
        <v/>
      </c>
      <c r="HV20" t="str">
        <f t="shared" si="137"/>
        <v/>
      </c>
      <c r="HW20" t="str">
        <f t="shared" si="138"/>
        <v/>
      </c>
      <c r="HX20" t="str">
        <f t="shared" si="139"/>
        <v xml:space="preserve">¿El agente maneja correctamente las objeciones del cliente? </v>
      </c>
      <c r="HY20" t="str">
        <f t="shared" si="140"/>
        <v/>
      </c>
      <c r="HZ20" t="str">
        <f t="shared" si="141"/>
        <v/>
      </c>
      <c r="IA20" t="str">
        <f t="shared" si="142"/>
        <v/>
      </c>
      <c r="IB20" t="str">
        <f t="shared" si="143"/>
        <v/>
      </c>
      <c r="IC20" t="str">
        <f t="shared" si="144"/>
        <v/>
      </c>
      <c r="ID20" s="238" t="str">
        <f t="shared" si="145"/>
        <v/>
      </c>
      <c r="IE20" s="238" t="str">
        <f t="shared" si="146"/>
        <v/>
      </c>
      <c r="IF20" s="238" t="str">
        <f t="shared" si="147"/>
        <v/>
      </c>
      <c r="IG20" s="238" t="str">
        <f t="shared" si="148"/>
        <v/>
      </c>
      <c r="IH20" s="241" t="str">
        <f>A20&amp;" "&amp;F20&amp;" "&amp;Data[[#This Row],[mes]]</f>
        <v>Astrid Carolina Camaño Outbound jun-26</v>
      </c>
      <c r="II20" s="244">
        <f>COUNTIF($IH20:$IH53,IH20)</f>
        <v>1</v>
      </c>
      <c r="IJ20" s="241">
        <f>IF(COUNTIF($IH$4:IH20,IH20)=1,1,0)</f>
        <v>0</v>
      </c>
      <c r="IK20" s="244">
        <f>IF(Data[[#This Row],[Muestra Critica]]&gt;0,Data[[#This Row],[Muestra Critica]],"")</f>
        <v>1</v>
      </c>
      <c r="IL20" s="238">
        <f>IF(IK20="","",COUNTIF($IK$4:$IK52,IK20))</f>
        <v>26</v>
      </c>
      <c r="IM20">
        <f t="shared" si="149"/>
        <v>0</v>
      </c>
      <c r="IN20" s="241" t="str">
        <f t="shared" si="150"/>
        <v>jun-26</v>
      </c>
      <c r="IO20" s="241"/>
      <c r="IP20" s="241"/>
      <c r="IQ20" s="241"/>
      <c r="IR20" s="241"/>
      <c r="IS20" s="241">
        <f>IFERROR(_xlfn.XLOOKUP(A:A,HC!B:B,HC!E:E,,0),0)</f>
        <v>0</v>
      </c>
    </row>
    <row r="21" spans="1:253" ht="15.5" x14ac:dyDescent="0.35">
      <c r="A21" s="232" t="s">
        <v>422</v>
      </c>
      <c r="B21" s="232">
        <v>69696560</v>
      </c>
      <c r="C21" s="242">
        <v>46194</v>
      </c>
      <c r="D21" s="232" t="s">
        <v>406</v>
      </c>
      <c r="E21" s="232" t="s">
        <v>398</v>
      </c>
      <c r="F21" s="232" t="s">
        <v>32</v>
      </c>
      <c r="G21" s="232" t="s">
        <v>402</v>
      </c>
      <c r="H21" s="232" t="s">
        <v>420</v>
      </c>
      <c r="I21" s="233" t="s">
        <v>412</v>
      </c>
      <c r="J21" s="234" t="s">
        <v>33</v>
      </c>
      <c r="K21" s="234" t="s">
        <v>33</v>
      </c>
      <c r="L21" s="234" t="s">
        <v>33</v>
      </c>
      <c r="M21" s="234" t="s">
        <v>33</v>
      </c>
      <c r="N21" s="234" t="s">
        <v>33</v>
      </c>
      <c r="O21" s="234" t="s">
        <v>33</v>
      </c>
      <c r="P21" s="234" t="s">
        <v>33</v>
      </c>
      <c r="Q21" s="234" t="s">
        <v>33</v>
      </c>
      <c r="R21" s="234" t="s">
        <v>33</v>
      </c>
      <c r="S21" s="234" t="s">
        <v>33</v>
      </c>
      <c r="T21" s="234" t="s">
        <v>33</v>
      </c>
      <c r="U21" s="234" t="s">
        <v>33</v>
      </c>
      <c r="V21" s="235" t="s">
        <v>33</v>
      </c>
      <c r="W21" s="235" t="s">
        <v>33</v>
      </c>
      <c r="X21" s="235" t="s">
        <v>33</v>
      </c>
      <c r="Y21" s="235" t="s">
        <v>33</v>
      </c>
      <c r="Z21" s="235" t="s">
        <v>33</v>
      </c>
      <c r="AA21" s="235" t="s">
        <v>33</v>
      </c>
      <c r="AB21" s="235" t="s">
        <v>33</v>
      </c>
      <c r="AC21" s="235" t="s">
        <v>33</v>
      </c>
      <c r="AD21" s="235" t="s">
        <v>33</v>
      </c>
      <c r="AE21" s="235" t="s">
        <v>33</v>
      </c>
      <c r="AF21" s="235" t="s">
        <v>33</v>
      </c>
      <c r="AG21" s="235" t="s">
        <v>33</v>
      </c>
      <c r="AH21" s="235" t="s">
        <v>33</v>
      </c>
      <c r="AI21" s="235" t="s">
        <v>33</v>
      </c>
      <c r="AJ21" s="235" t="s">
        <v>33</v>
      </c>
      <c r="AK21" s="235" t="s">
        <v>33</v>
      </c>
      <c r="AL21" s="235" t="s">
        <v>33</v>
      </c>
      <c r="AM21" s="235" t="s">
        <v>33</v>
      </c>
      <c r="AN21" s="235" t="s">
        <v>33</v>
      </c>
      <c r="AO21" s="235" t="s">
        <v>33</v>
      </c>
      <c r="AP21" s="235" t="s">
        <v>33</v>
      </c>
      <c r="AQ21" s="235" t="s">
        <v>33</v>
      </c>
      <c r="AR21" s="235" t="s">
        <v>33</v>
      </c>
      <c r="AS21" s="235" t="s">
        <v>34</v>
      </c>
      <c r="AT21" s="235" t="s">
        <v>33</v>
      </c>
      <c r="AU21" s="235" t="s">
        <v>33</v>
      </c>
      <c r="AV21" s="235" t="s">
        <v>33</v>
      </c>
      <c r="AW21" s="235" t="s">
        <v>33</v>
      </c>
      <c r="AX21" s="235" t="s">
        <v>33</v>
      </c>
      <c r="AY21" s="235" t="s">
        <v>33</v>
      </c>
      <c r="AZ21" s="235" t="s">
        <v>34</v>
      </c>
      <c r="BA21" s="235" t="s">
        <v>33</v>
      </c>
      <c r="BB21" s="235" t="s">
        <v>33</v>
      </c>
      <c r="BC21" s="236" t="s">
        <v>33</v>
      </c>
      <c r="BD21" s="236" t="s">
        <v>33</v>
      </c>
      <c r="BE21" s="236" t="s">
        <v>33</v>
      </c>
      <c r="BF21" s="237" t="s">
        <v>33</v>
      </c>
      <c r="BG21" s="241"/>
      <c r="BH21" s="245" t="str">
        <f>Data[[#This Row],[Tipo de Muestra]]</f>
        <v>Critica</v>
      </c>
      <c r="BI21" s="241"/>
      <c r="BJ21" s="241"/>
      <c r="BK21">
        <f t="shared" si="0"/>
        <v>1</v>
      </c>
      <c r="BL21">
        <f t="shared" si="1"/>
        <v>1</v>
      </c>
      <c r="BM21">
        <f t="shared" si="2"/>
        <v>1</v>
      </c>
      <c r="BN21">
        <f t="shared" si="3"/>
        <v>1</v>
      </c>
      <c r="BO21">
        <f t="shared" si="4"/>
        <v>1</v>
      </c>
      <c r="BP21">
        <f t="shared" si="5"/>
        <v>1</v>
      </c>
      <c r="BQ21">
        <f t="shared" si="6"/>
        <v>1</v>
      </c>
      <c r="BR21">
        <f t="shared" si="7"/>
        <v>1</v>
      </c>
      <c r="BS21">
        <f t="shared" si="8"/>
        <v>1</v>
      </c>
      <c r="BT21">
        <f t="shared" si="9"/>
        <v>1</v>
      </c>
      <c r="BU21">
        <f t="shared" si="10"/>
        <v>1</v>
      </c>
      <c r="BV21">
        <f t="shared" si="11"/>
        <v>1</v>
      </c>
      <c r="BW21">
        <f t="shared" si="12"/>
        <v>1</v>
      </c>
      <c r="BX21">
        <f t="shared" si="13"/>
        <v>1</v>
      </c>
      <c r="BY21">
        <f t="shared" si="14"/>
        <v>0</v>
      </c>
      <c r="BZ21">
        <f t="shared" si="15"/>
        <v>0</v>
      </c>
      <c r="CA21">
        <f t="shared" si="16"/>
        <v>0</v>
      </c>
      <c r="CB21">
        <f t="shared" si="17"/>
        <v>0</v>
      </c>
      <c r="CC21">
        <f t="shared" si="18"/>
        <v>0</v>
      </c>
      <c r="CD21">
        <f t="shared" si="19"/>
        <v>0</v>
      </c>
      <c r="CE21">
        <f t="shared" si="20"/>
        <v>0</v>
      </c>
      <c r="CF21">
        <f t="shared" si="21"/>
        <v>0</v>
      </c>
      <c r="CG21">
        <f t="shared" si="22"/>
        <v>0</v>
      </c>
      <c r="CH21">
        <f t="shared" si="23"/>
        <v>0</v>
      </c>
      <c r="CI21">
        <f t="shared" si="24"/>
        <v>0</v>
      </c>
      <c r="CJ21">
        <f t="shared" si="25"/>
        <v>0</v>
      </c>
      <c r="CK21">
        <f t="shared" si="26"/>
        <v>0</v>
      </c>
      <c r="CL21">
        <f t="shared" si="27"/>
        <v>0</v>
      </c>
      <c r="CM21">
        <f t="shared" si="28"/>
        <v>0</v>
      </c>
      <c r="CN21">
        <f t="shared" si="29"/>
        <v>0</v>
      </c>
      <c r="CO21">
        <f t="shared" si="30"/>
        <v>0</v>
      </c>
      <c r="CP21">
        <f t="shared" si="31"/>
        <v>0</v>
      </c>
      <c r="CQ21">
        <f t="shared" si="32"/>
        <v>0</v>
      </c>
      <c r="CR21">
        <f t="shared" si="33"/>
        <v>0</v>
      </c>
      <c r="CS21">
        <f t="shared" si="34"/>
        <v>0</v>
      </c>
      <c r="CT21">
        <f t="shared" si="35"/>
        <v>0</v>
      </c>
      <c r="CU21">
        <f t="shared" si="36"/>
        <v>0</v>
      </c>
      <c r="CV21">
        <f t="shared" si="37"/>
        <v>0</v>
      </c>
      <c r="CW21">
        <f t="shared" si="38"/>
        <v>0</v>
      </c>
      <c r="CX21">
        <f t="shared" si="39"/>
        <v>0</v>
      </c>
      <c r="CY21">
        <f t="shared" si="40"/>
        <v>0</v>
      </c>
      <c r="CZ21">
        <f t="shared" si="41"/>
        <v>0</v>
      </c>
      <c r="DA21">
        <f t="shared" si="42"/>
        <v>0</v>
      </c>
      <c r="DB21">
        <f t="shared" si="43"/>
        <v>0</v>
      </c>
      <c r="DC21">
        <f t="shared" si="44"/>
        <v>0</v>
      </c>
      <c r="DD21" s="238">
        <f t="shared" si="45"/>
        <v>0</v>
      </c>
      <c r="DE21" s="238">
        <f t="shared" si="46"/>
        <v>0</v>
      </c>
      <c r="DF21" s="238">
        <f t="shared" si="47"/>
        <v>0</v>
      </c>
      <c r="DG21" s="238">
        <f t="shared" si="48"/>
        <v>1</v>
      </c>
      <c r="DH21" s="9">
        <f t="shared" si="49"/>
        <v>0.15</v>
      </c>
      <c r="DI21" s="9">
        <f t="shared" si="50"/>
        <v>0.15</v>
      </c>
      <c r="DJ21" s="9">
        <f t="shared" si="51"/>
        <v>0.15</v>
      </c>
      <c r="DK21" s="9">
        <f>IF(MIN(Data[[#This Row],[¿El agente cumple con la identificación formal y profesional?3]:[¿El agente realiza despedida corporativa?5]])=0,0,15%)</f>
        <v>0.15</v>
      </c>
      <c r="DL21" s="9">
        <f t="shared" si="52"/>
        <v>0.3</v>
      </c>
      <c r="DM21" s="9">
        <f t="shared" si="53"/>
        <v>0.3</v>
      </c>
      <c r="DN21" s="9">
        <f t="shared" si="54"/>
        <v>0.3</v>
      </c>
      <c r="DO21" s="9">
        <f t="shared" si="55"/>
        <v>0.3</v>
      </c>
      <c r="DP21" s="9">
        <f>IF(MIN(Data[[#This Row],[¿El agente demuestra escucha activa durante la gestión?6]:[¿El agente parafrasea para confirmar entendimiento?9]])=0,0,30%)</f>
        <v>0.3</v>
      </c>
      <c r="DQ21" s="9">
        <f t="shared" si="56"/>
        <v>0.3</v>
      </c>
      <c r="DR21" s="9">
        <f t="shared" si="57"/>
        <v>0.3</v>
      </c>
      <c r="DS21" s="9">
        <f t="shared" si="58"/>
        <v>0.3</v>
      </c>
      <c r="DT21" s="9">
        <f t="shared" si="59"/>
        <v>0.3</v>
      </c>
      <c r="DU21" s="239">
        <f>IF(MIN(Data[[#This Row],[¿El agente adapta su comunicación al cliente?11]:[¿El agente utiliza el plural corporativo correctamente?14]])=0,0,30%)</f>
        <v>0.3</v>
      </c>
      <c r="DV21" s="9">
        <f t="shared" si="60"/>
        <v>0.25</v>
      </c>
      <c r="DW21" s="9">
        <f t="shared" si="151"/>
        <v>0.25</v>
      </c>
      <c r="DX21" s="9">
        <f t="shared" si="152"/>
        <v>1</v>
      </c>
      <c r="DY21" s="9">
        <f t="shared" si="61"/>
        <v>1</v>
      </c>
      <c r="DZ21" s="9">
        <f t="shared" si="62"/>
        <v>1</v>
      </c>
      <c r="EA21" s="9">
        <f t="shared" si="63"/>
        <v>1</v>
      </c>
      <c r="EB21" s="9">
        <f t="shared" si="64"/>
        <v>1</v>
      </c>
      <c r="EC21" s="9">
        <f>IF(SUM(Data[[#This Row],[¿El agente informa correctamente sobre los centros de pago?19]:[¿El agente explica el ciclo de facturación adecuadamente?22]])=400%,100%,0%)</f>
        <v>1</v>
      </c>
      <c r="ED21" s="9">
        <f t="shared" si="65"/>
        <v>1</v>
      </c>
      <c r="EE21" s="9">
        <f t="shared" si="66"/>
        <v>1</v>
      </c>
      <c r="EF21" s="9">
        <f>IF(SUM(Data[[#This Row],[¿El agente presenta correctamente los beneficios del producto?23]:[¿El agente comunica beneficios emocionales al cliente?24]])=200%,100%,0%)</f>
        <v>1</v>
      </c>
      <c r="EG21" s="9">
        <f t="shared" si="67"/>
        <v>1</v>
      </c>
      <c r="EH21" s="9">
        <f t="shared" si="68"/>
        <v>1</v>
      </c>
      <c r="EI21" s="9">
        <f t="shared" si="69"/>
        <v>1</v>
      </c>
      <c r="EJ21" s="9">
        <f>IF(SUM(Data[[#This Row],[¿El agente realiza un resumen comercial adecuado?25]:[¿El agente formaliza correctamente el acuerdo de venta?27]])=300%,100%,0%)</f>
        <v>1</v>
      </c>
      <c r="EK21" s="9">
        <f t="shared" si="70"/>
        <v>1</v>
      </c>
      <c r="EL21" s="9">
        <f>+Data[[#This Row],[¿El agente explica los términos y condiciones del servicio?28]]</f>
        <v>1</v>
      </c>
      <c r="EM21" s="9">
        <f t="shared" si="71"/>
        <v>1</v>
      </c>
      <c r="EN21" s="9">
        <f>+Data[[#This Row],[¿El agente identifica correctamente la solicitud del cliente?29]]</f>
        <v>1</v>
      </c>
      <c r="EO21" s="9">
        <f t="shared" si="72"/>
        <v>1</v>
      </c>
      <c r="EP21" s="9">
        <f t="shared" si="73"/>
        <v>1</v>
      </c>
      <c r="EQ21" s="9">
        <f t="shared" si="74"/>
        <v>1</v>
      </c>
      <c r="ER21" s="9">
        <f>IF(SUM(Data[[#This Row],[¿El agente evita activar un servicio diferente al solicitado?30]:[¿El agente configura adecuadamente el producto contratado?32]])=300%,100%,0%)</f>
        <v>1</v>
      </c>
      <c r="ES21" s="9">
        <f t="shared" si="75"/>
        <v>1</v>
      </c>
      <c r="ET21" s="9">
        <f t="shared" si="76"/>
        <v>1</v>
      </c>
      <c r="EU21" s="9">
        <f>IF(SUM(Data[[#This Row],[¿El agente mantiene respeto y cordialidad en toda la interacción?33]:[¿El agente utiliza un lenguaje adecuado y profesional?34]])=200%,100%,0%)</f>
        <v>1</v>
      </c>
      <c r="EV21" s="9">
        <f t="shared" si="77"/>
        <v>1</v>
      </c>
      <c r="EW21" s="9">
        <f t="shared" si="78"/>
        <v>1</v>
      </c>
      <c r="EX21" s="9">
        <f t="shared" si="79"/>
        <v>1</v>
      </c>
      <c r="EY21" s="9">
        <f t="shared" si="80"/>
        <v>1</v>
      </c>
      <c r="EZ21" s="9">
        <f t="shared" si="81"/>
        <v>1</v>
      </c>
      <c r="FA21" s="9">
        <f t="shared" si="82"/>
        <v>1</v>
      </c>
      <c r="FB21" s="9">
        <f>IF(SUM(Data[[#This Row],[¿El agente verifica correctamente la cobertura?35]:[¿El agente agenda citas o gestiones cuando es necesario?41]])=600%,100%,0%)</f>
        <v>1</v>
      </c>
      <c r="FC21" s="9">
        <f t="shared" si="153"/>
        <v>1</v>
      </c>
      <c r="FD21" s="9">
        <f t="shared" si="83"/>
        <v>1</v>
      </c>
      <c r="FE21" s="9">
        <f t="shared" si="84"/>
        <v>0</v>
      </c>
      <c r="FF21" s="9">
        <f t="shared" si="85"/>
        <v>1</v>
      </c>
      <c r="FG21" s="9">
        <f t="shared" si="86"/>
        <v>1</v>
      </c>
      <c r="FH21" s="9">
        <f t="shared" si="87"/>
        <v>1</v>
      </c>
      <c r="FI21" s="9">
        <f t="shared" si="88"/>
        <v>1</v>
      </c>
      <c r="FJ21" s="9">
        <f>IF(SUM(Data[[#This Row],[¿El agente ofrece adecuadamente un producto adicional?42]:[¿El agente maneja correctamente las objeciones del cliente?47]])=600%,100%,)</f>
        <v>0</v>
      </c>
      <c r="FK21" s="9">
        <f t="shared" si="89"/>
        <v>1</v>
      </c>
      <c r="FL21" s="9">
        <f>+Data[[#This Row],[¿El agente gestiona la oferta según la campaña vigente?48]]</f>
        <v>1</v>
      </c>
      <c r="FM21" s="9">
        <f t="shared" si="90"/>
        <v>1</v>
      </c>
      <c r="FN21" s="9">
        <f t="shared" si="91"/>
        <v>0</v>
      </c>
      <c r="FO21" s="9">
        <f t="shared" si="92"/>
        <v>1</v>
      </c>
      <c r="FP21" s="9">
        <f>IF(SUM(Data[[#This Row],[¿El agente solicita coordenadas cuando es necesario?49]:[¿El agente maneja adecuadamente llamadas en conferencia?51]])=300%,100%,)</f>
        <v>0</v>
      </c>
      <c r="FQ21" s="9">
        <f t="shared" si="93"/>
        <v>1</v>
      </c>
      <c r="FR21" s="9">
        <f>+Data[[#This Row],[¿El agente registra correctamente todas las interacciones?52]]</f>
        <v>1</v>
      </c>
      <c r="FS21" s="9">
        <f t="shared" si="154"/>
        <v>0</v>
      </c>
      <c r="FT21" s="238">
        <f t="shared" si="155"/>
        <v>1</v>
      </c>
      <c r="FU21" s="9">
        <f>+Data[[#This Row],[¿El agente confirma la titularidad del cliente adecuadamente?53]]</f>
        <v>1</v>
      </c>
      <c r="FV21" s="238">
        <f t="shared" si="94"/>
        <v>1</v>
      </c>
      <c r="FW21" s="238">
        <f t="shared" si="95"/>
        <v>1</v>
      </c>
      <c r="FX21" s="9">
        <f>IF(SUM(Data[[#This Row],[¿El agente evita la omisión de alertas importantes?54]]:Data[[#This Row],[¿El agente mantiene conducta ética durante la interacción?55]])=200%,100%,)</f>
        <v>1</v>
      </c>
      <c r="FY21" s="238">
        <f t="shared" si="96"/>
        <v>1</v>
      </c>
      <c r="FZ21" s="9">
        <f>+Data[[#This Row],[¿El agente evita compartir información sensible?56]]</f>
        <v>1</v>
      </c>
      <c r="GA21" s="9">
        <f t="shared" si="156"/>
        <v>1</v>
      </c>
      <c r="GB21" s="239">
        <f t="shared" si="97"/>
        <v>0.1</v>
      </c>
      <c r="GC21" s="239">
        <f t="shared" si="98"/>
        <v>0.3</v>
      </c>
      <c r="GD21" s="240">
        <f t="shared" si="99"/>
        <v>0</v>
      </c>
      <c r="GE21" s="240">
        <f t="shared" si="100"/>
        <v>0.3</v>
      </c>
      <c r="GF21" s="9">
        <f>SUM(Data[[#This Row],[PESO PENC]:[PESO PECCUM]])</f>
        <v>0.7</v>
      </c>
      <c r="GG21" s="238">
        <f>1</f>
        <v>1</v>
      </c>
      <c r="GH21" s="238">
        <f t="shared" si="101"/>
        <v>1</v>
      </c>
      <c r="GI21" t="str">
        <f t="shared" si="102"/>
        <v/>
      </c>
      <c r="GJ21" t="str">
        <f t="shared" si="103"/>
        <v/>
      </c>
      <c r="GK21" t="str">
        <f t="shared" si="104"/>
        <v/>
      </c>
      <c r="GN21" t="str">
        <f t="shared" si="105"/>
        <v/>
      </c>
      <c r="GO21" t="str">
        <f t="shared" si="106"/>
        <v/>
      </c>
      <c r="GP21" t="str">
        <f t="shared" si="107"/>
        <v/>
      </c>
      <c r="GQ21" t="str">
        <f t="shared" si="108"/>
        <v/>
      </c>
      <c r="GR21" t="str">
        <f t="shared" si="109"/>
        <v/>
      </c>
      <c r="GS21" t="str">
        <f t="shared" si="110"/>
        <v/>
      </c>
      <c r="GT21" t="str">
        <f t="shared" si="111"/>
        <v/>
      </c>
      <c r="GU21" t="e">
        <f>IF(#REF!="No",#REF!,"")</f>
        <v>#REF!</v>
      </c>
      <c r="GV21" t="str">
        <f t="shared" si="112"/>
        <v/>
      </c>
      <c r="GW21" t="str">
        <f t="shared" si="113"/>
        <v/>
      </c>
      <c r="GX21" t="str">
        <f t="shared" si="114"/>
        <v/>
      </c>
      <c r="GY21" t="str">
        <f t="shared" si="115"/>
        <v/>
      </c>
      <c r="GZ21" t="str">
        <f t="shared" si="116"/>
        <v/>
      </c>
      <c r="HA21" t="str">
        <f t="shared" si="117"/>
        <v/>
      </c>
      <c r="HB21" t="str">
        <f t="shared" si="118"/>
        <v/>
      </c>
      <c r="HC21" t="str">
        <f t="shared" si="119"/>
        <v/>
      </c>
      <c r="HD21" t="str">
        <f t="shared" si="120"/>
        <v/>
      </c>
      <c r="HE21" t="str">
        <f t="shared" si="121"/>
        <v/>
      </c>
      <c r="HF21" t="str">
        <f t="shared" si="122"/>
        <v/>
      </c>
      <c r="HG21" t="str">
        <f t="shared" si="123"/>
        <v/>
      </c>
      <c r="HH21" t="str">
        <f t="shared" si="124"/>
        <v/>
      </c>
      <c r="HI21" t="str">
        <f t="shared" si="125"/>
        <v/>
      </c>
      <c r="HJ21" t="str">
        <f t="shared" si="126"/>
        <v/>
      </c>
      <c r="HK21" t="str">
        <f t="shared" si="127"/>
        <v/>
      </c>
      <c r="HL21" t="str">
        <f t="shared" si="128"/>
        <v/>
      </c>
      <c r="HM21" t="str">
        <f t="shared" si="129"/>
        <v/>
      </c>
      <c r="HN21" t="str">
        <f t="shared" si="130"/>
        <v/>
      </c>
      <c r="HO21" t="str">
        <f t="shared" si="131"/>
        <v/>
      </c>
      <c r="HP21" t="str">
        <f t="shared" si="132"/>
        <v/>
      </c>
      <c r="HQ21" t="str">
        <f t="shared" si="133"/>
        <v/>
      </c>
      <c r="HR21" t="e">
        <f>IF(#REF!="No",#REF!,"")</f>
        <v>#REF!</v>
      </c>
      <c r="HS21" t="str">
        <f t="shared" si="134"/>
        <v/>
      </c>
      <c r="HT21" t="str">
        <f t="shared" si="135"/>
        <v xml:space="preserve">¿El agente realiza venta cruzada cuando corresponde? </v>
      </c>
      <c r="HU21" t="str">
        <f t="shared" si="136"/>
        <v/>
      </c>
      <c r="HV21" t="str">
        <f t="shared" si="137"/>
        <v/>
      </c>
      <c r="HW21" t="str">
        <f t="shared" si="138"/>
        <v/>
      </c>
      <c r="HX21" t="str">
        <f t="shared" si="139"/>
        <v/>
      </c>
      <c r="HY21" t="str">
        <f t="shared" si="140"/>
        <v/>
      </c>
      <c r="HZ21" t="str">
        <f t="shared" si="141"/>
        <v/>
      </c>
      <c r="IA21" t="str">
        <f t="shared" si="142"/>
        <v xml:space="preserve">¿El agente gestiona la recepción de documentos por WhatsApp o correo? </v>
      </c>
      <c r="IB21" t="str">
        <f t="shared" si="143"/>
        <v/>
      </c>
      <c r="IC21" t="str">
        <f t="shared" si="144"/>
        <v/>
      </c>
      <c r="ID21" s="238" t="str">
        <f t="shared" si="145"/>
        <v/>
      </c>
      <c r="IE21" s="238" t="str">
        <f t="shared" si="146"/>
        <v/>
      </c>
      <c r="IF21" s="238" t="str">
        <f t="shared" si="147"/>
        <v/>
      </c>
      <c r="IG21" s="238" t="str">
        <f t="shared" si="148"/>
        <v/>
      </c>
      <c r="IH21" s="241" t="str">
        <f>A21&amp;" "&amp;F21&amp;" "&amp;Data[[#This Row],[mes]]</f>
        <v>Yaelin Bethancourt Outbound jun-26</v>
      </c>
      <c r="II21" s="244">
        <f>COUNTIF($IH21:$IH54,IH21)</f>
        <v>1</v>
      </c>
      <c r="IJ21" s="241">
        <f>IF(COUNTIF($IH$4:IH21,IH21)=1,1,0)</f>
        <v>0</v>
      </c>
      <c r="IK21" s="244">
        <f>IF(Data[[#This Row],[Muestra Critica]]&gt;0,Data[[#This Row],[Muestra Critica]],"")</f>
        <v>1</v>
      </c>
      <c r="IL21" s="238">
        <f>IF(IK21="","",COUNTIF($IK$4:$IK53,IK21))</f>
        <v>26</v>
      </c>
      <c r="IM21">
        <f t="shared" si="149"/>
        <v>0</v>
      </c>
      <c r="IN21" s="241" t="str">
        <f t="shared" si="150"/>
        <v>jun-26</v>
      </c>
      <c r="IO21" s="241"/>
      <c r="IP21" s="241"/>
      <c r="IQ21" s="241"/>
      <c r="IR21" s="241"/>
      <c r="IS21" s="241">
        <f>IFERROR(_xlfn.XLOOKUP(A:A,HC!B:B,HC!E:E,,0),0)</f>
        <v>0</v>
      </c>
    </row>
    <row r="22" spans="1:253" ht="15.5" x14ac:dyDescent="0.35">
      <c r="A22" s="232" t="s">
        <v>416</v>
      </c>
      <c r="B22" s="232">
        <v>69469182</v>
      </c>
      <c r="C22" s="242">
        <v>46194</v>
      </c>
      <c r="D22" s="232" t="s">
        <v>406</v>
      </c>
      <c r="E22" s="232" t="s">
        <v>398</v>
      </c>
      <c r="F22" s="232" t="s">
        <v>32</v>
      </c>
      <c r="G22" s="232" t="s">
        <v>402</v>
      </c>
      <c r="H22" s="232" t="s">
        <v>420</v>
      </c>
      <c r="I22" s="233" t="s">
        <v>412</v>
      </c>
      <c r="J22" s="234" t="s">
        <v>33</v>
      </c>
      <c r="K22" s="234" t="s">
        <v>33</v>
      </c>
      <c r="L22" s="234" t="s">
        <v>33</v>
      </c>
      <c r="M22" s="234" t="s">
        <v>33</v>
      </c>
      <c r="N22" s="234" t="s">
        <v>33</v>
      </c>
      <c r="O22" s="234" t="s">
        <v>33</v>
      </c>
      <c r="P22" s="234" t="s">
        <v>33</v>
      </c>
      <c r="Q22" s="234" t="s">
        <v>33</v>
      </c>
      <c r="R22" s="234" t="s">
        <v>33</v>
      </c>
      <c r="S22" s="234" t="s">
        <v>33</v>
      </c>
      <c r="T22" s="234" t="s">
        <v>33</v>
      </c>
      <c r="U22" s="234" t="s">
        <v>33</v>
      </c>
      <c r="V22" s="235" t="s">
        <v>33</v>
      </c>
      <c r="W22" s="235" t="s">
        <v>33</v>
      </c>
      <c r="X22" s="235" t="s">
        <v>33</v>
      </c>
      <c r="Y22" s="235" t="s">
        <v>33</v>
      </c>
      <c r="Z22" s="235" t="s">
        <v>33</v>
      </c>
      <c r="AA22" s="235" t="s">
        <v>33</v>
      </c>
      <c r="AB22" s="235" t="s">
        <v>33</v>
      </c>
      <c r="AC22" s="235" t="s">
        <v>33</v>
      </c>
      <c r="AD22" s="235" t="s">
        <v>33</v>
      </c>
      <c r="AE22" s="235" t="s">
        <v>33</v>
      </c>
      <c r="AF22" s="235" t="s">
        <v>33</v>
      </c>
      <c r="AG22" s="235" t="s">
        <v>33</v>
      </c>
      <c r="AH22" s="235" t="s">
        <v>33</v>
      </c>
      <c r="AI22" s="235" t="s">
        <v>33</v>
      </c>
      <c r="AJ22" s="235" t="s">
        <v>33</v>
      </c>
      <c r="AK22" s="235" t="s">
        <v>33</v>
      </c>
      <c r="AL22" s="235" t="s">
        <v>33</v>
      </c>
      <c r="AM22" s="235" t="s">
        <v>33</v>
      </c>
      <c r="AN22" s="235" t="s">
        <v>33</v>
      </c>
      <c r="AO22" s="235" t="s">
        <v>33</v>
      </c>
      <c r="AP22" s="235" t="s">
        <v>33</v>
      </c>
      <c r="AQ22" s="235" t="s">
        <v>33</v>
      </c>
      <c r="AR22" s="235" t="s">
        <v>33</v>
      </c>
      <c r="AS22" s="235" t="s">
        <v>33</v>
      </c>
      <c r="AT22" s="235" t="s">
        <v>33</v>
      </c>
      <c r="AU22" s="235" t="s">
        <v>33</v>
      </c>
      <c r="AV22" s="235" t="s">
        <v>33</v>
      </c>
      <c r="AW22" s="235" t="s">
        <v>34</v>
      </c>
      <c r="AX22" s="235" t="s">
        <v>33</v>
      </c>
      <c r="AY22" s="235" t="s">
        <v>33</v>
      </c>
      <c r="AZ22" s="235" t="s">
        <v>33</v>
      </c>
      <c r="BA22" s="235" t="s">
        <v>33</v>
      </c>
      <c r="BB22" s="235" t="s">
        <v>33</v>
      </c>
      <c r="BC22" s="236" t="s">
        <v>33</v>
      </c>
      <c r="BD22" s="236" t="s">
        <v>33</v>
      </c>
      <c r="BE22" s="236" t="s">
        <v>33</v>
      </c>
      <c r="BF22" s="237" t="s">
        <v>33</v>
      </c>
      <c r="BG22" s="241"/>
      <c r="BH22" s="245" t="str">
        <f>Data[[#This Row],[Tipo de Muestra]]</f>
        <v>Critica</v>
      </c>
      <c r="BI22" s="241"/>
      <c r="BJ22" s="241"/>
      <c r="BK22">
        <f t="shared" si="0"/>
        <v>1</v>
      </c>
      <c r="BL22">
        <f t="shared" si="1"/>
        <v>1</v>
      </c>
      <c r="BM22">
        <f t="shared" si="2"/>
        <v>1</v>
      </c>
      <c r="BN22">
        <f t="shared" si="3"/>
        <v>1</v>
      </c>
      <c r="BO22">
        <f t="shared" si="4"/>
        <v>1</v>
      </c>
      <c r="BP22">
        <f t="shared" si="5"/>
        <v>1</v>
      </c>
      <c r="BQ22">
        <f t="shared" si="6"/>
        <v>1</v>
      </c>
      <c r="BR22">
        <f t="shared" si="7"/>
        <v>1</v>
      </c>
      <c r="BS22">
        <f t="shared" si="8"/>
        <v>1</v>
      </c>
      <c r="BT22">
        <f t="shared" si="9"/>
        <v>1</v>
      </c>
      <c r="BU22">
        <f t="shared" si="10"/>
        <v>1</v>
      </c>
      <c r="BV22">
        <f t="shared" si="11"/>
        <v>1</v>
      </c>
      <c r="BW22">
        <f t="shared" si="12"/>
        <v>1</v>
      </c>
      <c r="BX22">
        <f t="shared" si="13"/>
        <v>1</v>
      </c>
      <c r="BY22">
        <f t="shared" si="14"/>
        <v>0</v>
      </c>
      <c r="BZ22">
        <f t="shared" si="15"/>
        <v>0</v>
      </c>
      <c r="CA22">
        <f t="shared" si="16"/>
        <v>0</v>
      </c>
      <c r="CB22">
        <f t="shared" si="17"/>
        <v>0</v>
      </c>
      <c r="CC22">
        <f t="shared" si="18"/>
        <v>0</v>
      </c>
      <c r="CD22">
        <f t="shared" si="19"/>
        <v>0</v>
      </c>
      <c r="CE22">
        <f t="shared" si="20"/>
        <v>0</v>
      </c>
      <c r="CF22">
        <f t="shared" si="21"/>
        <v>0</v>
      </c>
      <c r="CG22">
        <f t="shared" si="22"/>
        <v>0</v>
      </c>
      <c r="CH22">
        <f t="shared" si="23"/>
        <v>0</v>
      </c>
      <c r="CI22">
        <f t="shared" si="24"/>
        <v>0</v>
      </c>
      <c r="CJ22">
        <f t="shared" si="25"/>
        <v>0</v>
      </c>
      <c r="CK22">
        <f t="shared" si="26"/>
        <v>0</v>
      </c>
      <c r="CL22">
        <f t="shared" si="27"/>
        <v>0</v>
      </c>
      <c r="CM22">
        <f t="shared" si="28"/>
        <v>0</v>
      </c>
      <c r="CN22">
        <f t="shared" si="29"/>
        <v>0</v>
      </c>
      <c r="CO22">
        <f t="shared" si="30"/>
        <v>0</v>
      </c>
      <c r="CP22">
        <f t="shared" si="31"/>
        <v>0</v>
      </c>
      <c r="CQ22">
        <f t="shared" si="32"/>
        <v>0</v>
      </c>
      <c r="CR22">
        <f t="shared" si="33"/>
        <v>0</v>
      </c>
      <c r="CS22">
        <f t="shared" si="34"/>
        <v>0</v>
      </c>
      <c r="CT22">
        <f t="shared" si="35"/>
        <v>0</v>
      </c>
      <c r="CU22">
        <f t="shared" si="36"/>
        <v>0</v>
      </c>
      <c r="CV22">
        <f t="shared" si="37"/>
        <v>0</v>
      </c>
      <c r="CW22">
        <f t="shared" si="38"/>
        <v>0</v>
      </c>
      <c r="CX22">
        <f t="shared" si="39"/>
        <v>0</v>
      </c>
      <c r="CY22">
        <f t="shared" si="40"/>
        <v>0</v>
      </c>
      <c r="CZ22">
        <f t="shared" si="41"/>
        <v>0</v>
      </c>
      <c r="DA22">
        <f t="shared" si="42"/>
        <v>0</v>
      </c>
      <c r="DB22">
        <f t="shared" si="43"/>
        <v>0</v>
      </c>
      <c r="DC22">
        <f t="shared" si="44"/>
        <v>0</v>
      </c>
      <c r="DD22" s="238">
        <f t="shared" si="45"/>
        <v>0</v>
      </c>
      <c r="DE22" s="238">
        <f t="shared" si="46"/>
        <v>0</v>
      </c>
      <c r="DF22" s="238">
        <f t="shared" si="47"/>
        <v>0</v>
      </c>
      <c r="DG22" s="238">
        <f t="shared" si="48"/>
        <v>1</v>
      </c>
      <c r="DH22" s="9">
        <f t="shared" si="49"/>
        <v>0.15</v>
      </c>
      <c r="DI22" s="9">
        <f t="shared" si="50"/>
        <v>0.15</v>
      </c>
      <c r="DJ22" s="9">
        <f t="shared" si="51"/>
        <v>0.15</v>
      </c>
      <c r="DK22" s="9">
        <f>IF(MIN(Data[[#This Row],[¿El agente cumple con la identificación formal y profesional?3]:[¿El agente realiza despedida corporativa?5]])=0,0,15%)</f>
        <v>0.15</v>
      </c>
      <c r="DL22" s="9">
        <f t="shared" si="52"/>
        <v>0.3</v>
      </c>
      <c r="DM22" s="9">
        <f t="shared" si="53"/>
        <v>0.3</v>
      </c>
      <c r="DN22" s="9">
        <f t="shared" si="54"/>
        <v>0.3</v>
      </c>
      <c r="DO22" s="9">
        <f t="shared" si="55"/>
        <v>0.3</v>
      </c>
      <c r="DP22" s="9">
        <f>IF(MIN(Data[[#This Row],[¿El agente demuestra escucha activa durante la gestión?6]:[¿El agente parafrasea para confirmar entendimiento?9]])=0,0,30%)</f>
        <v>0.3</v>
      </c>
      <c r="DQ22" s="9">
        <f t="shared" si="56"/>
        <v>0.3</v>
      </c>
      <c r="DR22" s="9">
        <f t="shared" si="57"/>
        <v>0.3</v>
      </c>
      <c r="DS22" s="9">
        <f t="shared" si="58"/>
        <v>0.3</v>
      </c>
      <c r="DT22" s="9">
        <f t="shared" si="59"/>
        <v>0.3</v>
      </c>
      <c r="DU22" s="239">
        <f>IF(MIN(Data[[#This Row],[¿El agente adapta su comunicación al cliente?11]:[¿El agente utiliza el plural corporativo correctamente?14]])=0,0,30%)</f>
        <v>0.3</v>
      </c>
      <c r="DV22" s="9">
        <f t="shared" si="60"/>
        <v>0.25</v>
      </c>
      <c r="DW22" s="9">
        <f t="shared" si="151"/>
        <v>0.25</v>
      </c>
      <c r="DX22" s="9">
        <f t="shared" si="152"/>
        <v>1</v>
      </c>
      <c r="DY22" s="9">
        <f t="shared" si="61"/>
        <v>1</v>
      </c>
      <c r="DZ22" s="9">
        <f t="shared" si="62"/>
        <v>1</v>
      </c>
      <c r="EA22" s="9">
        <f t="shared" si="63"/>
        <v>1</v>
      </c>
      <c r="EB22" s="9">
        <f t="shared" si="64"/>
        <v>1</v>
      </c>
      <c r="EC22" s="9">
        <f>IF(SUM(Data[[#This Row],[¿El agente informa correctamente sobre los centros de pago?19]:[¿El agente explica el ciclo de facturación adecuadamente?22]])=400%,100%,0%)</f>
        <v>1</v>
      </c>
      <c r="ED22" s="9">
        <f t="shared" si="65"/>
        <v>1</v>
      </c>
      <c r="EE22" s="9">
        <f t="shared" si="66"/>
        <v>1</v>
      </c>
      <c r="EF22" s="9">
        <f>IF(SUM(Data[[#This Row],[¿El agente presenta correctamente los beneficios del producto?23]:[¿El agente comunica beneficios emocionales al cliente?24]])=200%,100%,0%)</f>
        <v>1</v>
      </c>
      <c r="EG22" s="9">
        <f t="shared" si="67"/>
        <v>1</v>
      </c>
      <c r="EH22" s="9">
        <f t="shared" si="68"/>
        <v>1</v>
      </c>
      <c r="EI22" s="9">
        <f t="shared" si="69"/>
        <v>1</v>
      </c>
      <c r="EJ22" s="9">
        <f>IF(SUM(Data[[#This Row],[¿El agente realiza un resumen comercial adecuado?25]:[¿El agente formaliza correctamente el acuerdo de venta?27]])=300%,100%,0%)</f>
        <v>1</v>
      </c>
      <c r="EK22" s="9">
        <f t="shared" si="70"/>
        <v>1</v>
      </c>
      <c r="EL22" s="9">
        <f>+Data[[#This Row],[¿El agente explica los términos y condiciones del servicio?28]]</f>
        <v>1</v>
      </c>
      <c r="EM22" s="9">
        <f t="shared" si="71"/>
        <v>1</v>
      </c>
      <c r="EN22" s="9">
        <f>+Data[[#This Row],[¿El agente identifica correctamente la solicitud del cliente?29]]</f>
        <v>1</v>
      </c>
      <c r="EO22" s="9">
        <f t="shared" si="72"/>
        <v>1</v>
      </c>
      <c r="EP22" s="9">
        <f t="shared" si="73"/>
        <v>1</v>
      </c>
      <c r="EQ22" s="9">
        <f t="shared" si="74"/>
        <v>1</v>
      </c>
      <c r="ER22" s="9">
        <f>IF(SUM(Data[[#This Row],[¿El agente evita activar un servicio diferente al solicitado?30]:[¿El agente configura adecuadamente el producto contratado?32]])=300%,100%,0%)</f>
        <v>1</v>
      </c>
      <c r="ES22" s="9">
        <f t="shared" si="75"/>
        <v>1</v>
      </c>
      <c r="ET22" s="9">
        <f t="shared" si="76"/>
        <v>1</v>
      </c>
      <c r="EU22" s="9">
        <f>IF(SUM(Data[[#This Row],[¿El agente mantiene respeto y cordialidad en toda la interacción?33]:[¿El agente utiliza un lenguaje adecuado y profesional?34]])=200%,100%,0%)</f>
        <v>1</v>
      </c>
      <c r="EV22" s="9">
        <f t="shared" si="77"/>
        <v>1</v>
      </c>
      <c r="EW22" s="9">
        <f t="shared" si="78"/>
        <v>1</v>
      </c>
      <c r="EX22" s="9">
        <f t="shared" si="79"/>
        <v>1</v>
      </c>
      <c r="EY22" s="9">
        <f t="shared" si="80"/>
        <v>1</v>
      </c>
      <c r="EZ22" s="9">
        <f t="shared" si="81"/>
        <v>1</v>
      </c>
      <c r="FA22" s="9">
        <f t="shared" si="82"/>
        <v>1</v>
      </c>
      <c r="FB22" s="9">
        <f>IF(SUM(Data[[#This Row],[¿El agente verifica correctamente la cobertura?35]:[¿El agente agenda citas o gestiones cuando es necesario?41]])=600%,100%,0%)</f>
        <v>1</v>
      </c>
      <c r="FC22" s="9">
        <f t="shared" si="153"/>
        <v>1</v>
      </c>
      <c r="FD22" s="9">
        <f t="shared" si="83"/>
        <v>1</v>
      </c>
      <c r="FE22" s="9">
        <f t="shared" si="84"/>
        <v>1</v>
      </c>
      <c r="FF22" s="9">
        <f t="shared" si="85"/>
        <v>1</v>
      </c>
      <c r="FG22" s="9">
        <f t="shared" si="86"/>
        <v>1</v>
      </c>
      <c r="FH22" s="9">
        <f t="shared" si="87"/>
        <v>1</v>
      </c>
      <c r="FI22" s="9">
        <f t="shared" si="88"/>
        <v>0</v>
      </c>
      <c r="FJ22" s="9">
        <f>IF(SUM(Data[[#This Row],[¿El agente ofrece adecuadamente un producto adicional?42]:[¿El agente maneja correctamente las objeciones del cliente?47]])=600%,100%,)</f>
        <v>0</v>
      </c>
      <c r="FK22" s="9">
        <f t="shared" si="89"/>
        <v>1</v>
      </c>
      <c r="FL22" s="9">
        <f>+Data[[#This Row],[¿El agente gestiona la oferta según la campaña vigente?48]]</f>
        <v>1</v>
      </c>
      <c r="FM22" s="9">
        <f t="shared" si="90"/>
        <v>1</v>
      </c>
      <c r="FN22" s="9">
        <f t="shared" si="91"/>
        <v>1</v>
      </c>
      <c r="FO22" s="9">
        <f t="shared" si="92"/>
        <v>1</v>
      </c>
      <c r="FP22" s="9">
        <f>IF(SUM(Data[[#This Row],[¿El agente solicita coordenadas cuando es necesario?49]:[¿El agente maneja adecuadamente llamadas en conferencia?51]])=300%,100%,)</f>
        <v>1</v>
      </c>
      <c r="FQ22" s="9">
        <f t="shared" si="93"/>
        <v>1</v>
      </c>
      <c r="FR22" s="9">
        <f>+Data[[#This Row],[¿El agente registra correctamente todas las interacciones?52]]</f>
        <v>1</v>
      </c>
      <c r="FS22" s="9">
        <f t="shared" si="154"/>
        <v>0</v>
      </c>
      <c r="FT22" s="238">
        <f t="shared" si="155"/>
        <v>1</v>
      </c>
      <c r="FU22" s="9">
        <f>+Data[[#This Row],[¿El agente confirma la titularidad del cliente adecuadamente?53]]</f>
        <v>1</v>
      </c>
      <c r="FV22" s="238">
        <f t="shared" si="94"/>
        <v>1</v>
      </c>
      <c r="FW22" s="238">
        <f t="shared" si="95"/>
        <v>1</v>
      </c>
      <c r="FX22" s="9">
        <f>IF(SUM(Data[[#This Row],[¿El agente evita la omisión de alertas importantes?54]]:Data[[#This Row],[¿El agente mantiene conducta ética durante la interacción?55]])=200%,100%,)</f>
        <v>1</v>
      </c>
      <c r="FY22" s="238">
        <f t="shared" si="96"/>
        <v>1</v>
      </c>
      <c r="FZ22" s="9">
        <f>+Data[[#This Row],[¿El agente evita compartir información sensible?56]]</f>
        <v>1</v>
      </c>
      <c r="GA22" s="9">
        <f t="shared" si="156"/>
        <v>1</v>
      </c>
      <c r="GB22" s="239">
        <f t="shared" si="97"/>
        <v>0.1</v>
      </c>
      <c r="GC22" s="239">
        <f t="shared" si="98"/>
        <v>0.3</v>
      </c>
      <c r="GD22" s="240">
        <f t="shared" si="99"/>
        <v>0</v>
      </c>
      <c r="GE22" s="240">
        <f t="shared" si="100"/>
        <v>0.3</v>
      </c>
      <c r="GF22" s="9">
        <f>SUM(Data[[#This Row],[PESO PENC]:[PESO PECCUM]])</f>
        <v>0.7</v>
      </c>
      <c r="GG22" s="238">
        <f>1</f>
        <v>1</v>
      </c>
      <c r="GH22" s="238">
        <f t="shared" si="101"/>
        <v>1</v>
      </c>
      <c r="GI22" t="str">
        <f t="shared" si="102"/>
        <v/>
      </c>
      <c r="GJ22" t="str">
        <f t="shared" si="103"/>
        <v/>
      </c>
      <c r="GK22" t="str">
        <f t="shared" si="104"/>
        <v/>
      </c>
      <c r="GN22" t="str">
        <f t="shared" si="105"/>
        <v/>
      </c>
      <c r="GO22" t="str">
        <f t="shared" si="106"/>
        <v/>
      </c>
      <c r="GP22" t="str">
        <f t="shared" si="107"/>
        <v/>
      </c>
      <c r="GQ22" t="str">
        <f t="shared" si="108"/>
        <v/>
      </c>
      <c r="GR22" t="str">
        <f t="shared" si="109"/>
        <v/>
      </c>
      <c r="GS22" t="str">
        <f t="shared" si="110"/>
        <v/>
      </c>
      <c r="GT22" t="str">
        <f t="shared" si="111"/>
        <v/>
      </c>
      <c r="GU22" t="e">
        <f>IF(#REF!="No",#REF!,"")</f>
        <v>#REF!</v>
      </c>
      <c r="GV22" t="str">
        <f t="shared" si="112"/>
        <v/>
      </c>
      <c r="GW22" t="str">
        <f t="shared" si="113"/>
        <v/>
      </c>
      <c r="GX22" t="str">
        <f t="shared" si="114"/>
        <v/>
      </c>
      <c r="GY22" t="str">
        <f t="shared" si="115"/>
        <v/>
      </c>
      <c r="GZ22" t="str">
        <f t="shared" si="116"/>
        <v/>
      </c>
      <c r="HA22" t="str">
        <f t="shared" si="117"/>
        <v/>
      </c>
      <c r="HB22" t="str">
        <f t="shared" si="118"/>
        <v/>
      </c>
      <c r="HC22" t="str">
        <f t="shared" si="119"/>
        <v/>
      </c>
      <c r="HD22" t="str">
        <f t="shared" si="120"/>
        <v/>
      </c>
      <c r="HE22" t="str">
        <f t="shared" si="121"/>
        <v/>
      </c>
      <c r="HF22" t="str">
        <f t="shared" si="122"/>
        <v/>
      </c>
      <c r="HG22" t="str">
        <f t="shared" si="123"/>
        <v/>
      </c>
      <c r="HH22" t="str">
        <f t="shared" si="124"/>
        <v/>
      </c>
      <c r="HI22" t="str">
        <f t="shared" si="125"/>
        <v/>
      </c>
      <c r="HJ22" t="str">
        <f t="shared" si="126"/>
        <v/>
      </c>
      <c r="HK22" t="str">
        <f t="shared" si="127"/>
        <v/>
      </c>
      <c r="HL22" t="str">
        <f t="shared" si="128"/>
        <v/>
      </c>
      <c r="HM22" t="str">
        <f t="shared" si="129"/>
        <v/>
      </c>
      <c r="HN22" t="str">
        <f t="shared" si="130"/>
        <v/>
      </c>
      <c r="HO22" t="str">
        <f t="shared" si="131"/>
        <v/>
      </c>
      <c r="HP22" t="str">
        <f t="shared" si="132"/>
        <v/>
      </c>
      <c r="HQ22" t="str">
        <f t="shared" si="133"/>
        <v/>
      </c>
      <c r="HR22" t="e">
        <f>IF(#REF!="No",#REF!,"")</f>
        <v>#REF!</v>
      </c>
      <c r="HS22" t="str">
        <f t="shared" si="134"/>
        <v/>
      </c>
      <c r="HT22" t="str">
        <f t="shared" si="135"/>
        <v/>
      </c>
      <c r="HU22" t="str">
        <f t="shared" si="136"/>
        <v/>
      </c>
      <c r="HV22" t="str">
        <f t="shared" si="137"/>
        <v/>
      </c>
      <c r="HW22" t="str">
        <f t="shared" si="138"/>
        <v/>
      </c>
      <c r="HX22" t="str">
        <f t="shared" si="139"/>
        <v xml:space="preserve">¿El agente maneja correctamente las objeciones del cliente? </v>
      </c>
      <c r="HY22" t="str">
        <f t="shared" si="140"/>
        <v/>
      </c>
      <c r="HZ22" t="str">
        <f t="shared" si="141"/>
        <v/>
      </c>
      <c r="IA22" t="str">
        <f t="shared" si="142"/>
        <v/>
      </c>
      <c r="IB22" t="str">
        <f t="shared" si="143"/>
        <v/>
      </c>
      <c r="IC22" t="str">
        <f t="shared" si="144"/>
        <v/>
      </c>
      <c r="ID22" s="238" t="str">
        <f t="shared" si="145"/>
        <v/>
      </c>
      <c r="IE22" s="238" t="str">
        <f t="shared" si="146"/>
        <v/>
      </c>
      <c r="IF22" s="238" t="str">
        <f t="shared" si="147"/>
        <v/>
      </c>
      <c r="IG22" s="238" t="str">
        <f t="shared" si="148"/>
        <v/>
      </c>
      <c r="IH22" s="241" t="str">
        <f>A22&amp;" "&amp;F22&amp;" "&amp;Data[[#This Row],[mes]]</f>
        <v>David Gonzalez Outbound jun-26</v>
      </c>
      <c r="II22" s="244">
        <f>COUNTIF($IH22:$IH55,IH22)</f>
        <v>1</v>
      </c>
      <c r="IJ22" s="241">
        <f>IF(COUNTIF($IH$4:IH22,IH22)=1,1,0)</f>
        <v>0</v>
      </c>
      <c r="IK22" s="244">
        <f>IF(Data[[#This Row],[Muestra Critica]]&gt;0,Data[[#This Row],[Muestra Critica]],"")</f>
        <v>1</v>
      </c>
      <c r="IL22" s="238">
        <f>IF(IK22="","",COUNTIF($IK$4:$IK54,IK22))</f>
        <v>26</v>
      </c>
      <c r="IM22">
        <f t="shared" si="149"/>
        <v>0</v>
      </c>
      <c r="IN22" s="241" t="str">
        <f t="shared" si="150"/>
        <v>jun-26</v>
      </c>
      <c r="IO22" s="241"/>
      <c r="IP22" s="241"/>
      <c r="IQ22" s="241"/>
      <c r="IR22" s="241"/>
      <c r="IS22" s="241">
        <f>IFERROR(_xlfn.XLOOKUP(A:A,HC!B:B,HC!E:E,,0),0)</f>
        <v>0</v>
      </c>
    </row>
    <row r="23" spans="1:253" ht="15.5" x14ac:dyDescent="0.35">
      <c r="A23" s="232" t="s">
        <v>418</v>
      </c>
      <c r="B23" s="232">
        <v>69181791</v>
      </c>
      <c r="C23" s="242">
        <v>46193</v>
      </c>
      <c r="D23" s="232" t="s">
        <v>406</v>
      </c>
      <c r="E23" s="232" t="s">
        <v>398</v>
      </c>
      <c r="F23" s="232" t="s">
        <v>32</v>
      </c>
      <c r="G23" s="232" t="s">
        <v>402</v>
      </c>
      <c r="H23" s="232" t="s">
        <v>420</v>
      </c>
      <c r="I23" s="233" t="s">
        <v>412</v>
      </c>
      <c r="J23" s="234" t="s">
        <v>33</v>
      </c>
      <c r="K23" s="234" t="s">
        <v>33</v>
      </c>
      <c r="L23" s="234" t="s">
        <v>33</v>
      </c>
      <c r="M23" s="234" t="s">
        <v>33</v>
      </c>
      <c r="N23" s="234" t="s">
        <v>33</v>
      </c>
      <c r="O23" s="234" t="s">
        <v>33</v>
      </c>
      <c r="P23" s="234" t="s">
        <v>33</v>
      </c>
      <c r="Q23" s="234" t="s">
        <v>33</v>
      </c>
      <c r="R23" s="234" t="s">
        <v>33</v>
      </c>
      <c r="S23" s="234" t="s">
        <v>33</v>
      </c>
      <c r="T23" s="234" t="s">
        <v>33</v>
      </c>
      <c r="U23" s="234" t="s">
        <v>33</v>
      </c>
      <c r="V23" s="235" t="s">
        <v>33</v>
      </c>
      <c r="W23" s="235" t="s">
        <v>33</v>
      </c>
      <c r="X23" s="235" t="s">
        <v>33</v>
      </c>
      <c r="Y23" s="235" t="s">
        <v>33</v>
      </c>
      <c r="Z23" s="235" t="s">
        <v>33</v>
      </c>
      <c r="AA23" s="235" t="s">
        <v>33</v>
      </c>
      <c r="AB23" s="235" t="s">
        <v>33</v>
      </c>
      <c r="AC23" s="235" t="s">
        <v>33</v>
      </c>
      <c r="AD23" s="235" t="s">
        <v>33</v>
      </c>
      <c r="AE23" s="235" t="s">
        <v>33</v>
      </c>
      <c r="AF23" s="235" t="s">
        <v>33</v>
      </c>
      <c r="AG23" s="235" t="s">
        <v>33</v>
      </c>
      <c r="AH23" s="235" t="s">
        <v>33</v>
      </c>
      <c r="AI23" s="235" t="s">
        <v>33</v>
      </c>
      <c r="AJ23" s="235" t="s">
        <v>33</v>
      </c>
      <c r="AK23" s="235" t="s">
        <v>33</v>
      </c>
      <c r="AL23" s="235" t="s">
        <v>33</v>
      </c>
      <c r="AM23" s="235" t="s">
        <v>33</v>
      </c>
      <c r="AN23" s="235" t="s">
        <v>33</v>
      </c>
      <c r="AO23" s="235" t="s">
        <v>33</v>
      </c>
      <c r="AP23" s="235" t="s">
        <v>33</v>
      </c>
      <c r="AQ23" s="235" t="s">
        <v>33</v>
      </c>
      <c r="AR23" s="235" t="s">
        <v>33</v>
      </c>
      <c r="AS23" s="235" t="s">
        <v>33</v>
      </c>
      <c r="AT23" s="235" t="s">
        <v>33</v>
      </c>
      <c r="AU23" s="235" t="s">
        <v>33</v>
      </c>
      <c r="AV23" s="235" t="s">
        <v>33</v>
      </c>
      <c r="AW23" s="235" t="s">
        <v>34</v>
      </c>
      <c r="AX23" s="235" t="s">
        <v>33</v>
      </c>
      <c r="AY23" s="235" t="s">
        <v>33</v>
      </c>
      <c r="AZ23" s="235" t="s">
        <v>33</v>
      </c>
      <c r="BA23" s="235" t="s">
        <v>33</v>
      </c>
      <c r="BB23" s="235" t="s">
        <v>33</v>
      </c>
      <c r="BC23" s="236" t="s">
        <v>33</v>
      </c>
      <c r="BD23" s="236" t="s">
        <v>33</v>
      </c>
      <c r="BE23" s="236" t="s">
        <v>33</v>
      </c>
      <c r="BF23" s="237" t="s">
        <v>33</v>
      </c>
      <c r="BG23" s="241"/>
      <c r="BH23" s="245" t="str">
        <f>Data[[#This Row],[Tipo de Muestra]]</f>
        <v>Critica</v>
      </c>
      <c r="BI23" s="241"/>
      <c r="BJ23" s="241"/>
      <c r="BK23">
        <f t="shared" ref="BK23:BX24" si="157">IF(OR(J23="Si",J23="N/A"),1,0)</f>
        <v>1</v>
      </c>
      <c r="BL23">
        <f t="shared" si="157"/>
        <v>1</v>
      </c>
      <c r="BM23">
        <f t="shared" si="157"/>
        <v>1</v>
      </c>
      <c r="BN23">
        <f t="shared" si="157"/>
        <v>1</v>
      </c>
      <c r="BO23">
        <f t="shared" si="157"/>
        <v>1</v>
      </c>
      <c r="BP23">
        <f t="shared" si="157"/>
        <v>1</v>
      </c>
      <c r="BQ23">
        <f t="shared" si="157"/>
        <v>1</v>
      </c>
      <c r="BR23">
        <f t="shared" si="157"/>
        <v>1</v>
      </c>
      <c r="BS23">
        <f t="shared" si="157"/>
        <v>1</v>
      </c>
      <c r="BT23">
        <f t="shared" si="157"/>
        <v>1</v>
      </c>
      <c r="BU23">
        <f t="shared" si="157"/>
        <v>1</v>
      </c>
      <c r="BV23">
        <f t="shared" si="157"/>
        <v>1</v>
      </c>
      <c r="BW23">
        <f t="shared" si="157"/>
        <v>1</v>
      </c>
      <c r="BX23">
        <f t="shared" si="157"/>
        <v>1</v>
      </c>
      <c r="BY23">
        <f t="shared" ref="BY23:CH24" si="158">IF(OR(X23="Sí",X23="N/A"),1,0)</f>
        <v>0</v>
      </c>
      <c r="BZ23">
        <f t="shared" si="158"/>
        <v>0</v>
      </c>
      <c r="CA23">
        <f t="shared" si="158"/>
        <v>0</v>
      </c>
      <c r="CB23">
        <f t="shared" si="158"/>
        <v>0</v>
      </c>
      <c r="CC23">
        <f t="shared" si="158"/>
        <v>0</v>
      </c>
      <c r="CD23">
        <f t="shared" si="158"/>
        <v>0</v>
      </c>
      <c r="CE23">
        <f t="shared" si="158"/>
        <v>0</v>
      </c>
      <c r="CF23">
        <f t="shared" si="158"/>
        <v>0</v>
      </c>
      <c r="CG23">
        <f t="shared" si="158"/>
        <v>0</v>
      </c>
      <c r="CH23">
        <f t="shared" si="158"/>
        <v>0</v>
      </c>
      <c r="CI23">
        <f t="shared" ref="CI23:CR24" si="159">IF(OR(AH23="Sí",AH23="N/A"),1,0)</f>
        <v>0</v>
      </c>
      <c r="CJ23">
        <f t="shared" si="159"/>
        <v>0</v>
      </c>
      <c r="CK23">
        <f t="shared" si="159"/>
        <v>0</v>
      </c>
      <c r="CL23">
        <f t="shared" si="159"/>
        <v>0</v>
      </c>
      <c r="CM23">
        <f t="shared" si="159"/>
        <v>0</v>
      </c>
      <c r="CN23">
        <f t="shared" si="159"/>
        <v>0</v>
      </c>
      <c r="CO23">
        <f t="shared" si="159"/>
        <v>0</v>
      </c>
      <c r="CP23">
        <f t="shared" si="159"/>
        <v>0</v>
      </c>
      <c r="CQ23">
        <f t="shared" si="159"/>
        <v>0</v>
      </c>
      <c r="CR23">
        <f t="shared" si="159"/>
        <v>0</v>
      </c>
      <c r="CS23">
        <f t="shared" ref="CS23:DB24" si="160">IF(OR(AR23="Sí",AR23="N/A"),1,0)</f>
        <v>0</v>
      </c>
      <c r="CT23">
        <f t="shared" si="160"/>
        <v>0</v>
      </c>
      <c r="CU23">
        <f t="shared" si="160"/>
        <v>0</v>
      </c>
      <c r="CV23">
        <f t="shared" si="160"/>
        <v>0</v>
      </c>
      <c r="CW23">
        <f t="shared" si="160"/>
        <v>0</v>
      </c>
      <c r="CX23">
        <f t="shared" si="160"/>
        <v>0</v>
      </c>
      <c r="CY23">
        <f t="shared" si="160"/>
        <v>0</v>
      </c>
      <c r="CZ23">
        <f t="shared" si="160"/>
        <v>0</v>
      </c>
      <c r="DA23">
        <f t="shared" si="160"/>
        <v>0</v>
      </c>
      <c r="DB23">
        <f t="shared" si="160"/>
        <v>0</v>
      </c>
      <c r="DC23">
        <f t="shared" ref="DC23:DF24" si="161">IF(OR(BB23="Sí",BB23="N/A"),1,0)</f>
        <v>0</v>
      </c>
      <c r="DD23" s="238">
        <f t="shared" si="161"/>
        <v>0</v>
      </c>
      <c r="DE23" s="238">
        <f t="shared" si="161"/>
        <v>0</v>
      </c>
      <c r="DF23" s="238">
        <f t="shared" si="161"/>
        <v>0</v>
      </c>
      <c r="DG23" s="238">
        <f>IF(OR(BF23="Si",BF23="N/A"),1,0)</f>
        <v>1</v>
      </c>
      <c r="DH23" s="9">
        <f t="shared" ref="DH23:DJ24" si="162">IF((J23="No"),0,$DH$2)</f>
        <v>0.15</v>
      </c>
      <c r="DI23" s="9">
        <f t="shared" si="162"/>
        <v>0.15</v>
      </c>
      <c r="DJ23" s="9">
        <f t="shared" si="162"/>
        <v>0.15</v>
      </c>
      <c r="DK23" s="9">
        <f>IF(MIN(Data[[#This Row],[¿El agente cumple con la identificación formal y profesional?3]:[¿El agente realiza despedida corporativa?5]])=0,0,15%)</f>
        <v>0.15</v>
      </c>
      <c r="DL23" s="9">
        <f t="shared" ref="DL23:DO24" si="163">IF((M23="No"),0,$DL$2)</f>
        <v>0.3</v>
      </c>
      <c r="DM23" s="9">
        <f t="shared" si="163"/>
        <v>0.3</v>
      </c>
      <c r="DN23" s="9">
        <f t="shared" si="163"/>
        <v>0.3</v>
      </c>
      <c r="DO23" s="9">
        <f t="shared" si="163"/>
        <v>0.3</v>
      </c>
      <c r="DP23" s="9">
        <f>IF(MIN(Data[[#This Row],[¿El agente demuestra escucha activa durante la gestión?6]:[¿El agente parafrasea para confirmar entendimiento?9]])=0,0,30%)</f>
        <v>0.3</v>
      </c>
      <c r="DQ23" s="9">
        <f t="shared" ref="DQ23:DT24" si="164">IF((Q23="No"),0,$DQ$2)</f>
        <v>0.3</v>
      </c>
      <c r="DR23" s="9">
        <f t="shared" si="164"/>
        <v>0.3</v>
      </c>
      <c r="DS23" s="9">
        <f t="shared" si="164"/>
        <v>0.3</v>
      </c>
      <c r="DT23" s="9">
        <f t="shared" si="164"/>
        <v>0.3</v>
      </c>
      <c r="DU23" s="239">
        <f>IF(MIN(Data[[#This Row],[¿El agente adapta su comunicación al cliente?11]:[¿El agente utiliza el plural corporativo correctamente?14]])=0,0,30%)</f>
        <v>0.3</v>
      </c>
      <c r="DV23" s="9">
        <f>IF((U23="No"),0,$DV$2)</f>
        <v>0.25</v>
      </c>
      <c r="DW23" s="9">
        <f>IF(MIN(DV23)=0,0,25%)</f>
        <v>0.25</v>
      </c>
      <c r="DX23" s="9">
        <f>IF(SUM(DK23,DP23,DU23,DW23)&gt;335%,100%,SUM(DK23,DP23,DU23,DW23)/100%)</f>
        <v>1</v>
      </c>
      <c r="DY23" s="9">
        <f t="shared" ref="DY23:EB24" si="165">IF((W23="No"),0,$DY$2)</f>
        <v>1</v>
      </c>
      <c r="DZ23" s="9">
        <f t="shared" si="165"/>
        <v>1</v>
      </c>
      <c r="EA23" s="9">
        <f t="shared" si="165"/>
        <v>1</v>
      </c>
      <c r="EB23" s="9">
        <f t="shared" si="165"/>
        <v>1</v>
      </c>
      <c r="EC23" s="9">
        <f>IF(SUM(Data[[#This Row],[¿El agente informa correctamente sobre los centros de pago?19]:[¿El agente explica el ciclo de facturación adecuadamente?22]])=400%,100%,0%)</f>
        <v>1</v>
      </c>
      <c r="ED23" s="9">
        <f>IF((AA23="No"),0,$DY$2)</f>
        <v>1</v>
      </c>
      <c r="EE23" s="9">
        <f>IF((AB23="No"),0,$DY$2)</f>
        <v>1</v>
      </c>
      <c r="EF23" s="9">
        <f>IF(SUM(Data[[#This Row],[¿El agente presenta correctamente los beneficios del producto?23]:[¿El agente comunica beneficios emocionales al cliente?24]])=200%,100%,0%)</f>
        <v>1</v>
      </c>
      <c r="EG23" s="9">
        <f t="shared" ref="EG23:EI24" si="166">IF((AC23="No"),0,$DY$2)</f>
        <v>1</v>
      </c>
      <c r="EH23" s="9">
        <f t="shared" si="166"/>
        <v>1</v>
      </c>
      <c r="EI23" s="9">
        <f t="shared" si="166"/>
        <v>1</v>
      </c>
      <c r="EJ23" s="9">
        <f>IF(SUM(Data[[#This Row],[¿El agente realiza un resumen comercial adecuado?25]:[¿El agente formaliza correctamente el acuerdo de venta?27]])=300%,100%,0%)</f>
        <v>1</v>
      </c>
      <c r="EK23" s="9">
        <f>IF((AF23="No"),0,$DY$2)</f>
        <v>1</v>
      </c>
      <c r="EL23" s="9">
        <f>+Data[[#This Row],[¿El agente explica los términos y condiciones del servicio?28]]</f>
        <v>1</v>
      </c>
      <c r="EM23" s="9">
        <f>IF((AG23="No"),0,$DY$2)</f>
        <v>1</v>
      </c>
      <c r="EN23" s="9">
        <f>+Data[[#This Row],[¿El agente identifica correctamente la solicitud del cliente?29]]</f>
        <v>1</v>
      </c>
      <c r="EO23" s="9">
        <f t="shared" ref="EO23:EQ24" si="167">IF((AH23="No"),0,$DY$2)</f>
        <v>1</v>
      </c>
      <c r="EP23" s="9">
        <f t="shared" si="167"/>
        <v>1</v>
      </c>
      <c r="EQ23" s="9">
        <f t="shared" si="167"/>
        <v>1</v>
      </c>
      <c r="ER23" s="9">
        <f>IF(SUM(Data[[#This Row],[¿El agente evita activar un servicio diferente al solicitado?30]:[¿El agente configura adecuadamente el producto contratado?32]])=300%,100%,0%)</f>
        <v>1</v>
      </c>
      <c r="ES23" s="9">
        <f>IF((AK23="No"),0,$DY$2)</f>
        <v>1</v>
      </c>
      <c r="ET23" s="9">
        <f>IF((AL23="No"),0,$DY$2)</f>
        <v>1</v>
      </c>
      <c r="EU23" s="9">
        <f>IF(SUM(Data[[#This Row],[¿El agente mantiene respeto y cordialidad en toda la interacción?33]:[¿El agente utiliza un lenguaje adecuado y profesional?34]])=200%,100%,0%)</f>
        <v>1</v>
      </c>
      <c r="EV23" s="9">
        <f t="shared" ref="EV23:FA24" si="168">IF((AM23="No"),0,$DY$2)</f>
        <v>1</v>
      </c>
      <c r="EW23" s="9">
        <f t="shared" si="168"/>
        <v>1</v>
      </c>
      <c r="EX23" s="9">
        <f t="shared" si="168"/>
        <v>1</v>
      </c>
      <c r="EY23" s="9">
        <f t="shared" si="168"/>
        <v>1</v>
      </c>
      <c r="EZ23" s="9">
        <f t="shared" si="168"/>
        <v>1</v>
      </c>
      <c r="FA23" s="9">
        <f t="shared" si="168"/>
        <v>1</v>
      </c>
      <c r="FB23" s="9">
        <f>IF(SUM(Data[[#This Row],[¿El agente verifica correctamente la cobertura?35]:[¿El agente agenda citas o gestiones cuando es necesario?41]])=600%,100%,0%)</f>
        <v>1</v>
      </c>
      <c r="FC23" s="9">
        <f>IF(SUM(EC23,EF23,EL23,EJ23,EN23,ER23,EU23,FB23)=800%,100%,0%)</f>
        <v>1</v>
      </c>
      <c r="FD23" s="9">
        <f t="shared" ref="FD23:FI24" si="169">IF((AR23="No"),0,$DY$2)</f>
        <v>1</v>
      </c>
      <c r="FE23" s="9">
        <f t="shared" si="169"/>
        <v>1</v>
      </c>
      <c r="FF23" s="9">
        <f t="shared" si="169"/>
        <v>1</v>
      </c>
      <c r="FG23" s="9">
        <f t="shared" si="169"/>
        <v>1</v>
      </c>
      <c r="FH23" s="9">
        <f t="shared" si="169"/>
        <v>1</v>
      </c>
      <c r="FI23" s="9">
        <f t="shared" si="169"/>
        <v>0</v>
      </c>
      <c r="FJ23" s="9">
        <f>IF(SUM(Data[[#This Row],[¿El agente ofrece adecuadamente un producto adicional?42]:[¿El agente maneja correctamente las objeciones del cliente?47]])=600%,100%,)</f>
        <v>0</v>
      </c>
      <c r="FK23" s="9">
        <f>IF((AX23="No"),0,$DY$2)</f>
        <v>1</v>
      </c>
      <c r="FL23" s="9">
        <f>+Data[[#This Row],[¿El agente gestiona la oferta según la campaña vigente?48]]</f>
        <v>1</v>
      </c>
      <c r="FM23" s="9">
        <f t="shared" ref="FM23:FO24" si="170">IF((AY23="No"),0,$DY$2)</f>
        <v>1</v>
      </c>
      <c r="FN23" s="9">
        <f t="shared" si="170"/>
        <v>1</v>
      </c>
      <c r="FO23" s="9">
        <f t="shared" si="170"/>
        <v>1</v>
      </c>
      <c r="FP23" s="9">
        <f>IF(SUM(Data[[#This Row],[¿El agente solicita coordenadas cuando es necesario?49]:[¿El agente maneja adecuadamente llamadas en conferencia?51]])=300%,100%,)</f>
        <v>1</v>
      </c>
      <c r="FQ23" s="9">
        <f>IF((BB23="No"),0,$DY$2)</f>
        <v>1</v>
      </c>
      <c r="FR23" s="9">
        <f>+Data[[#This Row],[¿El agente registra correctamente todas las interacciones?52]]</f>
        <v>1</v>
      </c>
      <c r="FS23" s="9">
        <f>IF(SUM(FJ23,FL23,FP23,FR23)=400%,100%,0)</f>
        <v>0</v>
      </c>
      <c r="FT23" s="238">
        <f>IF((BC23="No"),0,$DY$2)</f>
        <v>1</v>
      </c>
      <c r="FU23" s="9">
        <f>+Data[[#This Row],[¿El agente confirma la titularidad del cliente adecuadamente?53]]</f>
        <v>1</v>
      </c>
      <c r="FV23" s="238">
        <f>IF((BD23="No"),0,$DY$2)</f>
        <v>1</v>
      </c>
      <c r="FW23" s="238">
        <f>IF((BE23="No"),0,$DY$2)</f>
        <v>1</v>
      </c>
      <c r="FX23" s="9">
        <f>IF(SUM(Data[[#This Row],[¿El agente evita la omisión de alertas importantes?54]]:Data[[#This Row],[¿El agente mantiene conducta ética durante la interacción?55]])=200%,100%,)</f>
        <v>1</v>
      </c>
      <c r="FY23" s="238">
        <f>IF((BF23="No"),0,$DY$2)</f>
        <v>1</v>
      </c>
      <c r="FZ23" s="9">
        <f>+Data[[#This Row],[¿El agente evita compartir información sensible?56]]</f>
        <v>1</v>
      </c>
      <c r="GA23" s="9">
        <f>IF(SUM(FU23,FX23,FZ23)=300%,100%,)</f>
        <v>1</v>
      </c>
      <c r="GB23" s="239">
        <f>$GB$2*DX23</f>
        <v>0.1</v>
      </c>
      <c r="GC23" s="239">
        <f>$GC$2*FC23</f>
        <v>0.3</v>
      </c>
      <c r="GD23" s="240">
        <f>$GD$2*FS23</f>
        <v>0</v>
      </c>
      <c r="GE23" s="240">
        <f>$GE$2*GA23</f>
        <v>0.3</v>
      </c>
      <c r="GF23" s="9">
        <f>SUM(Data[[#This Row],[PESO PENC]:[PESO PECCUM]])</f>
        <v>0.7</v>
      </c>
      <c r="GG23" s="238">
        <f>1</f>
        <v>1</v>
      </c>
      <c r="GH23" s="238">
        <f>IF((BH23="Critica"),1,0)</f>
        <v>1</v>
      </c>
      <c r="GI23" t="str">
        <f t="shared" ref="GI23:GK24" si="171">IF(J23="No",J$3,"")</f>
        <v/>
      </c>
      <c r="GJ23" t="str">
        <f t="shared" si="171"/>
        <v/>
      </c>
      <c r="GK23" t="str">
        <f t="shared" si="171"/>
        <v/>
      </c>
      <c r="GN23" t="str">
        <f t="shared" ref="GN23:GT24" si="172">IF(O23="No",O$3,"")</f>
        <v/>
      </c>
      <c r="GO23" t="str">
        <f t="shared" si="172"/>
        <v/>
      </c>
      <c r="GP23" t="str">
        <f t="shared" si="172"/>
        <v/>
      </c>
      <c r="GQ23" t="str">
        <f t="shared" si="172"/>
        <v/>
      </c>
      <c r="GR23" t="str">
        <f t="shared" si="172"/>
        <v/>
      </c>
      <c r="GS23" t="str">
        <f t="shared" si="172"/>
        <v/>
      </c>
      <c r="GT23" t="str">
        <f t="shared" si="172"/>
        <v/>
      </c>
      <c r="GU23" t="e">
        <f>IF(#REF!="No",#REF!,"")</f>
        <v>#REF!</v>
      </c>
      <c r="GV23" t="str">
        <f t="shared" ref="GV23:HE24" si="173">IF(V23="No",V$3,"")</f>
        <v/>
      </c>
      <c r="GW23" t="str">
        <f t="shared" si="173"/>
        <v/>
      </c>
      <c r="GX23" t="str">
        <f t="shared" si="173"/>
        <v/>
      </c>
      <c r="GY23" t="str">
        <f t="shared" si="173"/>
        <v/>
      </c>
      <c r="GZ23" t="str">
        <f t="shared" si="173"/>
        <v/>
      </c>
      <c r="HA23" t="str">
        <f t="shared" si="173"/>
        <v/>
      </c>
      <c r="HB23" t="str">
        <f t="shared" si="173"/>
        <v/>
      </c>
      <c r="HC23" t="str">
        <f t="shared" si="173"/>
        <v/>
      </c>
      <c r="HD23" t="str">
        <f t="shared" si="173"/>
        <v/>
      </c>
      <c r="HE23" t="str">
        <f t="shared" si="173"/>
        <v/>
      </c>
      <c r="HF23" t="str">
        <f t="shared" ref="HF23:HO24" si="174">IF(AF23="No",AF$3,"")</f>
        <v/>
      </c>
      <c r="HG23" t="str">
        <f t="shared" si="174"/>
        <v/>
      </c>
      <c r="HH23" t="str">
        <f t="shared" si="174"/>
        <v/>
      </c>
      <c r="HI23" t="str">
        <f t="shared" si="174"/>
        <v/>
      </c>
      <c r="HJ23" t="str">
        <f t="shared" si="174"/>
        <v/>
      </c>
      <c r="HK23" t="str">
        <f t="shared" si="174"/>
        <v/>
      </c>
      <c r="HL23" t="str">
        <f t="shared" si="174"/>
        <v/>
      </c>
      <c r="HM23" t="str">
        <f t="shared" si="174"/>
        <v/>
      </c>
      <c r="HN23" t="str">
        <f t="shared" si="174"/>
        <v/>
      </c>
      <c r="HO23" t="str">
        <f t="shared" si="174"/>
        <v/>
      </c>
      <c r="HP23" t="str">
        <f t="shared" ref="HP23:HQ24" si="175">IF(AP23="No",AP$3,"")</f>
        <v/>
      </c>
      <c r="HQ23" t="str">
        <f t="shared" si="175"/>
        <v/>
      </c>
      <c r="HR23" t="e">
        <f>IF(#REF!="No",#REF!,"")</f>
        <v>#REF!</v>
      </c>
      <c r="HS23" t="str">
        <f t="shared" ref="HS23:IG24" si="176">IF(AR23="No",AR$3,"")</f>
        <v/>
      </c>
      <c r="HT23" t="str">
        <f t="shared" si="176"/>
        <v/>
      </c>
      <c r="HU23" t="str">
        <f t="shared" si="176"/>
        <v/>
      </c>
      <c r="HV23" t="str">
        <f t="shared" si="176"/>
        <v/>
      </c>
      <c r="HW23" t="str">
        <f t="shared" si="176"/>
        <v/>
      </c>
      <c r="HX23" t="str">
        <f t="shared" si="176"/>
        <v xml:space="preserve">¿El agente maneja correctamente las objeciones del cliente? </v>
      </c>
      <c r="HY23" t="str">
        <f t="shared" si="176"/>
        <v/>
      </c>
      <c r="HZ23" t="str">
        <f t="shared" si="176"/>
        <v/>
      </c>
      <c r="IA23" t="str">
        <f t="shared" si="176"/>
        <v/>
      </c>
      <c r="IB23" t="str">
        <f t="shared" si="176"/>
        <v/>
      </c>
      <c r="IC23" t="str">
        <f t="shared" si="176"/>
        <v/>
      </c>
      <c r="ID23" s="238" t="str">
        <f t="shared" si="176"/>
        <v/>
      </c>
      <c r="IE23" s="238" t="str">
        <f t="shared" si="176"/>
        <v/>
      </c>
      <c r="IF23" s="238" t="str">
        <f t="shared" si="176"/>
        <v/>
      </c>
      <c r="IG23" s="238" t="str">
        <f t="shared" si="176"/>
        <v/>
      </c>
      <c r="IH23" s="241" t="str">
        <f>A23&amp;" "&amp;F23&amp;" "&amp;Data[[#This Row],[mes]]</f>
        <v>Evelyn Torres Outbound jun-26</v>
      </c>
      <c r="II23" s="244">
        <f>COUNTIF($IH23:$IH56,IH23)</f>
        <v>1</v>
      </c>
      <c r="IJ23" s="241">
        <f>IF(COUNTIF($IH$4:IH23,IH23)=1,1,0)</f>
        <v>0</v>
      </c>
      <c r="IK23" s="244">
        <f>IF(Data[[#This Row],[Muestra Critica]]&gt;0,Data[[#This Row],[Muestra Critica]],"")</f>
        <v>1</v>
      </c>
      <c r="IL23" s="238">
        <f>IF(IK23="","",COUNTIF($IK$4:$IK55,IK23))</f>
        <v>26</v>
      </c>
      <c r="IM23">
        <f>IF(IL23=1,1,0)</f>
        <v>0</v>
      </c>
      <c r="IN23" s="241" t="str">
        <f t="shared" si="150"/>
        <v>jun-26</v>
      </c>
      <c r="IO23" s="241"/>
      <c r="IP23" s="241"/>
      <c r="IQ23" s="241"/>
      <c r="IR23" s="241"/>
      <c r="IS23" s="241">
        <f>IFERROR(_xlfn.XLOOKUP(A:A,HC!B:B,HC!E:E,,0),0)</f>
        <v>0</v>
      </c>
    </row>
    <row r="24" spans="1:253" ht="15.5" x14ac:dyDescent="0.35">
      <c r="A24" s="232" t="s">
        <v>415</v>
      </c>
      <c r="B24" s="232">
        <v>69617194</v>
      </c>
      <c r="C24" s="242">
        <v>46194</v>
      </c>
      <c r="D24" s="232" t="s">
        <v>406</v>
      </c>
      <c r="E24" s="232" t="s">
        <v>398</v>
      </c>
      <c r="F24" s="232" t="s">
        <v>32</v>
      </c>
      <c r="G24" s="232" t="s">
        <v>402</v>
      </c>
      <c r="H24" s="232" t="s">
        <v>427</v>
      </c>
      <c r="I24" s="233" t="s">
        <v>412</v>
      </c>
      <c r="J24" s="234" t="s">
        <v>33</v>
      </c>
      <c r="K24" s="234" t="s">
        <v>33</v>
      </c>
      <c r="L24" s="234" t="s">
        <v>33</v>
      </c>
      <c r="M24" s="234" t="s">
        <v>33</v>
      </c>
      <c r="N24" s="234" t="s">
        <v>33</v>
      </c>
      <c r="O24" s="234" t="s">
        <v>33</v>
      </c>
      <c r="P24" s="234" t="s">
        <v>33</v>
      </c>
      <c r="Q24" s="234" t="s">
        <v>33</v>
      </c>
      <c r="R24" s="234" t="s">
        <v>33</v>
      </c>
      <c r="S24" s="234" t="s">
        <v>33</v>
      </c>
      <c r="T24" s="234" t="s">
        <v>33</v>
      </c>
      <c r="U24" s="234" t="s">
        <v>33</v>
      </c>
      <c r="V24" s="235" t="s">
        <v>33</v>
      </c>
      <c r="W24" s="235" t="s">
        <v>33</v>
      </c>
      <c r="X24" s="235" t="s">
        <v>33</v>
      </c>
      <c r="Y24" s="235" t="s">
        <v>33</v>
      </c>
      <c r="Z24" s="235" t="s">
        <v>33</v>
      </c>
      <c r="AA24" s="235" t="s">
        <v>33</v>
      </c>
      <c r="AB24" s="235" t="s">
        <v>33</v>
      </c>
      <c r="AC24" s="235" t="s">
        <v>33</v>
      </c>
      <c r="AD24" s="235" t="s">
        <v>33</v>
      </c>
      <c r="AE24" s="235" t="s">
        <v>33</v>
      </c>
      <c r="AF24" s="235" t="s">
        <v>33</v>
      </c>
      <c r="AG24" s="235" t="s">
        <v>33</v>
      </c>
      <c r="AH24" s="235" t="s">
        <v>33</v>
      </c>
      <c r="AI24" s="235" t="s">
        <v>33</v>
      </c>
      <c r="AJ24" s="235" t="s">
        <v>33</v>
      </c>
      <c r="AK24" s="235" t="s">
        <v>33</v>
      </c>
      <c r="AL24" s="235" t="s">
        <v>33</v>
      </c>
      <c r="AM24" s="235" t="s">
        <v>33</v>
      </c>
      <c r="AN24" s="235" t="s">
        <v>33</v>
      </c>
      <c r="AO24" s="235" t="s">
        <v>33</v>
      </c>
      <c r="AP24" s="235" t="s">
        <v>33</v>
      </c>
      <c r="AQ24" s="235" t="s">
        <v>33</v>
      </c>
      <c r="AR24" s="235" t="s">
        <v>33</v>
      </c>
      <c r="AS24" s="235" t="s">
        <v>34</v>
      </c>
      <c r="AT24" s="235" t="s">
        <v>33</v>
      </c>
      <c r="AU24" s="235" t="s">
        <v>33</v>
      </c>
      <c r="AV24" s="235" t="s">
        <v>33</v>
      </c>
      <c r="AW24" s="235" t="s">
        <v>34</v>
      </c>
      <c r="AX24" s="235" t="s">
        <v>33</v>
      </c>
      <c r="AY24" s="235" t="s">
        <v>33</v>
      </c>
      <c r="AZ24" s="235" t="s">
        <v>33</v>
      </c>
      <c r="BA24" s="235" t="s">
        <v>33</v>
      </c>
      <c r="BB24" s="235" t="s">
        <v>33</v>
      </c>
      <c r="BC24" s="236" t="s">
        <v>33</v>
      </c>
      <c r="BD24" s="236" t="s">
        <v>33</v>
      </c>
      <c r="BE24" s="236" t="s">
        <v>33</v>
      </c>
      <c r="BF24" s="237" t="s">
        <v>33</v>
      </c>
      <c r="BG24" s="241"/>
      <c r="BH24" s="245" t="str">
        <f>Data[[#This Row],[Tipo de Muestra]]</f>
        <v>Critica</v>
      </c>
      <c r="BI24" s="241"/>
      <c r="BJ24" s="241"/>
      <c r="BK24">
        <f t="shared" si="157"/>
        <v>1</v>
      </c>
      <c r="BL24">
        <f t="shared" si="157"/>
        <v>1</v>
      </c>
      <c r="BM24">
        <f t="shared" si="157"/>
        <v>1</v>
      </c>
      <c r="BN24">
        <f t="shared" si="157"/>
        <v>1</v>
      </c>
      <c r="BO24">
        <f t="shared" si="157"/>
        <v>1</v>
      </c>
      <c r="BP24">
        <f t="shared" si="157"/>
        <v>1</v>
      </c>
      <c r="BQ24">
        <f t="shared" si="157"/>
        <v>1</v>
      </c>
      <c r="BR24">
        <f t="shared" si="157"/>
        <v>1</v>
      </c>
      <c r="BS24">
        <f t="shared" si="157"/>
        <v>1</v>
      </c>
      <c r="BT24">
        <f t="shared" si="157"/>
        <v>1</v>
      </c>
      <c r="BU24">
        <f t="shared" si="157"/>
        <v>1</v>
      </c>
      <c r="BV24">
        <f t="shared" si="157"/>
        <v>1</v>
      </c>
      <c r="BW24">
        <f t="shared" si="157"/>
        <v>1</v>
      </c>
      <c r="BX24">
        <f t="shared" si="157"/>
        <v>1</v>
      </c>
      <c r="BY24">
        <f t="shared" si="158"/>
        <v>0</v>
      </c>
      <c r="BZ24">
        <f t="shared" si="158"/>
        <v>0</v>
      </c>
      <c r="CA24">
        <f t="shared" si="158"/>
        <v>0</v>
      </c>
      <c r="CB24">
        <f t="shared" si="158"/>
        <v>0</v>
      </c>
      <c r="CC24">
        <f t="shared" si="158"/>
        <v>0</v>
      </c>
      <c r="CD24">
        <f t="shared" si="158"/>
        <v>0</v>
      </c>
      <c r="CE24">
        <f t="shared" si="158"/>
        <v>0</v>
      </c>
      <c r="CF24">
        <f t="shared" si="158"/>
        <v>0</v>
      </c>
      <c r="CG24">
        <f t="shared" si="158"/>
        <v>0</v>
      </c>
      <c r="CH24">
        <f t="shared" si="158"/>
        <v>0</v>
      </c>
      <c r="CI24">
        <f t="shared" si="159"/>
        <v>0</v>
      </c>
      <c r="CJ24">
        <f t="shared" si="159"/>
        <v>0</v>
      </c>
      <c r="CK24">
        <f t="shared" si="159"/>
        <v>0</v>
      </c>
      <c r="CL24">
        <f t="shared" si="159"/>
        <v>0</v>
      </c>
      <c r="CM24">
        <f t="shared" si="159"/>
        <v>0</v>
      </c>
      <c r="CN24">
        <f t="shared" si="159"/>
        <v>0</v>
      </c>
      <c r="CO24">
        <f t="shared" si="159"/>
        <v>0</v>
      </c>
      <c r="CP24">
        <f t="shared" si="159"/>
        <v>0</v>
      </c>
      <c r="CQ24">
        <f t="shared" si="159"/>
        <v>0</v>
      </c>
      <c r="CR24">
        <f t="shared" si="159"/>
        <v>0</v>
      </c>
      <c r="CS24">
        <f t="shared" si="160"/>
        <v>0</v>
      </c>
      <c r="CT24">
        <f t="shared" si="160"/>
        <v>0</v>
      </c>
      <c r="CU24">
        <f t="shared" si="160"/>
        <v>0</v>
      </c>
      <c r="CV24">
        <f t="shared" si="160"/>
        <v>0</v>
      </c>
      <c r="CW24">
        <f t="shared" si="160"/>
        <v>0</v>
      </c>
      <c r="CX24">
        <f t="shared" si="160"/>
        <v>0</v>
      </c>
      <c r="CY24">
        <f t="shared" si="160"/>
        <v>0</v>
      </c>
      <c r="CZ24">
        <f t="shared" si="160"/>
        <v>0</v>
      </c>
      <c r="DA24">
        <f t="shared" si="160"/>
        <v>0</v>
      </c>
      <c r="DB24">
        <f t="shared" si="160"/>
        <v>0</v>
      </c>
      <c r="DC24">
        <f t="shared" si="161"/>
        <v>0</v>
      </c>
      <c r="DD24" s="238">
        <f t="shared" si="161"/>
        <v>0</v>
      </c>
      <c r="DE24" s="238">
        <f t="shared" si="161"/>
        <v>0</v>
      </c>
      <c r="DF24" s="238">
        <f t="shared" si="161"/>
        <v>0</v>
      </c>
      <c r="DG24" s="238">
        <f>IF(OR(BF24="Si",BF24="N/A"),1,0)</f>
        <v>1</v>
      </c>
      <c r="DH24" s="9">
        <f t="shared" si="162"/>
        <v>0.15</v>
      </c>
      <c r="DI24" s="9">
        <f t="shared" si="162"/>
        <v>0.15</v>
      </c>
      <c r="DJ24" s="9">
        <f t="shared" si="162"/>
        <v>0.15</v>
      </c>
      <c r="DK24" s="9">
        <f>IF(MIN(Data[[#This Row],[¿El agente cumple con la identificación formal y profesional?3]:[¿El agente realiza despedida corporativa?5]])=0,0,15%)</f>
        <v>0.15</v>
      </c>
      <c r="DL24" s="9">
        <f t="shared" si="163"/>
        <v>0.3</v>
      </c>
      <c r="DM24" s="9">
        <f t="shared" si="163"/>
        <v>0.3</v>
      </c>
      <c r="DN24" s="9">
        <f t="shared" si="163"/>
        <v>0.3</v>
      </c>
      <c r="DO24" s="9">
        <f t="shared" si="163"/>
        <v>0.3</v>
      </c>
      <c r="DP24" s="9">
        <f>IF(MIN(Data[[#This Row],[¿El agente demuestra escucha activa durante la gestión?6]:[¿El agente parafrasea para confirmar entendimiento?9]])=0,0,30%)</f>
        <v>0.3</v>
      </c>
      <c r="DQ24" s="9">
        <f t="shared" si="164"/>
        <v>0.3</v>
      </c>
      <c r="DR24" s="9">
        <f t="shared" si="164"/>
        <v>0.3</v>
      </c>
      <c r="DS24" s="9">
        <f t="shared" si="164"/>
        <v>0.3</v>
      </c>
      <c r="DT24" s="9">
        <f t="shared" si="164"/>
        <v>0.3</v>
      </c>
      <c r="DU24" s="239">
        <f>IF(MIN(Data[[#This Row],[¿El agente adapta su comunicación al cliente?11]:[¿El agente utiliza el plural corporativo correctamente?14]])=0,0,30%)</f>
        <v>0.3</v>
      </c>
      <c r="DV24" s="9">
        <f>IF((U24="No"),0,$DV$2)</f>
        <v>0.25</v>
      </c>
      <c r="DW24" s="9">
        <f>IF(MIN(DV24)=0,0,25%)</f>
        <v>0.25</v>
      </c>
      <c r="DX24" s="9">
        <f>IF(SUM(DK24,DP24,DU24,DW24)&gt;335%,100%,SUM(DK24,DP24,DU24,DW24)/100%)</f>
        <v>1</v>
      </c>
      <c r="DY24" s="9">
        <f t="shared" si="165"/>
        <v>1</v>
      </c>
      <c r="DZ24" s="9">
        <f t="shared" si="165"/>
        <v>1</v>
      </c>
      <c r="EA24" s="9">
        <f t="shared" si="165"/>
        <v>1</v>
      </c>
      <c r="EB24" s="9">
        <f t="shared" si="165"/>
        <v>1</v>
      </c>
      <c r="EC24" s="9">
        <f>IF(SUM(Data[[#This Row],[¿El agente informa correctamente sobre los centros de pago?19]:[¿El agente explica el ciclo de facturación adecuadamente?22]])=400%,100%,0%)</f>
        <v>1</v>
      </c>
      <c r="ED24" s="9">
        <f>IF((AA24="No"),0,$DY$2)</f>
        <v>1</v>
      </c>
      <c r="EE24" s="9">
        <f>IF((AB24="No"),0,$DY$2)</f>
        <v>1</v>
      </c>
      <c r="EF24" s="9">
        <f>IF(SUM(Data[[#This Row],[¿El agente presenta correctamente los beneficios del producto?23]:[¿El agente comunica beneficios emocionales al cliente?24]])=200%,100%,0%)</f>
        <v>1</v>
      </c>
      <c r="EG24" s="9">
        <f t="shared" si="166"/>
        <v>1</v>
      </c>
      <c r="EH24" s="9">
        <f t="shared" si="166"/>
        <v>1</v>
      </c>
      <c r="EI24" s="9">
        <f t="shared" si="166"/>
        <v>1</v>
      </c>
      <c r="EJ24" s="9">
        <f>IF(SUM(Data[[#This Row],[¿El agente realiza un resumen comercial adecuado?25]:[¿El agente formaliza correctamente el acuerdo de venta?27]])=300%,100%,0%)</f>
        <v>1</v>
      </c>
      <c r="EK24" s="9">
        <f>IF((AF24="No"),0,$DY$2)</f>
        <v>1</v>
      </c>
      <c r="EL24" s="9">
        <f>+Data[[#This Row],[¿El agente explica los términos y condiciones del servicio?28]]</f>
        <v>1</v>
      </c>
      <c r="EM24" s="9">
        <f>IF((AG24="No"),0,$DY$2)</f>
        <v>1</v>
      </c>
      <c r="EN24" s="9">
        <f>+Data[[#This Row],[¿El agente identifica correctamente la solicitud del cliente?29]]</f>
        <v>1</v>
      </c>
      <c r="EO24" s="9">
        <f t="shared" si="167"/>
        <v>1</v>
      </c>
      <c r="EP24" s="9">
        <f t="shared" si="167"/>
        <v>1</v>
      </c>
      <c r="EQ24" s="9">
        <f t="shared" si="167"/>
        <v>1</v>
      </c>
      <c r="ER24" s="9">
        <f>IF(SUM(Data[[#This Row],[¿El agente evita activar un servicio diferente al solicitado?30]:[¿El agente configura adecuadamente el producto contratado?32]])=300%,100%,0%)</f>
        <v>1</v>
      </c>
      <c r="ES24" s="9">
        <f>IF((AK24="No"),0,$DY$2)</f>
        <v>1</v>
      </c>
      <c r="ET24" s="9">
        <f>IF((AL24="No"),0,$DY$2)</f>
        <v>1</v>
      </c>
      <c r="EU24" s="9">
        <f>IF(SUM(Data[[#This Row],[¿El agente mantiene respeto y cordialidad en toda la interacción?33]:[¿El agente utiliza un lenguaje adecuado y profesional?34]])=200%,100%,0%)</f>
        <v>1</v>
      </c>
      <c r="EV24" s="9">
        <f t="shared" si="168"/>
        <v>1</v>
      </c>
      <c r="EW24" s="9">
        <f t="shared" si="168"/>
        <v>1</v>
      </c>
      <c r="EX24" s="9">
        <f t="shared" si="168"/>
        <v>1</v>
      </c>
      <c r="EY24" s="9">
        <f t="shared" si="168"/>
        <v>1</v>
      </c>
      <c r="EZ24" s="9">
        <f t="shared" si="168"/>
        <v>1</v>
      </c>
      <c r="FA24" s="9">
        <f t="shared" si="168"/>
        <v>1</v>
      </c>
      <c r="FB24" s="9">
        <f>IF(SUM(Data[[#This Row],[¿El agente verifica correctamente la cobertura?35]:[¿El agente agenda citas o gestiones cuando es necesario?41]])=600%,100%,0%)</f>
        <v>1</v>
      </c>
      <c r="FC24" s="9">
        <f>IF(SUM(EC24,EF24,EL24,EJ24,EN24,ER24,EU24,FB24)=800%,100%,0%)</f>
        <v>1</v>
      </c>
      <c r="FD24" s="9">
        <f t="shared" si="169"/>
        <v>1</v>
      </c>
      <c r="FE24" s="9">
        <f t="shared" si="169"/>
        <v>0</v>
      </c>
      <c r="FF24" s="9">
        <f t="shared" si="169"/>
        <v>1</v>
      </c>
      <c r="FG24" s="9">
        <f t="shared" si="169"/>
        <v>1</v>
      </c>
      <c r="FH24" s="9">
        <f t="shared" si="169"/>
        <v>1</v>
      </c>
      <c r="FI24" s="9">
        <f t="shared" si="169"/>
        <v>0</v>
      </c>
      <c r="FJ24" s="9">
        <f>IF(SUM(Data[[#This Row],[¿El agente ofrece adecuadamente un producto adicional?42]:[¿El agente maneja correctamente las objeciones del cliente?47]])=600%,100%,)</f>
        <v>0</v>
      </c>
      <c r="FK24" s="9">
        <f>IF((AX24="No"),0,$DY$2)</f>
        <v>1</v>
      </c>
      <c r="FL24" s="9">
        <f>+Data[[#This Row],[¿El agente gestiona la oferta según la campaña vigente?48]]</f>
        <v>1</v>
      </c>
      <c r="FM24" s="9">
        <f t="shared" si="170"/>
        <v>1</v>
      </c>
      <c r="FN24" s="9">
        <f t="shared" si="170"/>
        <v>1</v>
      </c>
      <c r="FO24" s="9">
        <f t="shared" si="170"/>
        <v>1</v>
      </c>
      <c r="FP24" s="9">
        <f>IF(SUM(Data[[#This Row],[¿El agente solicita coordenadas cuando es necesario?49]:[¿El agente maneja adecuadamente llamadas en conferencia?51]])=300%,100%,)</f>
        <v>1</v>
      </c>
      <c r="FQ24" s="9">
        <f>IF((BB24="No"),0,$DY$2)</f>
        <v>1</v>
      </c>
      <c r="FR24" s="9">
        <f>+Data[[#This Row],[¿El agente registra correctamente todas las interacciones?52]]</f>
        <v>1</v>
      </c>
      <c r="FS24" s="9">
        <f>IF(SUM(FJ24,FL24,FP24,FR24)=400%,100%,0)</f>
        <v>0</v>
      </c>
      <c r="FT24" s="238">
        <f>IF((BC24="No"),0,$DY$2)</f>
        <v>1</v>
      </c>
      <c r="FU24" s="9">
        <f>+Data[[#This Row],[¿El agente confirma la titularidad del cliente adecuadamente?53]]</f>
        <v>1</v>
      </c>
      <c r="FV24" s="238">
        <f>IF((BD24="No"),0,$DY$2)</f>
        <v>1</v>
      </c>
      <c r="FW24" s="238">
        <f>IF((BE24="No"),0,$DY$2)</f>
        <v>1</v>
      </c>
      <c r="FX24" s="9">
        <f>IF(SUM(Data[[#This Row],[¿El agente evita la omisión de alertas importantes?54]]:Data[[#This Row],[¿El agente mantiene conducta ética durante la interacción?55]])=200%,100%,)</f>
        <v>1</v>
      </c>
      <c r="FY24" s="238">
        <f>IF((BF24="No"),0,$DY$2)</f>
        <v>1</v>
      </c>
      <c r="FZ24" s="9">
        <f>+Data[[#This Row],[¿El agente evita compartir información sensible?56]]</f>
        <v>1</v>
      </c>
      <c r="GA24" s="9">
        <f>IF(SUM(FU24,FX24,FZ24)=300%,100%,)</f>
        <v>1</v>
      </c>
      <c r="GB24" s="239">
        <f>$GB$2*DX24</f>
        <v>0.1</v>
      </c>
      <c r="GC24" s="239">
        <f>$GC$2*FC24</f>
        <v>0.3</v>
      </c>
      <c r="GD24" s="240">
        <f>$GD$2*FS24</f>
        <v>0</v>
      </c>
      <c r="GE24" s="240">
        <f>$GE$2*GA24</f>
        <v>0.3</v>
      </c>
      <c r="GF24" s="9">
        <f>SUM(Data[[#This Row],[PESO PENC]:[PESO PECCUM]])</f>
        <v>0.7</v>
      </c>
      <c r="GG24" s="238">
        <f>1</f>
        <v>1</v>
      </c>
      <c r="GH24" s="238">
        <f>IF((BH24="Critica"),1,0)</f>
        <v>1</v>
      </c>
      <c r="GI24" t="str">
        <f t="shared" si="171"/>
        <v/>
      </c>
      <c r="GJ24" t="str">
        <f t="shared" si="171"/>
        <v/>
      </c>
      <c r="GK24" t="str">
        <f t="shared" si="171"/>
        <v/>
      </c>
      <c r="GN24" t="str">
        <f t="shared" si="172"/>
        <v/>
      </c>
      <c r="GO24" t="str">
        <f t="shared" si="172"/>
        <v/>
      </c>
      <c r="GP24" t="str">
        <f t="shared" si="172"/>
        <v/>
      </c>
      <c r="GQ24" t="str">
        <f t="shared" si="172"/>
        <v/>
      </c>
      <c r="GR24" t="str">
        <f t="shared" si="172"/>
        <v/>
      </c>
      <c r="GS24" t="str">
        <f t="shared" si="172"/>
        <v/>
      </c>
      <c r="GT24" t="str">
        <f t="shared" si="172"/>
        <v/>
      </c>
      <c r="GU24" t="e">
        <f>IF(#REF!="No",#REF!,"")</f>
        <v>#REF!</v>
      </c>
      <c r="GV24" t="str">
        <f t="shared" si="173"/>
        <v/>
      </c>
      <c r="GW24" t="str">
        <f t="shared" si="173"/>
        <v/>
      </c>
      <c r="GX24" t="str">
        <f t="shared" si="173"/>
        <v/>
      </c>
      <c r="GY24" t="str">
        <f t="shared" si="173"/>
        <v/>
      </c>
      <c r="GZ24" t="str">
        <f t="shared" si="173"/>
        <v/>
      </c>
      <c r="HA24" t="str">
        <f t="shared" si="173"/>
        <v/>
      </c>
      <c r="HB24" t="str">
        <f t="shared" si="173"/>
        <v/>
      </c>
      <c r="HC24" t="str">
        <f t="shared" si="173"/>
        <v/>
      </c>
      <c r="HD24" t="str">
        <f t="shared" si="173"/>
        <v/>
      </c>
      <c r="HE24" t="str">
        <f t="shared" si="173"/>
        <v/>
      </c>
      <c r="HF24" t="str">
        <f t="shared" si="174"/>
        <v/>
      </c>
      <c r="HG24" t="str">
        <f t="shared" si="174"/>
        <v/>
      </c>
      <c r="HH24" t="str">
        <f t="shared" si="174"/>
        <v/>
      </c>
      <c r="HI24" t="str">
        <f t="shared" si="174"/>
        <v/>
      </c>
      <c r="HJ24" t="str">
        <f t="shared" si="174"/>
        <v/>
      </c>
      <c r="HK24" t="str">
        <f t="shared" si="174"/>
        <v/>
      </c>
      <c r="HL24" t="str">
        <f t="shared" si="174"/>
        <v/>
      </c>
      <c r="HM24" t="str">
        <f t="shared" si="174"/>
        <v/>
      </c>
      <c r="HN24" t="str">
        <f t="shared" si="174"/>
        <v/>
      </c>
      <c r="HO24" t="str">
        <f t="shared" si="174"/>
        <v/>
      </c>
      <c r="HP24" t="str">
        <f t="shared" si="175"/>
        <v/>
      </c>
      <c r="HQ24" t="str">
        <f t="shared" si="175"/>
        <v/>
      </c>
      <c r="HR24" t="e">
        <f>IF(#REF!="No",#REF!,"")</f>
        <v>#REF!</v>
      </c>
      <c r="HS24" t="str">
        <f t="shared" si="176"/>
        <v/>
      </c>
      <c r="HT24" t="str">
        <f t="shared" si="176"/>
        <v xml:space="preserve">¿El agente realiza venta cruzada cuando corresponde? </v>
      </c>
      <c r="HU24" t="str">
        <f t="shared" si="176"/>
        <v/>
      </c>
      <c r="HV24" t="str">
        <f t="shared" si="176"/>
        <v/>
      </c>
      <c r="HW24" t="str">
        <f t="shared" si="176"/>
        <v/>
      </c>
      <c r="HX24" t="str">
        <f t="shared" si="176"/>
        <v xml:space="preserve">¿El agente maneja correctamente las objeciones del cliente? </v>
      </c>
      <c r="HY24" t="str">
        <f t="shared" si="176"/>
        <v/>
      </c>
      <c r="HZ24" t="str">
        <f t="shared" si="176"/>
        <v/>
      </c>
      <c r="IA24" t="str">
        <f t="shared" si="176"/>
        <v/>
      </c>
      <c r="IB24" t="str">
        <f t="shared" si="176"/>
        <v/>
      </c>
      <c r="IC24" t="str">
        <f t="shared" si="176"/>
        <v/>
      </c>
      <c r="ID24" s="238" t="str">
        <f t="shared" si="176"/>
        <v/>
      </c>
      <c r="IE24" s="238" t="str">
        <f t="shared" si="176"/>
        <v/>
      </c>
      <c r="IF24" s="238" t="str">
        <f t="shared" si="176"/>
        <v/>
      </c>
      <c r="IG24" s="238" t="str">
        <f t="shared" si="176"/>
        <v/>
      </c>
      <c r="IH24" s="241" t="str">
        <f>A24&amp;" "&amp;F24&amp;" "&amp;Data[[#This Row],[mes]]</f>
        <v>Gina Batista Outbound jun-26</v>
      </c>
      <c r="II24" s="244">
        <f>COUNTIF($IH24:$IH57,IH24)</f>
        <v>1</v>
      </c>
      <c r="IJ24" s="241">
        <f>IF(COUNTIF($IH$4:IH24,IH24)=1,1,0)</f>
        <v>0</v>
      </c>
      <c r="IK24" s="244">
        <f>IF(Data[[#This Row],[Muestra Critica]]&gt;0,Data[[#This Row],[Muestra Critica]],"")</f>
        <v>1</v>
      </c>
      <c r="IL24" s="238">
        <f>IF(IK24="","",COUNTIF($IK$4:$IK56,IK24))</f>
        <v>26</v>
      </c>
      <c r="IM24">
        <f>IF(IL24=1,1,0)</f>
        <v>0</v>
      </c>
      <c r="IN24" s="241" t="str">
        <f t="shared" si="150"/>
        <v>jun-26</v>
      </c>
      <c r="IO24" s="241"/>
      <c r="IP24" s="241"/>
      <c r="IQ24" s="241"/>
      <c r="IR24" s="241"/>
      <c r="IS24" s="241">
        <f>IFERROR(_xlfn.XLOOKUP(A:A,HC!B:B,HC!E:E,,0),0)</f>
        <v>0</v>
      </c>
    </row>
    <row r="25" spans="1:253" ht="15.5" x14ac:dyDescent="0.35">
      <c r="A25" s="340" t="s">
        <v>428</v>
      </c>
      <c r="B25" s="340">
        <v>69827826</v>
      </c>
      <c r="C25" s="360">
        <v>46216</v>
      </c>
      <c r="D25" s="340" t="s">
        <v>406</v>
      </c>
      <c r="E25" s="341" t="s">
        <v>439</v>
      </c>
      <c r="F25" s="340" t="s">
        <v>32</v>
      </c>
      <c r="G25" s="232" t="s">
        <v>402</v>
      </c>
      <c r="H25" s="232" t="s">
        <v>441</v>
      </c>
      <c r="I25" s="342" t="s">
        <v>412</v>
      </c>
      <c r="J25" s="252" t="s">
        <v>33</v>
      </c>
      <c r="K25" s="252" t="s">
        <v>33</v>
      </c>
      <c r="L25" s="252" t="s">
        <v>33</v>
      </c>
      <c r="M25" s="252" t="s">
        <v>33</v>
      </c>
      <c r="N25" s="252" t="s">
        <v>33</v>
      </c>
      <c r="O25" s="252" t="s">
        <v>33</v>
      </c>
      <c r="P25" s="252" t="s">
        <v>33</v>
      </c>
      <c r="Q25" s="252" t="s">
        <v>33</v>
      </c>
      <c r="R25" s="252" t="s">
        <v>33</v>
      </c>
      <c r="S25" s="252" t="s">
        <v>33</v>
      </c>
      <c r="T25" s="252" t="s">
        <v>33</v>
      </c>
      <c r="U25" s="252" t="s">
        <v>33</v>
      </c>
      <c r="V25" s="253" t="s">
        <v>33</v>
      </c>
      <c r="W25" s="253" t="s">
        <v>33</v>
      </c>
      <c r="X25" s="253" t="s">
        <v>33</v>
      </c>
      <c r="Y25" s="253" t="s">
        <v>33</v>
      </c>
      <c r="Z25" s="253" t="s">
        <v>33</v>
      </c>
      <c r="AA25" s="253" t="s">
        <v>33</v>
      </c>
      <c r="AB25" s="253" t="s">
        <v>33</v>
      </c>
      <c r="AC25" s="253" t="s">
        <v>33</v>
      </c>
      <c r="AD25" s="253" t="s">
        <v>33</v>
      </c>
      <c r="AE25" s="253" t="s">
        <v>33</v>
      </c>
      <c r="AF25" s="253" t="s">
        <v>33</v>
      </c>
      <c r="AG25" s="253" t="s">
        <v>33</v>
      </c>
      <c r="AH25" s="253" t="s">
        <v>33</v>
      </c>
      <c r="AI25" s="253" t="s">
        <v>33</v>
      </c>
      <c r="AJ25" s="253" t="s">
        <v>33</v>
      </c>
      <c r="AK25" s="253" t="s">
        <v>33</v>
      </c>
      <c r="AL25" s="253" t="s">
        <v>33</v>
      </c>
      <c r="AM25" s="253" t="s">
        <v>33</v>
      </c>
      <c r="AN25" s="253" t="s">
        <v>33</v>
      </c>
      <c r="AO25" s="253" t="s">
        <v>33</v>
      </c>
      <c r="AP25" s="253" t="s">
        <v>33</v>
      </c>
      <c r="AQ25" s="253" t="s">
        <v>33</v>
      </c>
      <c r="AR25" s="253" t="s">
        <v>33</v>
      </c>
      <c r="AS25" s="253" t="s">
        <v>33</v>
      </c>
      <c r="AT25" s="253" t="s">
        <v>33</v>
      </c>
      <c r="AU25" s="253" t="s">
        <v>33</v>
      </c>
      <c r="AV25" s="253" t="s">
        <v>33</v>
      </c>
      <c r="AW25" s="253" t="s">
        <v>34</v>
      </c>
      <c r="AX25" s="253" t="s">
        <v>33</v>
      </c>
      <c r="AY25" s="253" t="s">
        <v>33</v>
      </c>
      <c r="AZ25" s="253" t="s">
        <v>33</v>
      </c>
      <c r="BA25" s="253" t="s">
        <v>33</v>
      </c>
      <c r="BB25" s="253" t="s">
        <v>33</v>
      </c>
      <c r="BC25" s="343" t="s">
        <v>33</v>
      </c>
      <c r="BD25" s="343" t="s">
        <v>33</v>
      </c>
      <c r="BE25" s="343" t="s">
        <v>33</v>
      </c>
      <c r="BF25" s="344" t="s">
        <v>33</v>
      </c>
      <c r="BG25" s="345"/>
      <c r="BH25" s="346" t="str">
        <f>Data[[#This Row],[Tipo de Muestra]]</f>
        <v>Critica</v>
      </c>
      <c r="BI25" s="345"/>
      <c r="BJ25" s="347"/>
      <c r="BK25" s="348">
        <f>IF(OR(J25="Si",J25="N/A"),1,0)</f>
        <v>1</v>
      </c>
      <c r="BL25" s="348">
        <f>IF(OR(K25="Si",K25="N/A"),1,0)</f>
        <v>1</v>
      </c>
      <c r="BM25" s="348">
        <f>IF(OR(L25="Si",L25="N/A"),1,0)</f>
        <v>1</v>
      </c>
      <c r="BN25" s="348">
        <f>IF(OR(M25="Si",M25="N/A"),1,0)</f>
        <v>1</v>
      </c>
      <c r="BO25" s="348">
        <f>IF(OR(N25="Si",N25="N/A"),1,0)</f>
        <v>1</v>
      </c>
      <c r="BP25" s="348">
        <f>IF(OR(O25="Si",O25="N/A"),1,0)</f>
        <v>1</v>
      </c>
      <c r="BQ25" s="348">
        <f>IF(OR(P25="Si",P25="N/A"),1,0)</f>
        <v>1</v>
      </c>
      <c r="BR25" s="348">
        <f>IF(OR(Q25="Si",Q25="N/A"),1,0)</f>
        <v>1</v>
      </c>
      <c r="BS25" s="348">
        <f>IF(OR(R25="Si",R25="N/A"),1,0)</f>
        <v>1</v>
      </c>
      <c r="BT25" s="348">
        <f>IF(OR(S25="Si",S25="N/A"),1,0)</f>
        <v>1</v>
      </c>
      <c r="BU25" s="348">
        <f>IF(OR(T25="Si",T25="N/A"),1,0)</f>
        <v>1</v>
      </c>
      <c r="BV25" s="348">
        <f>IF(OR(U25="Si",U25="N/A"),1,0)</f>
        <v>1</v>
      </c>
      <c r="BW25" s="348">
        <f>IF(OR(V25="Si",V25="N/A"),1,0)</f>
        <v>1</v>
      </c>
      <c r="BX25" s="348">
        <f>IF(OR(W25="Si",W25="N/A"),1,0)</f>
        <v>1</v>
      </c>
      <c r="BY25" s="348">
        <f>IF(OR(X25="Sí",X25="N/A"),1,0)</f>
        <v>0</v>
      </c>
      <c r="BZ25" s="348">
        <f>IF(OR(Y25="Sí",Y25="N/A"),1,0)</f>
        <v>0</v>
      </c>
      <c r="CA25" s="348">
        <f>IF(OR(Z25="Sí",Z25="N/A"),1,0)</f>
        <v>0</v>
      </c>
      <c r="CB25" s="348">
        <f>IF(OR(AA25="Sí",AA25="N/A"),1,0)</f>
        <v>0</v>
      </c>
      <c r="CC25" s="348">
        <f>IF(OR(AB25="Sí",AB25="N/A"),1,0)</f>
        <v>0</v>
      </c>
      <c r="CD25" s="348">
        <f>IF(OR(AC25="Sí",AC25="N/A"),1,0)</f>
        <v>0</v>
      </c>
      <c r="CE25" s="348">
        <f>IF(OR(AD25="Sí",AD25="N/A"),1,0)</f>
        <v>0</v>
      </c>
      <c r="CF25" s="348">
        <f>IF(OR(AE25="Sí",AE25="N/A"),1,0)</f>
        <v>0</v>
      </c>
      <c r="CG25" s="348">
        <f>IF(OR(AF25="Sí",AF25="N/A"),1,0)</f>
        <v>0</v>
      </c>
      <c r="CH25" s="348">
        <f>IF(OR(AG25="Sí",AG25="N/A"),1,0)</f>
        <v>0</v>
      </c>
      <c r="CI25" s="348">
        <f>IF(OR(AH25="Sí",AH25="N/A"),1,0)</f>
        <v>0</v>
      </c>
      <c r="CJ25" s="348">
        <f>IF(OR(AI25="Sí",AI25="N/A"),1,0)</f>
        <v>0</v>
      </c>
      <c r="CK25" s="348">
        <f>IF(OR(AJ25="Sí",AJ25="N/A"),1,0)</f>
        <v>0</v>
      </c>
      <c r="CL25" s="348">
        <f>IF(OR(AK25="Sí",AK25="N/A"),1,0)</f>
        <v>0</v>
      </c>
      <c r="CM25" s="348">
        <f>IF(OR(AL25="Sí",AL25="N/A"),1,0)</f>
        <v>0</v>
      </c>
      <c r="CN25" s="348">
        <f>IF(OR(AM25="Sí",AM25="N/A"),1,0)</f>
        <v>0</v>
      </c>
      <c r="CO25" s="348">
        <f>IF(OR(AN25="Sí",AN25="N/A"),1,0)</f>
        <v>0</v>
      </c>
      <c r="CP25" s="348">
        <f>IF(OR(AO25="Sí",AO25="N/A"),1,0)</f>
        <v>0</v>
      </c>
      <c r="CQ25" s="348">
        <f>IF(OR(AP25="Sí",AP25="N/A"),1,0)</f>
        <v>0</v>
      </c>
      <c r="CR25" s="348">
        <f>IF(OR(AQ25="Sí",AQ25="N/A"),1,0)</f>
        <v>0</v>
      </c>
      <c r="CS25" s="348">
        <f>IF(OR(AR25="Sí",AR25="N/A"),1,0)</f>
        <v>0</v>
      </c>
      <c r="CT25" s="348">
        <f>IF(OR(AS25="Sí",AS25="N/A"),1,0)</f>
        <v>0</v>
      </c>
      <c r="CU25" s="348">
        <f>IF(OR(AT25="Sí",AT25="N/A"),1,0)</f>
        <v>0</v>
      </c>
      <c r="CV25" s="348">
        <f>IF(OR(AU25="Sí",AU25="N/A"),1,0)</f>
        <v>0</v>
      </c>
      <c r="CW25" s="348">
        <f>IF(OR(AV25="Sí",AV25="N/A"),1,0)</f>
        <v>0</v>
      </c>
      <c r="CX25" s="348">
        <f>IF(OR(AW25="Sí",AW25="N/A"),1,0)</f>
        <v>0</v>
      </c>
      <c r="CY25" s="348">
        <f>IF(OR(AX25="Sí",AX25="N/A"),1,0)</f>
        <v>0</v>
      </c>
      <c r="CZ25" s="348">
        <f>IF(OR(AY25="Sí",AY25="N/A"),1,0)</f>
        <v>0</v>
      </c>
      <c r="DA25" s="348">
        <f>IF(OR(AZ25="Sí",AZ25="N/A"),1,0)</f>
        <v>0</v>
      </c>
      <c r="DB25" s="348">
        <f>IF(OR(BA25="Sí",BA25="N/A"),1,0)</f>
        <v>0</v>
      </c>
      <c r="DC25" s="348">
        <f>IF(OR(BB25="Sí",BB25="N/A"),1,0)</f>
        <v>0</v>
      </c>
      <c r="DD25" s="349">
        <f>IF(OR(BC25="Sí",BC25="N/A"),1,0)</f>
        <v>0</v>
      </c>
      <c r="DE25" s="349">
        <f>IF(OR(BD25="Sí",BD25="N/A"),1,0)</f>
        <v>0</v>
      </c>
      <c r="DF25" s="349">
        <f>IF(OR(BE25="Sí",BE25="N/A"),1,0)</f>
        <v>0</v>
      </c>
      <c r="DG25" s="349">
        <f>IF(OR(BF25="Si",BF25="N/A"),1,0)</f>
        <v>1</v>
      </c>
      <c r="DH25" s="350">
        <f>IF((J25="No"),0,$DH$2)</f>
        <v>0.15</v>
      </c>
      <c r="DI25" s="350">
        <f>IF((K25="No"),0,$DH$2)</f>
        <v>0.15</v>
      </c>
      <c r="DJ25" s="350">
        <f>IF((L25="No"),0,$DH$2)</f>
        <v>0.15</v>
      </c>
      <c r="DK25" s="350">
        <f>IF(MIN(Data[[#This Row],[¿El agente cumple con la identificación formal y profesional?3]:[¿El agente realiza despedida corporativa?5]])=0,0,15%)</f>
        <v>0.15</v>
      </c>
      <c r="DL25" s="350">
        <f>IF((M25="No"),0,$DL$2)</f>
        <v>0.3</v>
      </c>
      <c r="DM25" s="350">
        <f>IF((N25="No"),0,$DL$2)</f>
        <v>0.3</v>
      </c>
      <c r="DN25" s="350">
        <f>IF((O25="No"),0,$DL$2)</f>
        <v>0.3</v>
      </c>
      <c r="DO25" s="350">
        <f>IF((P25="No"),0,$DL$2)</f>
        <v>0.3</v>
      </c>
      <c r="DP25" s="350">
        <f>IF(MIN(Data[[#This Row],[¿El agente demuestra escucha activa durante la gestión?6]:[¿El agente parafrasea para confirmar entendimiento?9]])=0,0,30%)</f>
        <v>0.3</v>
      </c>
      <c r="DQ25" s="350">
        <f>IF((Q25="No"),0,$DQ$2)</f>
        <v>0.3</v>
      </c>
      <c r="DR25" s="350">
        <f>IF((R25="No"),0,$DQ$2)</f>
        <v>0.3</v>
      </c>
      <c r="DS25" s="350">
        <f>IF((S25="No"),0,$DQ$2)</f>
        <v>0.3</v>
      </c>
      <c r="DT25" s="350">
        <f>IF((T25="No"),0,$DQ$2)</f>
        <v>0.3</v>
      </c>
      <c r="DU25" s="351">
        <f>IF(MIN(Data[[#This Row],[¿El agente adapta su comunicación al cliente?11]:[¿El agente utiliza el plural corporativo correctamente?14]])=0,0,30%)</f>
        <v>0.3</v>
      </c>
      <c r="DV25" s="350">
        <f>IF((U25="No"),0,$DV$2)</f>
        <v>0.25</v>
      </c>
      <c r="DW25" s="350">
        <f>IF(MIN(DV25)=0,0,25%)</f>
        <v>0.25</v>
      </c>
      <c r="DX25" s="350">
        <f>IF(SUM(DK25,DP25,DU25,DW25)&gt;335%,100%,SUM(DK25,DP25,DU25,DW25)/100%)</f>
        <v>1</v>
      </c>
      <c r="DY25" s="350">
        <f>IF((W25="No"),0,$DY$2)</f>
        <v>1</v>
      </c>
      <c r="DZ25" s="350">
        <f>IF((X25="No"),0,$DY$2)</f>
        <v>1</v>
      </c>
      <c r="EA25" s="350">
        <f>IF((Y25="No"),0,$DY$2)</f>
        <v>1</v>
      </c>
      <c r="EB25" s="350">
        <f>IF((Z25="No"),0,$DY$2)</f>
        <v>1</v>
      </c>
      <c r="EC25" s="352">
        <f>IF(SUM(Data[[#This Row],[¿El agente informa correctamente sobre los centros de pago?19]:[¿El agente explica el ciclo de facturación adecuadamente?22]])=400%,100%,0%)</f>
        <v>1</v>
      </c>
      <c r="ED25" s="350">
        <f>IF((AA25="No"),0,$DY$2)</f>
        <v>1</v>
      </c>
      <c r="EE25" s="350">
        <f>IF((AB25="No"),0,$DY$2)</f>
        <v>1</v>
      </c>
      <c r="EF25" s="352">
        <f>IF(SUM(Data[[#This Row],[¿El agente presenta correctamente los beneficios del producto?23]:[¿El agente comunica beneficios emocionales al cliente?24]])=200%,100%,0%)</f>
        <v>1</v>
      </c>
      <c r="EG25" s="350">
        <f>IF((AC25="No"),0,$DY$2)</f>
        <v>1</v>
      </c>
      <c r="EH25" s="350">
        <f>IF((AD25="No"),0,$DY$2)</f>
        <v>1</v>
      </c>
      <c r="EI25" s="350">
        <f>IF((AE25="No"),0,$DY$2)</f>
        <v>1</v>
      </c>
      <c r="EJ25" s="352">
        <f>IF(SUM(Data[[#This Row],[¿El agente realiza un resumen comercial adecuado?25]:[¿El agente formaliza correctamente el acuerdo de venta?27]])=300%,100%,0%)</f>
        <v>1</v>
      </c>
      <c r="EK25" s="350">
        <f>IF((AF25="No"),0,$DY$2)</f>
        <v>1</v>
      </c>
      <c r="EL25" s="352">
        <f>+Data[[#This Row],[¿El agente explica los términos y condiciones del servicio?28]]</f>
        <v>1</v>
      </c>
      <c r="EM25" s="350">
        <f>IF((AG25="No"),0,$DY$2)</f>
        <v>1</v>
      </c>
      <c r="EN25" s="352">
        <f>+Data[[#This Row],[¿El agente identifica correctamente la solicitud del cliente?29]]</f>
        <v>1</v>
      </c>
      <c r="EO25" s="350">
        <f>IF((AH25="No"),0,$DY$2)</f>
        <v>1</v>
      </c>
      <c r="EP25" s="350">
        <f>IF((AI25="No"),0,$DY$2)</f>
        <v>1</v>
      </c>
      <c r="EQ25" s="350">
        <f>IF((AJ25="No"),0,$DY$2)</f>
        <v>1</v>
      </c>
      <c r="ER25" s="352">
        <f>IF(SUM(Data[[#This Row],[¿El agente evita activar un servicio diferente al solicitado?30]:[¿El agente configura adecuadamente el producto contratado?32]])=300%,100%,0%)</f>
        <v>1</v>
      </c>
      <c r="ES25" s="350">
        <f>IF((AK25="No"),0,$DY$2)</f>
        <v>1</v>
      </c>
      <c r="ET25" s="350">
        <f>IF((AL25="No"),0,$DY$2)</f>
        <v>1</v>
      </c>
      <c r="EU25" s="352">
        <f>IF(SUM(Data[[#This Row],[¿El agente mantiene respeto y cordialidad en toda la interacción?33]:[¿El agente utiliza un lenguaje adecuado y profesional?34]])=200%,100%,0%)</f>
        <v>1</v>
      </c>
      <c r="EV25" s="350">
        <f>IF((AM25="No"),0,$DY$2)</f>
        <v>1</v>
      </c>
      <c r="EW25" s="350">
        <f>IF((AN25="No"),0,$DY$2)</f>
        <v>1</v>
      </c>
      <c r="EX25" s="350">
        <f>IF((AO25="No"),0,$DY$2)</f>
        <v>1</v>
      </c>
      <c r="EY25" s="350">
        <f>IF((AP25="No"),0,$DY$2)</f>
        <v>1</v>
      </c>
      <c r="EZ25" s="350">
        <f>IF((AQ25="No"),0,$DY$2)</f>
        <v>1</v>
      </c>
      <c r="FA25" s="350">
        <f>IF((AR25="No"),0,$DY$2)</f>
        <v>1</v>
      </c>
      <c r="FB25" s="352">
        <f>IF(SUM(Data[[#This Row],[¿El agente verifica correctamente la cobertura?35]:[¿El agente agenda citas o gestiones cuando es necesario?41]])=600%,100%,0%)</f>
        <v>1</v>
      </c>
      <c r="FC25" s="350">
        <f>IF(SUM(EC25,EF25,EL25,EJ25,EN25,ER25,EU25,FB25)=800%,100%,0%)</f>
        <v>1</v>
      </c>
      <c r="FD25" s="350">
        <f>IF((AR25="No"),0,$DY$2)</f>
        <v>1</v>
      </c>
      <c r="FE25" s="350">
        <f>IF((AS25="No"),0,$DY$2)</f>
        <v>1</v>
      </c>
      <c r="FF25" s="350">
        <f>IF((AT25="No"),0,$DY$2)</f>
        <v>1</v>
      </c>
      <c r="FG25" s="350">
        <f>IF((AU25="No"),0,$DY$2)</f>
        <v>1</v>
      </c>
      <c r="FH25" s="350">
        <f>IF((AV25="No"),0,$DY$2)</f>
        <v>1</v>
      </c>
      <c r="FI25" s="350">
        <f>IF((AW25="No"),0,$DY$2)</f>
        <v>0</v>
      </c>
      <c r="FJ25" s="350">
        <f>IF(SUM(Data[[#This Row],[¿El agente ofrece adecuadamente un producto adicional?42]:[¿El agente maneja correctamente las objeciones del cliente?47]])=600%,100%,)</f>
        <v>0</v>
      </c>
      <c r="FK25" s="350">
        <f>IF((AX25="No"),0,$DY$2)</f>
        <v>1</v>
      </c>
      <c r="FL25" s="350">
        <f>+Data[[#This Row],[¿El agente gestiona la oferta según la campaña vigente?48]]</f>
        <v>1</v>
      </c>
      <c r="FM25" s="350">
        <f>IF((AY25="No"),0,$DY$2)</f>
        <v>1</v>
      </c>
      <c r="FN25" s="350">
        <f>IF((AZ25="No"),0,$DY$2)</f>
        <v>1</v>
      </c>
      <c r="FO25" s="350">
        <f>IF((BA25="No"),0,$DY$2)</f>
        <v>1</v>
      </c>
      <c r="FP25" s="350">
        <f>IF(SUM(Data[[#This Row],[¿El agente solicita coordenadas cuando es necesario?49]:[¿El agente maneja adecuadamente llamadas en conferencia?51]])=300%,100%,)</f>
        <v>1</v>
      </c>
      <c r="FQ25" s="350">
        <f>IF((BB25="No"),0,$DY$2)</f>
        <v>1</v>
      </c>
      <c r="FR25" s="350">
        <f>+Data[[#This Row],[¿El agente registra correctamente todas las interacciones?52]]</f>
        <v>1</v>
      </c>
      <c r="FS25" s="350">
        <f>IF(SUM(FJ25,FL25,FP25,FR25)=400%,100%,0)</f>
        <v>0</v>
      </c>
      <c r="FT25" s="349">
        <f>IF((BC25="No"),0,$DY$2)</f>
        <v>1</v>
      </c>
      <c r="FU25" s="352">
        <f>+Data[[#This Row],[¿El agente confirma la titularidad del cliente adecuadamente?53]]</f>
        <v>1</v>
      </c>
      <c r="FV25" s="349">
        <f>IF((BD25="No"),0,$DY$2)</f>
        <v>1</v>
      </c>
      <c r="FW25" s="349">
        <f>IF((BE25="No"),0,$DY$2)</f>
        <v>1</v>
      </c>
      <c r="FX25" s="352">
        <f>IF(SUM(Data[[#This Row],[¿El agente evita la omisión de alertas importantes?54]]:Data[[#This Row],[¿El agente mantiene conducta ética durante la interacción?55]])=200%,100%,)</f>
        <v>1</v>
      </c>
      <c r="FY25" s="349">
        <f>IF((BF25="No"),0,$DY$2)</f>
        <v>1</v>
      </c>
      <c r="FZ25" s="352">
        <f>+Data[[#This Row],[¿El agente evita compartir información sensible?56]]</f>
        <v>1</v>
      </c>
      <c r="GA25" s="350">
        <f>IF(SUM(FU25,FX25,FZ25)=300%,100%,)</f>
        <v>1</v>
      </c>
      <c r="GB25" s="351">
        <f>$GB$2*DX25</f>
        <v>0.1</v>
      </c>
      <c r="GC25" s="351">
        <f>$GC$2*FC25</f>
        <v>0.3</v>
      </c>
      <c r="GD25" s="353">
        <f>$GD$2*FS25</f>
        <v>0</v>
      </c>
      <c r="GE25" s="353">
        <f>$GE$2*GA25</f>
        <v>0.3</v>
      </c>
      <c r="GF25" s="350">
        <f>SUM(Data[[#This Row],[PESO PENC]:[PESO PECCUM]])</f>
        <v>0.7</v>
      </c>
      <c r="GG25" s="354">
        <f>1</f>
        <v>1</v>
      </c>
      <c r="GH25" s="354">
        <f>IF((BH25="Critica"),1,0)</f>
        <v>1</v>
      </c>
      <c r="GI25" s="348" t="str">
        <f>IF(J25="No",J$3,"")</f>
        <v/>
      </c>
      <c r="GJ25" s="348" t="str">
        <f>IF(K25="No",K$3,"")</f>
        <v/>
      </c>
      <c r="GK25" s="348" t="str">
        <f>IF(L25="No",L$3,"")</f>
        <v/>
      </c>
      <c r="GL25" s="355"/>
      <c r="GM25" s="355"/>
      <c r="GN25" s="348" t="str">
        <f>IF(O25="No",O$3,"")</f>
        <v/>
      </c>
      <c r="GO25" s="348" t="str">
        <f>IF(P25="No",P$3,"")</f>
        <v/>
      </c>
      <c r="GP25" s="348" t="str">
        <f>IF(Q25="No",Q$3,"")</f>
        <v/>
      </c>
      <c r="GQ25" s="348" t="str">
        <f>IF(R25="No",R$3,"")</f>
        <v/>
      </c>
      <c r="GR25" s="348" t="str">
        <f>IF(S25="No",S$3,"")</f>
        <v/>
      </c>
      <c r="GS25" s="348" t="str">
        <f>IF(T25="No",T$3,"")</f>
        <v/>
      </c>
      <c r="GT25" s="348" t="str">
        <f>IF(U25="No",U$3,"")</f>
        <v/>
      </c>
      <c r="GU25" s="348" t="e">
        <f>IF(#REF!="No",#REF!,"")</f>
        <v>#REF!</v>
      </c>
      <c r="GV25" s="348" t="str">
        <f>IF(V25="No",V$3,"")</f>
        <v/>
      </c>
      <c r="GW25" s="348" t="str">
        <f>IF(W25="No",W$3,"")</f>
        <v/>
      </c>
      <c r="GX25" s="348" t="str">
        <f>IF(X25="No",X$3,"")</f>
        <v/>
      </c>
      <c r="GY25" s="348" t="str">
        <f>IF(Y25="No",Y$3,"")</f>
        <v/>
      </c>
      <c r="GZ25" s="348" t="str">
        <f>IF(Z25="No",Z$3,"")</f>
        <v/>
      </c>
      <c r="HA25" s="348" t="str">
        <f>IF(AA25="No",AA$3,"")</f>
        <v/>
      </c>
      <c r="HB25" s="348" t="str">
        <f>IF(AB25="No",AB$3,"")</f>
        <v/>
      </c>
      <c r="HC25" s="348" t="str">
        <f>IF(AC25="No",AC$3,"")</f>
        <v/>
      </c>
      <c r="HD25" s="348" t="str">
        <f>IF(AD25="No",AD$3,"")</f>
        <v/>
      </c>
      <c r="HE25" s="348" t="str">
        <f>IF(AE25="No",AE$3,"")</f>
        <v/>
      </c>
      <c r="HF25" s="348" t="str">
        <f>IF(AF25="No",AF$3,"")</f>
        <v/>
      </c>
      <c r="HG25" s="348" t="str">
        <f>IF(AG25="No",AG$3,"")</f>
        <v/>
      </c>
      <c r="HH25" s="348" t="str">
        <f>IF(AH25="No",AH$3,"")</f>
        <v/>
      </c>
      <c r="HI25" s="348" t="str">
        <f>IF(AI25="No",AI$3,"")</f>
        <v/>
      </c>
      <c r="HJ25" s="348" t="str">
        <f>IF(AJ25="No",AJ$3,"")</f>
        <v/>
      </c>
      <c r="HK25" s="348" t="str">
        <f>IF(AK25="No",AK$3,"")</f>
        <v/>
      </c>
      <c r="HL25" s="348" t="str">
        <f>IF(AL25="No",AL$3,"")</f>
        <v/>
      </c>
      <c r="HM25" s="348" t="str">
        <f>IF(AM25="No",AM$3,"")</f>
        <v/>
      </c>
      <c r="HN25" s="348" t="str">
        <f>IF(AN25="No",AN$3,"")</f>
        <v/>
      </c>
      <c r="HO25" s="348" t="str">
        <f>IF(AO25="No",AO$3,"")</f>
        <v/>
      </c>
      <c r="HP25" s="348" t="str">
        <f>IF(AP25="No",AP$3,"")</f>
        <v/>
      </c>
      <c r="HQ25" s="348" t="str">
        <f>IF(AQ25="No",AQ$3,"")</f>
        <v/>
      </c>
      <c r="HR25" s="348" t="e">
        <f>IF(#REF!="No",#REF!,"")</f>
        <v>#REF!</v>
      </c>
      <c r="HS25" s="356" t="str">
        <f>IF(AR25="No",AR$3,"")</f>
        <v/>
      </c>
      <c r="HT25" s="356" t="str">
        <f>IF(AS25="No",AS$3,"")</f>
        <v/>
      </c>
      <c r="HU25" s="356" t="str">
        <f>IF(AT25="No",AT$3,"")</f>
        <v/>
      </c>
      <c r="HV25" s="356" t="str">
        <f>IF(AU25="No",AU$3,"")</f>
        <v/>
      </c>
      <c r="HW25" s="356" t="str">
        <f>IF(AV25="No",AV$3,"")</f>
        <v/>
      </c>
      <c r="HX25" s="356" t="str">
        <f>IF(AW25="No",AW$3,"")</f>
        <v xml:space="preserve">¿El agente maneja correctamente las objeciones del cliente? </v>
      </c>
      <c r="HY25" s="356" t="str">
        <f>IF(AX25="No",AX$3,"")</f>
        <v/>
      </c>
      <c r="HZ25" s="356" t="str">
        <f>IF(AY25="No",AY$3,"")</f>
        <v/>
      </c>
      <c r="IA25" s="356" t="str">
        <f>IF(AZ25="No",AZ$3,"")</f>
        <v/>
      </c>
      <c r="IB25" s="356" t="str">
        <f>IF(BA25="No",BA$3,"")</f>
        <v/>
      </c>
      <c r="IC25" s="356" t="str">
        <f>IF(BB25="No",BB$3,"")</f>
        <v/>
      </c>
      <c r="ID25" s="349" t="str">
        <f>IF(BC25="No",BC$3,"")</f>
        <v/>
      </c>
      <c r="IE25" s="349" t="str">
        <f>IF(BD25="No",BD$3,"")</f>
        <v/>
      </c>
      <c r="IF25" s="349" t="str">
        <f>IF(BE25="No",BE$3,"")</f>
        <v/>
      </c>
      <c r="IG25" s="349" t="str">
        <f>IF(BF25="No",BF$3,"")</f>
        <v/>
      </c>
      <c r="IH25" s="347" t="str">
        <f>A25&amp;" "&amp;F25&amp;" "&amp;Data[[#This Row],[mes]]</f>
        <v>Anabel González Torres Outbound jul-26</v>
      </c>
      <c r="II25" s="357">
        <f>COUNTIF($IH25:$IH58,IH25)</f>
        <v>2</v>
      </c>
      <c r="IJ25" s="241">
        <f>IF(COUNTIF($IH$4:IH25,IH25)=1,1,0)</f>
        <v>1</v>
      </c>
      <c r="IK25" s="358">
        <f>IF(Data[[#This Row],[Muestra Critica]]&gt;0,Data[[#This Row],[Muestra Critica]],"")</f>
        <v>1</v>
      </c>
      <c r="IL25" s="354">
        <f>IF(IK25="","",COUNTIF($IK$4:$IK57,IK25))</f>
        <v>26</v>
      </c>
      <c r="IM25" s="359">
        <f>IF(IL25=1,1,0)</f>
        <v>0</v>
      </c>
      <c r="IN25" s="347" t="str">
        <f t="shared" si="150"/>
        <v>jul-26</v>
      </c>
      <c r="IO25" s="345"/>
      <c r="IP25" s="345"/>
      <c r="IQ25" s="345"/>
      <c r="IR25" s="345"/>
      <c r="IS25" s="347" t="str">
        <f ca="1">IFERROR(_xlfn.XLOOKUP(A:A,HC!B:B,HC!E:E,,0),0)</f>
        <v>1 a 30 dias</v>
      </c>
    </row>
    <row r="26" spans="1:253" ht="15.5" x14ac:dyDescent="0.35">
      <c r="A26" s="340" t="s">
        <v>428</v>
      </c>
      <c r="B26" s="340">
        <v>66756702</v>
      </c>
      <c r="C26" s="360">
        <v>46216</v>
      </c>
      <c r="D26" s="340" t="s">
        <v>406</v>
      </c>
      <c r="E26" s="341" t="s">
        <v>439</v>
      </c>
      <c r="F26" s="340" t="s">
        <v>32</v>
      </c>
      <c r="G26" s="232" t="s">
        <v>402</v>
      </c>
      <c r="H26" s="232" t="s">
        <v>441</v>
      </c>
      <c r="I26" s="342" t="s">
        <v>411</v>
      </c>
      <c r="J26" s="252" t="s">
        <v>33</v>
      </c>
      <c r="K26" s="252" t="s">
        <v>33</v>
      </c>
      <c r="L26" s="252" t="s">
        <v>33</v>
      </c>
      <c r="M26" s="252" t="s">
        <v>33</v>
      </c>
      <c r="N26" s="252" t="s">
        <v>33</v>
      </c>
      <c r="O26" s="252" t="s">
        <v>33</v>
      </c>
      <c r="P26" s="252" t="s">
        <v>33</v>
      </c>
      <c r="Q26" s="252" t="s">
        <v>33</v>
      </c>
      <c r="R26" s="252" t="s">
        <v>33</v>
      </c>
      <c r="S26" s="252" t="s">
        <v>33</v>
      </c>
      <c r="T26" s="252" t="s">
        <v>33</v>
      </c>
      <c r="U26" s="252" t="s">
        <v>33</v>
      </c>
      <c r="V26" s="253" t="s">
        <v>33</v>
      </c>
      <c r="W26" s="253" t="s">
        <v>33</v>
      </c>
      <c r="X26" s="253" t="s">
        <v>33</v>
      </c>
      <c r="Y26" s="253" t="s">
        <v>33</v>
      </c>
      <c r="Z26" s="253" t="s">
        <v>33</v>
      </c>
      <c r="AA26" s="253" t="s">
        <v>33</v>
      </c>
      <c r="AB26" s="253" t="s">
        <v>33</v>
      </c>
      <c r="AC26" s="253" t="s">
        <v>33</v>
      </c>
      <c r="AD26" s="253" t="s">
        <v>33</v>
      </c>
      <c r="AE26" s="253" t="s">
        <v>33</v>
      </c>
      <c r="AF26" s="253" t="s">
        <v>33</v>
      </c>
      <c r="AG26" s="253" t="s">
        <v>33</v>
      </c>
      <c r="AH26" s="253" t="s">
        <v>33</v>
      </c>
      <c r="AI26" s="253" t="s">
        <v>33</v>
      </c>
      <c r="AJ26" s="253" t="s">
        <v>33</v>
      </c>
      <c r="AK26" s="253" t="s">
        <v>33</v>
      </c>
      <c r="AL26" s="253" t="s">
        <v>33</v>
      </c>
      <c r="AM26" s="253" t="s">
        <v>33</v>
      </c>
      <c r="AN26" s="253" t="s">
        <v>33</v>
      </c>
      <c r="AO26" s="253" t="s">
        <v>33</v>
      </c>
      <c r="AP26" s="253" t="s">
        <v>33</v>
      </c>
      <c r="AQ26" s="253" t="s">
        <v>33</v>
      </c>
      <c r="AR26" s="253" t="s">
        <v>33</v>
      </c>
      <c r="AS26" s="253" t="s">
        <v>33</v>
      </c>
      <c r="AT26" s="253" t="s">
        <v>33</v>
      </c>
      <c r="AU26" s="253" t="s">
        <v>33</v>
      </c>
      <c r="AV26" s="253" t="s">
        <v>33</v>
      </c>
      <c r="AW26" s="253" t="s">
        <v>33</v>
      </c>
      <c r="AX26" s="253" t="s">
        <v>33</v>
      </c>
      <c r="AY26" s="253" t="s">
        <v>33</v>
      </c>
      <c r="AZ26" s="253" t="s">
        <v>33</v>
      </c>
      <c r="BA26" s="253" t="s">
        <v>33</v>
      </c>
      <c r="BB26" s="253" t="s">
        <v>33</v>
      </c>
      <c r="BC26" s="343" t="s">
        <v>33</v>
      </c>
      <c r="BD26" s="343" t="s">
        <v>33</v>
      </c>
      <c r="BE26" s="343" t="s">
        <v>33</v>
      </c>
      <c r="BF26" s="344" t="s">
        <v>33</v>
      </c>
      <c r="BG26" s="345"/>
      <c r="BH26" s="346" t="str">
        <f>Data[[#This Row],[Tipo de Muestra]]</f>
        <v>No Critica</v>
      </c>
      <c r="BI26" s="345"/>
      <c r="BJ26" s="347"/>
      <c r="BK26" s="348">
        <f>IF(OR(J26="Si",J26="N/A"),1,0)</f>
        <v>1</v>
      </c>
      <c r="BL26" s="348">
        <f>IF(OR(K26="Si",K26="N/A"),1,0)</f>
        <v>1</v>
      </c>
      <c r="BM26" s="348">
        <f>IF(OR(L26="Si",L26="N/A"),1,0)</f>
        <v>1</v>
      </c>
      <c r="BN26" s="348">
        <f>IF(OR(M26="Si",M26="N/A"),1,0)</f>
        <v>1</v>
      </c>
      <c r="BO26" s="348">
        <f>IF(OR(N26="Si",N26="N/A"),1,0)</f>
        <v>1</v>
      </c>
      <c r="BP26" s="348">
        <f>IF(OR(O26="Si",O26="N/A"),1,0)</f>
        <v>1</v>
      </c>
      <c r="BQ26" s="348">
        <f>IF(OR(P26="Si",P26="N/A"),1,0)</f>
        <v>1</v>
      </c>
      <c r="BR26" s="348">
        <f>IF(OR(Q26="Si",Q26="N/A"),1,0)</f>
        <v>1</v>
      </c>
      <c r="BS26" s="348">
        <f>IF(OR(R26="Si",R26="N/A"),1,0)</f>
        <v>1</v>
      </c>
      <c r="BT26" s="348">
        <f>IF(OR(S26="Si",S26="N/A"),1,0)</f>
        <v>1</v>
      </c>
      <c r="BU26" s="348">
        <f>IF(OR(T26="Si",T26="N/A"),1,0)</f>
        <v>1</v>
      </c>
      <c r="BV26" s="348">
        <f>IF(OR(U26="Si",U26="N/A"),1,0)</f>
        <v>1</v>
      </c>
      <c r="BW26" s="348">
        <f>IF(OR(V26="Si",V26="N/A"),1,0)</f>
        <v>1</v>
      </c>
      <c r="BX26" s="348">
        <f>IF(OR(W26="Si",W26="N/A"),1,0)</f>
        <v>1</v>
      </c>
      <c r="BY26" s="348">
        <f>IF(OR(X26="Sí",X26="N/A"),1,0)</f>
        <v>0</v>
      </c>
      <c r="BZ26" s="348">
        <f>IF(OR(Y26="Sí",Y26="N/A"),1,0)</f>
        <v>0</v>
      </c>
      <c r="CA26" s="348">
        <f>IF(OR(Z26="Sí",Z26="N/A"),1,0)</f>
        <v>0</v>
      </c>
      <c r="CB26" s="348">
        <f>IF(OR(AA26="Sí",AA26="N/A"),1,0)</f>
        <v>0</v>
      </c>
      <c r="CC26" s="348">
        <f>IF(OR(AB26="Sí",AB26="N/A"),1,0)</f>
        <v>0</v>
      </c>
      <c r="CD26" s="348">
        <f>IF(OR(AC26="Sí",AC26="N/A"),1,0)</f>
        <v>0</v>
      </c>
      <c r="CE26" s="348">
        <f>IF(OR(AD26="Sí",AD26="N/A"),1,0)</f>
        <v>0</v>
      </c>
      <c r="CF26" s="348">
        <f>IF(OR(AE26="Sí",AE26="N/A"),1,0)</f>
        <v>0</v>
      </c>
      <c r="CG26" s="348">
        <f>IF(OR(AF26="Sí",AF26="N/A"),1,0)</f>
        <v>0</v>
      </c>
      <c r="CH26" s="348">
        <f>IF(OR(AG26="Sí",AG26="N/A"),1,0)</f>
        <v>0</v>
      </c>
      <c r="CI26" s="348">
        <f>IF(OR(AH26="Sí",AH26="N/A"),1,0)</f>
        <v>0</v>
      </c>
      <c r="CJ26" s="348">
        <f>IF(OR(AI26="Sí",AI26="N/A"),1,0)</f>
        <v>0</v>
      </c>
      <c r="CK26" s="348">
        <f>IF(OR(AJ26="Sí",AJ26="N/A"),1,0)</f>
        <v>0</v>
      </c>
      <c r="CL26" s="348">
        <f>IF(OR(AK26="Sí",AK26="N/A"),1,0)</f>
        <v>0</v>
      </c>
      <c r="CM26" s="348">
        <f>IF(OR(AL26="Sí",AL26="N/A"),1,0)</f>
        <v>0</v>
      </c>
      <c r="CN26" s="348">
        <f>IF(OR(AM26="Sí",AM26="N/A"),1,0)</f>
        <v>0</v>
      </c>
      <c r="CO26" s="348">
        <f>IF(OR(AN26="Sí",AN26="N/A"),1,0)</f>
        <v>0</v>
      </c>
      <c r="CP26" s="348">
        <f>IF(OR(AO26="Sí",AO26="N/A"),1,0)</f>
        <v>0</v>
      </c>
      <c r="CQ26" s="348">
        <f>IF(OR(AP26="Sí",AP26="N/A"),1,0)</f>
        <v>0</v>
      </c>
      <c r="CR26" s="348">
        <f>IF(OR(AQ26="Sí",AQ26="N/A"),1,0)</f>
        <v>0</v>
      </c>
      <c r="CS26" s="348">
        <f>IF(OR(AR26="Sí",AR26="N/A"),1,0)</f>
        <v>0</v>
      </c>
      <c r="CT26" s="348">
        <f>IF(OR(AS26="Sí",AS26="N/A"),1,0)</f>
        <v>0</v>
      </c>
      <c r="CU26" s="348">
        <f>IF(OR(AT26="Sí",AT26="N/A"),1,0)</f>
        <v>0</v>
      </c>
      <c r="CV26" s="348">
        <f>IF(OR(AU26="Sí",AU26="N/A"),1,0)</f>
        <v>0</v>
      </c>
      <c r="CW26" s="348">
        <f>IF(OR(AV26="Sí",AV26="N/A"),1,0)</f>
        <v>0</v>
      </c>
      <c r="CX26" s="348">
        <f>IF(OR(AW26="Sí",AW26="N/A"),1,0)</f>
        <v>0</v>
      </c>
      <c r="CY26" s="348">
        <f>IF(OR(AX26="Sí",AX26="N/A"),1,0)</f>
        <v>0</v>
      </c>
      <c r="CZ26" s="348">
        <f>IF(OR(AY26="Sí",AY26="N/A"),1,0)</f>
        <v>0</v>
      </c>
      <c r="DA26" s="348">
        <f>IF(OR(AZ26="Sí",AZ26="N/A"),1,0)</f>
        <v>0</v>
      </c>
      <c r="DB26" s="348">
        <f>IF(OR(BA26="Sí",BA26="N/A"),1,0)</f>
        <v>0</v>
      </c>
      <c r="DC26" s="348">
        <f>IF(OR(BB26="Sí",BB26="N/A"),1,0)</f>
        <v>0</v>
      </c>
      <c r="DD26" s="349">
        <f>IF(OR(BC26="Sí",BC26="N/A"),1,0)</f>
        <v>0</v>
      </c>
      <c r="DE26" s="349">
        <f>IF(OR(BD26="Sí",BD26="N/A"),1,0)</f>
        <v>0</v>
      </c>
      <c r="DF26" s="349">
        <f>IF(OR(BE26="Sí",BE26="N/A"),1,0)</f>
        <v>0</v>
      </c>
      <c r="DG26" s="349">
        <f>IF(OR(BF26="Si",BF26="N/A"),1,0)</f>
        <v>1</v>
      </c>
      <c r="DH26" s="350">
        <f>IF((J26="No"),0,$DH$2)</f>
        <v>0.15</v>
      </c>
      <c r="DI26" s="350">
        <f>IF((K26="No"),0,$DH$2)</f>
        <v>0.15</v>
      </c>
      <c r="DJ26" s="350">
        <f>IF((L26="No"),0,$DH$2)</f>
        <v>0.15</v>
      </c>
      <c r="DK26" s="350">
        <f>IF(MIN(Data[[#This Row],[¿El agente cumple con la identificación formal y profesional?3]:[¿El agente realiza despedida corporativa?5]])=0,0,15%)</f>
        <v>0.15</v>
      </c>
      <c r="DL26" s="350">
        <f>IF((M26="No"),0,$DL$2)</f>
        <v>0.3</v>
      </c>
      <c r="DM26" s="350">
        <f>IF((N26="No"),0,$DL$2)</f>
        <v>0.3</v>
      </c>
      <c r="DN26" s="350">
        <f>IF((O26="No"),0,$DL$2)</f>
        <v>0.3</v>
      </c>
      <c r="DO26" s="350">
        <f>IF((P26="No"),0,$DL$2)</f>
        <v>0.3</v>
      </c>
      <c r="DP26" s="350">
        <f>IF(MIN(Data[[#This Row],[¿El agente demuestra escucha activa durante la gestión?6]:[¿El agente parafrasea para confirmar entendimiento?9]])=0,0,30%)</f>
        <v>0.3</v>
      </c>
      <c r="DQ26" s="350">
        <f>IF((Q26="No"),0,$DQ$2)</f>
        <v>0.3</v>
      </c>
      <c r="DR26" s="350">
        <f>IF((R26="No"),0,$DQ$2)</f>
        <v>0.3</v>
      </c>
      <c r="DS26" s="350">
        <f>IF((S26="No"),0,$DQ$2)</f>
        <v>0.3</v>
      </c>
      <c r="DT26" s="350">
        <f>IF((T26="No"),0,$DQ$2)</f>
        <v>0.3</v>
      </c>
      <c r="DU26" s="351">
        <f>IF(MIN(Data[[#This Row],[¿El agente adapta su comunicación al cliente?11]:[¿El agente utiliza el plural corporativo correctamente?14]])=0,0,30%)</f>
        <v>0.3</v>
      </c>
      <c r="DV26" s="350">
        <f>IF((U26="No"),0,$DV$2)</f>
        <v>0.25</v>
      </c>
      <c r="DW26" s="350">
        <f>IF(MIN(DV26)=0,0,25%)</f>
        <v>0.25</v>
      </c>
      <c r="DX26" s="350">
        <f>IF(SUM(DK26,DP26,DU26,DW26)&gt;335%,100%,SUM(DK26,DP26,DU26,DW26)/100%)</f>
        <v>1</v>
      </c>
      <c r="DY26" s="350">
        <f>IF((W26="No"),0,$DY$2)</f>
        <v>1</v>
      </c>
      <c r="DZ26" s="350">
        <f>IF((X26="No"),0,$DY$2)</f>
        <v>1</v>
      </c>
      <c r="EA26" s="350">
        <f>IF((Y26="No"),0,$DY$2)</f>
        <v>1</v>
      </c>
      <c r="EB26" s="350">
        <f>IF((Z26="No"),0,$DY$2)</f>
        <v>1</v>
      </c>
      <c r="EC26" s="352">
        <f>IF(SUM(Data[[#This Row],[¿El agente informa correctamente sobre los centros de pago?19]:[¿El agente explica el ciclo de facturación adecuadamente?22]])=400%,100%,0%)</f>
        <v>1</v>
      </c>
      <c r="ED26" s="350">
        <f>IF((AA26="No"),0,$DY$2)</f>
        <v>1</v>
      </c>
      <c r="EE26" s="350">
        <f>IF((AB26="No"),0,$DY$2)</f>
        <v>1</v>
      </c>
      <c r="EF26" s="352">
        <f>IF(SUM(Data[[#This Row],[¿El agente presenta correctamente los beneficios del producto?23]:[¿El agente comunica beneficios emocionales al cliente?24]])=200%,100%,0%)</f>
        <v>1</v>
      </c>
      <c r="EG26" s="350">
        <f>IF((AC26="No"),0,$DY$2)</f>
        <v>1</v>
      </c>
      <c r="EH26" s="350">
        <f>IF((AD26="No"),0,$DY$2)</f>
        <v>1</v>
      </c>
      <c r="EI26" s="350">
        <f>IF((AE26="No"),0,$DY$2)</f>
        <v>1</v>
      </c>
      <c r="EJ26" s="352">
        <f>IF(SUM(Data[[#This Row],[¿El agente realiza un resumen comercial adecuado?25]:[¿El agente formaliza correctamente el acuerdo de venta?27]])=300%,100%,0%)</f>
        <v>1</v>
      </c>
      <c r="EK26" s="350">
        <f>IF((AF26="No"),0,$DY$2)</f>
        <v>1</v>
      </c>
      <c r="EL26" s="352">
        <f>+Data[[#This Row],[¿El agente explica los términos y condiciones del servicio?28]]</f>
        <v>1</v>
      </c>
      <c r="EM26" s="350">
        <f>IF((AG26="No"),0,$DY$2)</f>
        <v>1</v>
      </c>
      <c r="EN26" s="352">
        <f>+Data[[#This Row],[¿El agente identifica correctamente la solicitud del cliente?29]]</f>
        <v>1</v>
      </c>
      <c r="EO26" s="350">
        <f>IF((AH26="No"),0,$DY$2)</f>
        <v>1</v>
      </c>
      <c r="EP26" s="350">
        <f>IF((AI26="No"),0,$DY$2)</f>
        <v>1</v>
      </c>
      <c r="EQ26" s="350">
        <f>IF((AJ26="No"),0,$DY$2)</f>
        <v>1</v>
      </c>
      <c r="ER26" s="352">
        <f>IF(SUM(Data[[#This Row],[¿El agente evita activar un servicio diferente al solicitado?30]:[¿El agente configura adecuadamente el producto contratado?32]])=300%,100%,0%)</f>
        <v>1</v>
      </c>
      <c r="ES26" s="350">
        <f>IF((AK26="No"),0,$DY$2)</f>
        <v>1</v>
      </c>
      <c r="ET26" s="350">
        <f>IF((AL26="No"),0,$DY$2)</f>
        <v>1</v>
      </c>
      <c r="EU26" s="352">
        <f>IF(SUM(Data[[#This Row],[¿El agente mantiene respeto y cordialidad en toda la interacción?33]:[¿El agente utiliza un lenguaje adecuado y profesional?34]])=200%,100%,0%)</f>
        <v>1</v>
      </c>
      <c r="EV26" s="350">
        <f>IF((AM26="No"),0,$DY$2)</f>
        <v>1</v>
      </c>
      <c r="EW26" s="350">
        <f>IF((AN26="No"),0,$DY$2)</f>
        <v>1</v>
      </c>
      <c r="EX26" s="350">
        <f>IF((AO26="No"),0,$DY$2)</f>
        <v>1</v>
      </c>
      <c r="EY26" s="350">
        <f>IF((AP26="No"),0,$DY$2)</f>
        <v>1</v>
      </c>
      <c r="EZ26" s="350">
        <f>IF((AQ26="No"),0,$DY$2)</f>
        <v>1</v>
      </c>
      <c r="FA26" s="350">
        <f>IF((AR26="No"),0,$DY$2)</f>
        <v>1</v>
      </c>
      <c r="FB26" s="352">
        <f>IF(SUM(Data[[#This Row],[¿El agente verifica correctamente la cobertura?35]:[¿El agente agenda citas o gestiones cuando es necesario?41]])=600%,100%,0%)</f>
        <v>1</v>
      </c>
      <c r="FC26" s="350">
        <f>IF(SUM(EC26,EF26,EL26,EJ26,EN26,ER26,EU26,FB26)=800%,100%,0%)</f>
        <v>1</v>
      </c>
      <c r="FD26" s="350">
        <f>IF((AR26="No"),0,$DY$2)</f>
        <v>1</v>
      </c>
      <c r="FE26" s="350">
        <f>IF((AS26="No"),0,$DY$2)</f>
        <v>1</v>
      </c>
      <c r="FF26" s="350">
        <f>IF((AT26="No"),0,$DY$2)</f>
        <v>1</v>
      </c>
      <c r="FG26" s="350">
        <f>IF((AU26="No"),0,$DY$2)</f>
        <v>1</v>
      </c>
      <c r="FH26" s="350">
        <f>IF((AV26="No"),0,$DY$2)</f>
        <v>1</v>
      </c>
      <c r="FI26" s="350">
        <f>IF((AW26="No"),0,$DY$2)</f>
        <v>1</v>
      </c>
      <c r="FJ26" s="350">
        <f>IF(SUM(Data[[#This Row],[¿El agente ofrece adecuadamente un producto adicional?42]:[¿El agente maneja correctamente las objeciones del cliente?47]])=600%,100%,)</f>
        <v>1</v>
      </c>
      <c r="FK26" s="350">
        <f>IF((AX26="No"),0,$DY$2)</f>
        <v>1</v>
      </c>
      <c r="FL26" s="350">
        <f>+Data[[#This Row],[¿El agente gestiona la oferta según la campaña vigente?48]]</f>
        <v>1</v>
      </c>
      <c r="FM26" s="350">
        <f>IF((AY26="No"),0,$DY$2)</f>
        <v>1</v>
      </c>
      <c r="FN26" s="350">
        <f>IF((AZ26="No"),0,$DY$2)</f>
        <v>1</v>
      </c>
      <c r="FO26" s="350">
        <f>IF((BA26="No"),0,$DY$2)</f>
        <v>1</v>
      </c>
      <c r="FP26" s="350">
        <f>IF(SUM(Data[[#This Row],[¿El agente solicita coordenadas cuando es necesario?49]:[¿El agente maneja adecuadamente llamadas en conferencia?51]])=300%,100%,)</f>
        <v>1</v>
      </c>
      <c r="FQ26" s="350">
        <f>IF((BB26="No"),0,$DY$2)</f>
        <v>1</v>
      </c>
      <c r="FR26" s="350">
        <f>+Data[[#This Row],[¿El agente registra correctamente todas las interacciones?52]]</f>
        <v>1</v>
      </c>
      <c r="FS26" s="350">
        <f>IF(SUM(FJ26,FL26,FP26,FR26)=400%,100%,0)</f>
        <v>1</v>
      </c>
      <c r="FT26" s="349">
        <f>IF((BC26="No"),0,$DY$2)</f>
        <v>1</v>
      </c>
      <c r="FU26" s="352">
        <f>+Data[[#This Row],[¿El agente confirma la titularidad del cliente adecuadamente?53]]</f>
        <v>1</v>
      </c>
      <c r="FV26" s="349">
        <f>IF((BD26="No"),0,$DY$2)</f>
        <v>1</v>
      </c>
      <c r="FW26" s="349">
        <f>IF((BE26="No"),0,$DY$2)</f>
        <v>1</v>
      </c>
      <c r="FX26" s="352">
        <f>IF(SUM(Data[[#This Row],[¿El agente evita la omisión de alertas importantes?54]]:Data[[#This Row],[¿El agente mantiene conducta ética durante la interacción?55]])=200%,100%,)</f>
        <v>1</v>
      </c>
      <c r="FY26" s="349">
        <f>IF((BF26="No"),0,$DY$2)</f>
        <v>1</v>
      </c>
      <c r="FZ26" s="352">
        <f>+Data[[#This Row],[¿El agente evita compartir información sensible?56]]</f>
        <v>1</v>
      </c>
      <c r="GA26" s="350">
        <f>IF(SUM(FU26,FX26,FZ26)=300%,100%,)</f>
        <v>1</v>
      </c>
      <c r="GB26" s="351">
        <f>$GB$2*DX26</f>
        <v>0.1</v>
      </c>
      <c r="GC26" s="351">
        <f>$GC$2*FC26</f>
        <v>0.3</v>
      </c>
      <c r="GD26" s="353">
        <f>$GD$2*FS26</f>
        <v>0.3</v>
      </c>
      <c r="GE26" s="353">
        <f>$GE$2*GA26</f>
        <v>0.3</v>
      </c>
      <c r="GF26" s="350">
        <f>SUM(Data[[#This Row],[PESO PENC]:[PESO PECCUM]])</f>
        <v>1</v>
      </c>
      <c r="GG26" s="354">
        <f>1</f>
        <v>1</v>
      </c>
      <c r="GH26" s="354">
        <f>IF((BH26="Critica"),1,0)</f>
        <v>0</v>
      </c>
      <c r="GI26" s="348" t="str">
        <f>IF(J26="No",J$3,"")</f>
        <v/>
      </c>
      <c r="GJ26" s="348" t="str">
        <f>IF(K26="No",K$3,"")</f>
        <v/>
      </c>
      <c r="GK26" s="348" t="str">
        <f>IF(L26="No",L$3,"")</f>
        <v/>
      </c>
      <c r="GL26" s="355"/>
      <c r="GM26" s="355"/>
      <c r="GN26" s="348" t="str">
        <f>IF(O26="No",O$3,"")</f>
        <v/>
      </c>
      <c r="GO26" s="348" t="str">
        <f>IF(P26="No",P$3,"")</f>
        <v/>
      </c>
      <c r="GP26" s="348" t="str">
        <f>IF(Q26="No",Q$3,"")</f>
        <v/>
      </c>
      <c r="GQ26" s="348" t="str">
        <f>IF(R26="No",R$3,"")</f>
        <v/>
      </c>
      <c r="GR26" s="348" t="str">
        <f>IF(S26="No",S$3,"")</f>
        <v/>
      </c>
      <c r="GS26" s="348" t="str">
        <f>IF(T26="No",T$3,"")</f>
        <v/>
      </c>
      <c r="GT26" s="348" t="str">
        <f>IF(U26="No",U$3,"")</f>
        <v/>
      </c>
      <c r="GU26" s="348" t="e">
        <f>IF(#REF!="No",#REF!,"")</f>
        <v>#REF!</v>
      </c>
      <c r="GV26" s="348" t="str">
        <f>IF(V26="No",V$3,"")</f>
        <v/>
      </c>
      <c r="GW26" s="348" t="str">
        <f>IF(W26="No",W$3,"")</f>
        <v/>
      </c>
      <c r="GX26" s="348" t="str">
        <f>IF(X26="No",X$3,"")</f>
        <v/>
      </c>
      <c r="GY26" s="348" t="str">
        <f>IF(Y26="No",Y$3,"")</f>
        <v/>
      </c>
      <c r="GZ26" s="348" t="str">
        <f>IF(Z26="No",Z$3,"")</f>
        <v/>
      </c>
      <c r="HA26" s="348" t="str">
        <f>IF(AA26="No",AA$3,"")</f>
        <v/>
      </c>
      <c r="HB26" s="348" t="str">
        <f>IF(AB26="No",AB$3,"")</f>
        <v/>
      </c>
      <c r="HC26" s="348" t="str">
        <f>IF(AC26="No",AC$3,"")</f>
        <v/>
      </c>
      <c r="HD26" s="348" t="str">
        <f>IF(AD26="No",AD$3,"")</f>
        <v/>
      </c>
      <c r="HE26" s="348" t="str">
        <f>IF(AE26="No",AE$3,"")</f>
        <v/>
      </c>
      <c r="HF26" s="348" t="str">
        <f>IF(AF26="No",AF$3,"")</f>
        <v/>
      </c>
      <c r="HG26" s="348" t="str">
        <f>IF(AG26="No",AG$3,"")</f>
        <v/>
      </c>
      <c r="HH26" s="348" t="str">
        <f>IF(AH26="No",AH$3,"")</f>
        <v/>
      </c>
      <c r="HI26" s="348" t="str">
        <f>IF(AI26="No",AI$3,"")</f>
        <v/>
      </c>
      <c r="HJ26" s="348" t="str">
        <f>IF(AJ26="No",AJ$3,"")</f>
        <v/>
      </c>
      <c r="HK26" s="348" t="str">
        <f>IF(AK26="No",AK$3,"")</f>
        <v/>
      </c>
      <c r="HL26" s="348" t="str">
        <f>IF(AL26="No",AL$3,"")</f>
        <v/>
      </c>
      <c r="HM26" s="348" t="str">
        <f>IF(AM26="No",AM$3,"")</f>
        <v/>
      </c>
      <c r="HN26" s="348" t="str">
        <f>IF(AN26="No",AN$3,"")</f>
        <v/>
      </c>
      <c r="HO26" s="348" t="str">
        <f>IF(AO26="No",AO$3,"")</f>
        <v/>
      </c>
      <c r="HP26" s="348" t="str">
        <f>IF(AP26="No",AP$3,"")</f>
        <v/>
      </c>
      <c r="HQ26" s="348" t="str">
        <f>IF(AQ26="No",AQ$3,"")</f>
        <v/>
      </c>
      <c r="HR26" s="348" t="e">
        <f>IF(#REF!="No",#REF!,"")</f>
        <v>#REF!</v>
      </c>
      <c r="HS26" s="356" t="str">
        <f>IF(AR26="No",AR$3,"")</f>
        <v/>
      </c>
      <c r="HT26" s="356" t="str">
        <f>IF(AS26="No",AS$3,"")</f>
        <v/>
      </c>
      <c r="HU26" s="356" t="str">
        <f>IF(AT26="No",AT$3,"")</f>
        <v/>
      </c>
      <c r="HV26" s="356" t="str">
        <f>IF(AU26="No",AU$3,"")</f>
        <v/>
      </c>
      <c r="HW26" s="356" t="str">
        <f>IF(AV26="No",AV$3,"")</f>
        <v/>
      </c>
      <c r="HX26" s="356" t="str">
        <f>IF(AW26="No",AW$3,"")</f>
        <v/>
      </c>
      <c r="HY26" s="356" t="str">
        <f>IF(AX26="No",AX$3,"")</f>
        <v/>
      </c>
      <c r="HZ26" s="356" t="str">
        <f>IF(AY26="No",AY$3,"")</f>
        <v/>
      </c>
      <c r="IA26" s="356" t="str">
        <f>IF(AZ26="No",AZ$3,"")</f>
        <v/>
      </c>
      <c r="IB26" s="356" t="str">
        <f>IF(BA26="No",BA$3,"")</f>
        <v/>
      </c>
      <c r="IC26" s="356" t="str">
        <f>IF(BB26="No",BB$3,"")</f>
        <v/>
      </c>
      <c r="ID26" s="349" t="str">
        <f>IF(BC26="No",BC$3,"")</f>
        <v/>
      </c>
      <c r="IE26" s="349" t="str">
        <f>IF(BD26="No",BD$3,"")</f>
        <v/>
      </c>
      <c r="IF26" s="349" t="str">
        <f>IF(BE26="No",BE$3,"")</f>
        <v/>
      </c>
      <c r="IG26" s="349" t="str">
        <f>IF(BF26="No",BF$3,"")</f>
        <v/>
      </c>
      <c r="IH26" s="347" t="str">
        <f>A26&amp;" "&amp;F26&amp;" "&amp;Data[[#This Row],[mes]]</f>
        <v>Anabel González Torres Outbound jul-26</v>
      </c>
      <c r="II26" s="357">
        <f>COUNTIF($IH26:$IH59,IH26)</f>
        <v>1</v>
      </c>
      <c r="IJ26" s="241">
        <f>IF(COUNTIF($IH$4:IH26,IH26)=1,1,0)</f>
        <v>0</v>
      </c>
      <c r="IK26" s="358" t="str">
        <f>IF(Data[[#This Row],[Muestra Critica]]&gt;0,Data[[#This Row],[Muestra Critica]],"")</f>
        <v/>
      </c>
      <c r="IL26" s="354" t="str">
        <f>IF(IK26="","",COUNTIF($IK$4:$IK58,IK26))</f>
        <v/>
      </c>
      <c r="IM26" s="359">
        <f>IF(IL26=1,1,0)</f>
        <v>0</v>
      </c>
      <c r="IN26" s="347" t="str">
        <f t="shared" si="150"/>
        <v>jul-26</v>
      </c>
      <c r="IO26" s="345"/>
      <c r="IP26" s="345"/>
      <c r="IQ26" s="345"/>
      <c r="IR26" s="345"/>
      <c r="IS26" s="347" t="str">
        <f ca="1">IFERROR(_xlfn.XLOOKUP(A:A,HC!B:B,HC!E:E,,0),0)</f>
        <v>1 a 30 dias</v>
      </c>
    </row>
    <row r="27" spans="1:253" ht="15.5" x14ac:dyDescent="0.35">
      <c r="A27" s="340" t="s">
        <v>429</v>
      </c>
      <c r="B27" s="340">
        <v>66739727</v>
      </c>
      <c r="C27" s="360">
        <v>46216</v>
      </c>
      <c r="D27" s="340" t="s">
        <v>406</v>
      </c>
      <c r="E27" s="341" t="s">
        <v>439</v>
      </c>
      <c r="F27" s="340" t="s">
        <v>32</v>
      </c>
      <c r="G27" s="232" t="s">
        <v>402</v>
      </c>
      <c r="H27" s="232" t="s">
        <v>441</v>
      </c>
      <c r="I27" s="342" t="s">
        <v>412</v>
      </c>
      <c r="J27" s="252" t="s">
        <v>33</v>
      </c>
      <c r="K27" s="252" t="s">
        <v>33</v>
      </c>
      <c r="L27" s="252" t="s">
        <v>33</v>
      </c>
      <c r="M27" s="252" t="s">
        <v>33</v>
      </c>
      <c r="N27" s="252" t="s">
        <v>33</v>
      </c>
      <c r="O27" s="252" t="s">
        <v>33</v>
      </c>
      <c r="P27" s="252" t="s">
        <v>33</v>
      </c>
      <c r="Q27" s="252" t="s">
        <v>33</v>
      </c>
      <c r="R27" s="252" t="s">
        <v>33</v>
      </c>
      <c r="S27" s="252" t="s">
        <v>33</v>
      </c>
      <c r="T27" s="252" t="s">
        <v>33</v>
      </c>
      <c r="U27" s="252" t="s">
        <v>33</v>
      </c>
      <c r="V27" s="253" t="s">
        <v>33</v>
      </c>
      <c r="W27" s="253" t="s">
        <v>33</v>
      </c>
      <c r="X27" s="253" t="s">
        <v>33</v>
      </c>
      <c r="Y27" s="253" t="s">
        <v>33</v>
      </c>
      <c r="Z27" s="253" t="s">
        <v>33</v>
      </c>
      <c r="AA27" s="253" t="s">
        <v>33</v>
      </c>
      <c r="AB27" s="253" t="s">
        <v>33</v>
      </c>
      <c r="AC27" s="253" t="s">
        <v>33</v>
      </c>
      <c r="AD27" s="253" t="s">
        <v>33</v>
      </c>
      <c r="AE27" s="253" t="s">
        <v>33</v>
      </c>
      <c r="AF27" s="253" t="s">
        <v>33</v>
      </c>
      <c r="AG27" s="253" t="s">
        <v>33</v>
      </c>
      <c r="AH27" s="253" t="s">
        <v>33</v>
      </c>
      <c r="AI27" s="253" t="s">
        <v>33</v>
      </c>
      <c r="AJ27" s="253" t="s">
        <v>33</v>
      </c>
      <c r="AK27" s="253" t="s">
        <v>33</v>
      </c>
      <c r="AL27" s="253" t="s">
        <v>33</v>
      </c>
      <c r="AM27" s="253" t="s">
        <v>33</v>
      </c>
      <c r="AN27" s="253" t="s">
        <v>33</v>
      </c>
      <c r="AO27" s="253" t="s">
        <v>33</v>
      </c>
      <c r="AP27" s="253" t="s">
        <v>33</v>
      </c>
      <c r="AQ27" s="253" t="s">
        <v>33</v>
      </c>
      <c r="AR27" s="253" t="s">
        <v>33</v>
      </c>
      <c r="AS27" s="253" t="s">
        <v>33</v>
      </c>
      <c r="AT27" s="253" t="s">
        <v>33</v>
      </c>
      <c r="AU27" s="253" t="s">
        <v>33</v>
      </c>
      <c r="AV27" s="253" t="s">
        <v>34</v>
      </c>
      <c r="AW27" s="253" t="s">
        <v>34</v>
      </c>
      <c r="AX27" s="253" t="s">
        <v>33</v>
      </c>
      <c r="AY27" s="253" t="s">
        <v>33</v>
      </c>
      <c r="AZ27" s="253" t="s">
        <v>33</v>
      </c>
      <c r="BA27" s="253" t="s">
        <v>33</v>
      </c>
      <c r="BB27" s="253" t="s">
        <v>33</v>
      </c>
      <c r="BC27" s="343" t="s">
        <v>33</v>
      </c>
      <c r="BD27" s="343" t="s">
        <v>33</v>
      </c>
      <c r="BE27" s="343" t="s">
        <v>33</v>
      </c>
      <c r="BF27" s="344" t="s">
        <v>33</v>
      </c>
      <c r="BG27" s="345"/>
      <c r="BH27" s="346" t="str">
        <f>Data[[#This Row],[Tipo de Muestra]]</f>
        <v>Critica</v>
      </c>
      <c r="BI27" s="345"/>
      <c r="BJ27" s="347"/>
      <c r="BK27" s="348">
        <f>IF(OR(J27="Si",J27="N/A"),1,0)</f>
        <v>1</v>
      </c>
      <c r="BL27" s="348">
        <f>IF(OR(K27="Si",K27="N/A"),1,0)</f>
        <v>1</v>
      </c>
      <c r="BM27" s="348">
        <f>IF(OR(L27="Si",L27="N/A"),1,0)</f>
        <v>1</v>
      </c>
      <c r="BN27" s="348">
        <f>IF(OR(M27="Si",M27="N/A"),1,0)</f>
        <v>1</v>
      </c>
      <c r="BO27" s="348">
        <f>IF(OR(N27="Si",N27="N/A"),1,0)</f>
        <v>1</v>
      </c>
      <c r="BP27" s="348">
        <f>IF(OR(O27="Si",O27="N/A"),1,0)</f>
        <v>1</v>
      </c>
      <c r="BQ27" s="348">
        <f>IF(OR(P27="Si",P27="N/A"),1,0)</f>
        <v>1</v>
      </c>
      <c r="BR27" s="348">
        <f>IF(OR(Q27="Si",Q27="N/A"),1,0)</f>
        <v>1</v>
      </c>
      <c r="BS27" s="348">
        <f>IF(OR(R27="Si",R27="N/A"),1,0)</f>
        <v>1</v>
      </c>
      <c r="BT27" s="348">
        <f>IF(OR(S27="Si",S27="N/A"),1,0)</f>
        <v>1</v>
      </c>
      <c r="BU27" s="348">
        <f>IF(OR(T27="Si",T27="N/A"),1,0)</f>
        <v>1</v>
      </c>
      <c r="BV27" s="348">
        <f>IF(OR(U27="Si",U27="N/A"),1,0)</f>
        <v>1</v>
      </c>
      <c r="BW27" s="348">
        <f>IF(OR(V27="Si",V27="N/A"),1,0)</f>
        <v>1</v>
      </c>
      <c r="BX27" s="348">
        <f>IF(OR(W27="Si",W27="N/A"),1,0)</f>
        <v>1</v>
      </c>
      <c r="BY27" s="348">
        <f>IF(OR(X27="Sí",X27="N/A"),1,0)</f>
        <v>0</v>
      </c>
      <c r="BZ27" s="348">
        <f>IF(OR(Y27="Sí",Y27="N/A"),1,0)</f>
        <v>0</v>
      </c>
      <c r="CA27" s="348">
        <f>IF(OR(Z27="Sí",Z27="N/A"),1,0)</f>
        <v>0</v>
      </c>
      <c r="CB27" s="348">
        <f>IF(OR(AA27="Sí",AA27="N/A"),1,0)</f>
        <v>0</v>
      </c>
      <c r="CC27" s="348">
        <f>IF(OR(AB27="Sí",AB27="N/A"),1,0)</f>
        <v>0</v>
      </c>
      <c r="CD27" s="348">
        <f>IF(OR(AC27="Sí",AC27="N/A"),1,0)</f>
        <v>0</v>
      </c>
      <c r="CE27" s="348">
        <f>IF(OR(AD27="Sí",AD27="N/A"),1,0)</f>
        <v>0</v>
      </c>
      <c r="CF27" s="348">
        <f>IF(OR(AE27="Sí",AE27="N/A"),1,0)</f>
        <v>0</v>
      </c>
      <c r="CG27" s="348">
        <f>IF(OR(AF27="Sí",AF27="N/A"),1,0)</f>
        <v>0</v>
      </c>
      <c r="CH27" s="348">
        <f>IF(OR(AG27="Sí",AG27="N/A"),1,0)</f>
        <v>0</v>
      </c>
      <c r="CI27" s="348">
        <f>IF(OR(AH27="Sí",AH27="N/A"),1,0)</f>
        <v>0</v>
      </c>
      <c r="CJ27" s="348">
        <f>IF(OR(AI27="Sí",AI27="N/A"),1,0)</f>
        <v>0</v>
      </c>
      <c r="CK27" s="348">
        <f>IF(OR(AJ27="Sí",AJ27="N/A"),1,0)</f>
        <v>0</v>
      </c>
      <c r="CL27" s="348">
        <f>IF(OR(AK27="Sí",AK27="N/A"),1,0)</f>
        <v>0</v>
      </c>
      <c r="CM27" s="348">
        <f>IF(OR(AL27="Sí",AL27="N/A"),1,0)</f>
        <v>0</v>
      </c>
      <c r="CN27" s="348">
        <f>IF(OR(AM27="Sí",AM27="N/A"),1,0)</f>
        <v>0</v>
      </c>
      <c r="CO27" s="348">
        <f>IF(OR(AN27="Sí",AN27="N/A"),1,0)</f>
        <v>0</v>
      </c>
      <c r="CP27" s="348">
        <f>IF(OR(AO27="Sí",AO27="N/A"),1,0)</f>
        <v>0</v>
      </c>
      <c r="CQ27" s="348">
        <f>IF(OR(AP27="Sí",AP27="N/A"),1,0)</f>
        <v>0</v>
      </c>
      <c r="CR27" s="348">
        <f>IF(OR(AQ27="Sí",AQ27="N/A"),1,0)</f>
        <v>0</v>
      </c>
      <c r="CS27" s="348">
        <f>IF(OR(AR27="Sí",AR27="N/A"),1,0)</f>
        <v>0</v>
      </c>
      <c r="CT27" s="348">
        <f>IF(OR(AS27="Sí",AS27="N/A"),1,0)</f>
        <v>0</v>
      </c>
      <c r="CU27" s="348">
        <f>IF(OR(AT27="Sí",AT27="N/A"),1,0)</f>
        <v>0</v>
      </c>
      <c r="CV27" s="348">
        <f>IF(OR(AU27="Sí",AU27="N/A"),1,0)</f>
        <v>0</v>
      </c>
      <c r="CW27" s="348">
        <f>IF(OR(AV27="Sí",AV27="N/A"),1,0)</f>
        <v>0</v>
      </c>
      <c r="CX27" s="348">
        <f>IF(OR(AW27="Sí",AW27="N/A"),1,0)</f>
        <v>0</v>
      </c>
      <c r="CY27" s="348">
        <f>IF(OR(AX27="Sí",AX27="N/A"),1,0)</f>
        <v>0</v>
      </c>
      <c r="CZ27" s="348">
        <f>IF(OR(AY27="Sí",AY27="N/A"),1,0)</f>
        <v>0</v>
      </c>
      <c r="DA27" s="348">
        <f>IF(OR(AZ27="Sí",AZ27="N/A"),1,0)</f>
        <v>0</v>
      </c>
      <c r="DB27" s="348">
        <f>IF(OR(BA27="Sí",BA27="N/A"),1,0)</f>
        <v>0</v>
      </c>
      <c r="DC27" s="348">
        <f>IF(OR(BB27="Sí",BB27="N/A"),1,0)</f>
        <v>0</v>
      </c>
      <c r="DD27" s="349">
        <f>IF(OR(BC27="Sí",BC27="N/A"),1,0)</f>
        <v>0</v>
      </c>
      <c r="DE27" s="349">
        <f>IF(OR(BD27="Sí",BD27="N/A"),1,0)</f>
        <v>0</v>
      </c>
      <c r="DF27" s="349">
        <f>IF(OR(BE27="Sí",BE27="N/A"),1,0)</f>
        <v>0</v>
      </c>
      <c r="DG27" s="349">
        <f>IF(OR(BF27="Si",BF27="N/A"),1,0)</f>
        <v>1</v>
      </c>
      <c r="DH27" s="350">
        <f>IF((J27="No"),0,$DH$2)</f>
        <v>0.15</v>
      </c>
      <c r="DI27" s="350">
        <f>IF((K27="No"),0,$DH$2)</f>
        <v>0.15</v>
      </c>
      <c r="DJ27" s="350">
        <f>IF((L27="No"),0,$DH$2)</f>
        <v>0.15</v>
      </c>
      <c r="DK27" s="350">
        <f>IF(MIN(Data[[#This Row],[¿El agente cumple con la identificación formal y profesional?3]:[¿El agente realiza despedida corporativa?5]])=0,0,15%)</f>
        <v>0.15</v>
      </c>
      <c r="DL27" s="350">
        <f>IF((M27="No"),0,$DL$2)</f>
        <v>0.3</v>
      </c>
      <c r="DM27" s="350">
        <f>IF((N27="No"),0,$DL$2)</f>
        <v>0.3</v>
      </c>
      <c r="DN27" s="350">
        <f>IF((O27="No"),0,$DL$2)</f>
        <v>0.3</v>
      </c>
      <c r="DO27" s="350">
        <f>IF((P27="No"),0,$DL$2)</f>
        <v>0.3</v>
      </c>
      <c r="DP27" s="350">
        <f>IF(MIN(Data[[#This Row],[¿El agente demuestra escucha activa durante la gestión?6]:[¿El agente parafrasea para confirmar entendimiento?9]])=0,0,30%)</f>
        <v>0.3</v>
      </c>
      <c r="DQ27" s="350">
        <f>IF((Q27="No"),0,$DQ$2)</f>
        <v>0.3</v>
      </c>
      <c r="DR27" s="350">
        <f>IF((R27="No"),0,$DQ$2)</f>
        <v>0.3</v>
      </c>
      <c r="DS27" s="350">
        <f>IF((S27="No"),0,$DQ$2)</f>
        <v>0.3</v>
      </c>
      <c r="DT27" s="350">
        <f>IF((T27="No"),0,$DQ$2)</f>
        <v>0.3</v>
      </c>
      <c r="DU27" s="351">
        <f>IF(MIN(Data[[#This Row],[¿El agente adapta su comunicación al cliente?11]:[¿El agente utiliza el plural corporativo correctamente?14]])=0,0,30%)</f>
        <v>0.3</v>
      </c>
      <c r="DV27" s="350">
        <f>IF((U27="No"),0,$DV$2)</f>
        <v>0.25</v>
      </c>
      <c r="DW27" s="350">
        <f>IF(MIN(DV27)=0,0,25%)</f>
        <v>0.25</v>
      </c>
      <c r="DX27" s="350">
        <f>IF(SUM(DK27,DP27,DU27,DW27)&gt;335%,100%,SUM(DK27,DP27,DU27,DW27)/100%)</f>
        <v>1</v>
      </c>
      <c r="DY27" s="350">
        <f>IF((W27="No"),0,$DY$2)</f>
        <v>1</v>
      </c>
      <c r="DZ27" s="350">
        <f>IF((X27="No"),0,$DY$2)</f>
        <v>1</v>
      </c>
      <c r="EA27" s="350">
        <f>IF((Y27="No"),0,$DY$2)</f>
        <v>1</v>
      </c>
      <c r="EB27" s="350">
        <f>IF((Z27="No"),0,$DY$2)</f>
        <v>1</v>
      </c>
      <c r="EC27" s="352">
        <f>IF(SUM(Data[[#This Row],[¿El agente informa correctamente sobre los centros de pago?19]:[¿El agente explica el ciclo de facturación adecuadamente?22]])=400%,100%,0%)</f>
        <v>1</v>
      </c>
      <c r="ED27" s="350">
        <f>IF((AA27="No"),0,$DY$2)</f>
        <v>1</v>
      </c>
      <c r="EE27" s="350">
        <f>IF((AB27="No"),0,$DY$2)</f>
        <v>1</v>
      </c>
      <c r="EF27" s="352">
        <f>IF(SUM(Data[[#This Row],[¿El agente presenta correctamente los beneficios del producto?23]:[¿El agente comunica beneficios emocionales al cliente?24]])=200%,100%,0%)</f>
        <v>1</v>
      </c>
      <c r="EG27" s="350">
        <f>IF((AC27="No"),0,$DY$2)</f>
        <v>1</v>
      </c>
      <c r="EH27" s="350">
        <f>IF((AD27="No"),0,$DY$2)</f>
        <v>1</v>
      </c>
      <c r="EI27" s="350">
        <f>IF((AE27="No"),0,$DY$2)</f>
        <v>1</v>
      </c>
      <c r="EJ27" s="352">
        <f>IF(SUM(Data[[#This Row],[¿El agente realiza un resumen comercial adecuado?25]:[¿El agente formaliza correctamente el acuerdo de venta?27]])=300%,100%,0%)</f>
        <v>1</v>
      </c>
      <c r="EK27" s="350">
        <f>IF((AF27="No"),0,$DY$2)</f>
        <v>1</v>
      </c>
      <c r="EL27" s="352">
        <f>+Data[[#This Row],[¿El agente explica los términos y condiciones del servicio?28]]</f>
        <v>1</v>
      </c>
      <c r="EM27" s="350">
        <f>IF((AG27="No"),0,$DY$2)</f>
        <v>1</v>
      </c>
      <c r="EN27" s="352">
        <f>+Data[[#This Row],[¿El agente identifica correctamente la solicitud del cliente?29]]</f>
        <v>1</v>
      </c>
      <c r="EO27" s="350">
        <f>IF((AH27="No"),0,$DY$2)</f>
        <v>1</v>
      </c>
      <c r="EP27" s="350">
        <f>IF((AI27="No"),0,$DY$2)</f>
        <v>1</v>
      </c>
      <c r="EQ27" s="350">
        <f>IF((AJ27="No"),0,$DY$2)</f>
        <v>1</v>
      </c>
      <c r="ER27" s="352">
        <f>IF(SUM(Data[[#This Row],[¿El agente evita activar un servicio diferente al solicitado?30]:[¿El agente configura adecuadamente el producto contratado?32]])=300%,100%,0%)</f>
        <v>1</v>
      </c>
      <c r="ES27" s="350">
        <f>IF((AK27="No"),0,$DY$2)</f>
        <v>1</v>
      </c>
      <c r="ET27" s="350">
        <f>IF((AL27="No"),0,$DY$2)</f>
        <v>1</v>
      </c>
      <c r="EU27" s="352">
        <f>IF(SUM(Data[[#This Row],[¿El agente mantiene respeto y cordialidad en toda la interacción?33]:[¿El agente utiliza un lenguaje adecuado y profesional?34]])=200%,100%,0%)</f>
        <v>1</v>
      </c>
      <c r="EV27" s="350">
        <f>IF((AM27="No"),0,$DY$2)</f>
        <v>1</v>
      </c>
      <c r="EW27" s="350">
        <f>IF((AN27="No"),0,$DY$2)</f>
        <v>1</v>
      </c>
      <c r="EX27" s="350">
        <f>IF((AO27="No"),0,$DY$2)</f>
        <v>1</v>
      </c>
      <c r="EY27" s="350">
        <f>IF((AP27="No"),0,$DY$2)</f>
        <v>1</v>
      </c>
      <c r="EZ27" s="350">
        <f>IF((AQ27="No"),0,$DY$2)</f>
        <v>1</v>
      </c>
      <c r="FA27" s="350">
        <f>IF((AR27="No"),0,$DY$2)</f>
        <v>1</v>
      </c>
      <c r="FB27" s="352">
        <f>IF(SUM(Data[[#This Row],[¿El agente verifica correctamente la cobertura?35]:[¿El agente agenda citas o gestiones cuando es necesario?41]])=600%,100%,0%)</f>
        <v>1</v>
      </c>
      <c r="FC27" s="350">
        <f>IF(SUM(EC27,EF27,EL27,EJ27,EN27,ER27,EU27,FB27)=800%,100%,0%)</f>
        <v>1</v>
      </c>
      <c r="FD27" s="350">
        <f>IF((AR27="No"),0,$DY$2)</f>
        <v>1</v>
      </c>
      <c r="FE27" s="350">
        <f>IF((AS27="No"),0,$DY$2)</f>
        <v>1</v>
      </c>
      <c r="FF27" s="350">
        <f>IF((AT27="No"),0,$DY$2)</f>
        <v>1</v>
      </c>
      <c r="FG27" s="350">
        <f>IF((AU27="No"),0,$DY$2)</f>
        <v>1</v>
      </c>
      <c r="FH27" s="350">
        <f>IF((AV27="No"),0,$DY$2)</f>
        <v>0</v>
      </c>
      <c r="FI27" s="350">
        <f>IF((AW27="No"),0,$DY$2)</f>
        <v>0</v>
      </c>
      <c r="FJ27" s="350">
        <f>IF(SUM(Data[[#This Row],[¿El agente ofrece adecuadamente un producto adicional?42]:[¿El agente maneja correctamente las objeciones del cliente?47]])=600%,100%,)</f>
        <v>0</v>
      </c>
      <c r="FK27" s="350">
        <f>IF((AX27="No"),0,$DY$2)</f>
        <v>1</v>
      </c>
      <c r="FL27" s="350">
        <f>+Data[[#This Row],[¿El agente gestiona la oferta según la campaña vigente?48]]</f>
        <v>1</v>
      </c>
      <c r="FM27" s="350">
        <f>IF((AY27="No"),0,$DY$2)</f>
        <v>1</v>
      </c>
      <c r="FN27" s="350">
        <f>IF((AZ27="No"),0,$DY$2)</f>
        <v>1</v>
      </c>
      <c r="FO27" s="350">
        <f>IF((BA27="No"),0,$DY$2)</f>
        <v>1</v>
      </c>
      <c r="FP27" s="350">
        <f>IF(SUM(Data[[#This Row],[¿El agente solicita coordenadas cuando es necesario?49]:[¿El agente maneja adecuadamente llamadas en conferencia?51]])=300%,100%,)</f>
        <v>1</v>
      </c>
      <c r="FQ27" s="350">
        <f>IF((BB27="No"),0,$DY$2)</f>
        <v>1</v>
      </c>
      <c r="FR27" s="350">
        <f>+Data[[#This Row],[¿El agente registra correctamente todas las interacciones?52]]</f>
        <v>1</v>
      </c>
      <c r="FS27" s="350">
        <f>IF(SUM(FJ27,FL27,FP27,FR27)=400%,100%,0)</f>
        <v>0</v>
      </c>
      <c r="FT27" s="349">
        <f>IF((BC27="No"),0,$DY$2)</f>
        <v>1</v>
      </c>
      <c r="FU27" s="352">
        <f>+Data[[#This Row],[¿El agente confirma la titularidad del cliente adecuadamente?53]]</f>
        <v>1</v>
      </c>
      <c r="FV27" s="349">
        <f>IF((BD27="No"),0,$DY$2)</f>
        <v>1</v>
      </c>
      <c r="FW27" s="349">
        <f>IF((BE27="No"),0,$DY$2)</f>
        <v>1</v>
      </c>
      <c r="FX27" s="352">
        <f>IF(SUM(Data[[#This Row],[¿El agente evita la omisión de alertas importantes?54]]:Data[[#This Row],[¿El agente mantiene conducta ética durante la interacción?55]])=200%,100%,)</f>
        <v>1</v>
      </c>
      <c r="FY27" s="349">
        <f>IF((BF27="No"),0,$DY$2)</f>
        <v>1</v>
      </c>
      <c r="FZ27" s="352">
        <f>+Data[[#This Row],[¿El agente evita compartir información sensible?56]]</f>
        <v>1</v>
      </c>
      <c r="GA27" s="350">
        <f>IF(SUM(FU27,FX27,FZ27)=300%,100%,)</f>
        <v>1</v>
      </c>
      <c r="GB27" s="351">
        <f>$GB$2*DX27</f>
        <v>0.1</v>
      </c>
      <c r="GC27" s="351">
        <f>$GC$2*FC27</f>
        <v>0.3</v>
      </c>
      <c r="GD27" s="353">
        <f>$GD$2*FS27</f>
        <v>0</v>
      </c>
      <c r="GE27" s="353">
        <f>$GE$2*GA27</f>
        <v>0.3</v>
      </c>
      <c r="GF27" s="350">
        <f>SUM(Data[[#This Row],[PESO PENC]:[PESO PECCUM]])</f>
        <v>0.7</v>
      </c>
      <c r="GG27" s="354">
        <f>1</f>
        <v>1</v>
      </c>
      <c r="GH27" s="354">
        <f>IF((BH27="Critica"),1,0)</f>
        <v>1</v>
      </c>
      <c r="GI27" s="348" t="str">
        <f>IF(J27="No",J$3,"")</f>
        <v/>
      </c>
      <c r="GJ27" s="348" t="str">
        <f>IF(K27="No",K$3,"")</f>
        <v/>
      </c>
      <c r="GK27" s="348" t="str">
        <f>IF(L27="No",L$3,"")</f>
        <v/>
      </c>
      <c r="GL27" s="355"/>
      <c r="GM27" s="355"/>
      <c r="GN27" s="348" t="str">
        <f>IF(O27="No",O$3,"")</f>
        <v/>
      </c>
      <c r="GO27" s="348" t="str">
        <f>IF(P27="No",P$3,"")</f>
        <v/>
      </c>
      <c r="GP27" s="348" t="str">
        <f>IF(Q27="No",Q$3,"")</f>
        <v/>
      </c>
      <c r="GQ27" s="348" t="str">
        <f>IF(R27="No",R$3,"")</f>
        <v/>
      </c>
      <c r="GR27" s="348" t="str">
        <f>IF(S27="No",S$3,"")</f>
        <v/>
      </c>
      <c r="GS27" s="348" t="str">
        <f>IF(T27="No",T$3,"")</f>
        <v/>
      </c>
      <c r="GT27" s="348" t="str">
        <f>IF(U27="No",U$3,"")</f>
        <v/>
      </c>
      <c r="GU27" s="348" t="e">
        <f>IF(#REF!="No",#REF!,"")</f>
        <v>#REF!</v>
      </c>
      <c r="GV27" s="348" t="str">
        <f>IF(V27="No",V$3,"")</f>
        <v/>
      </c>
      <c r="GW27" s="348" t="str">
        <f>IF(W27="No",W$3,"")</f>
        <v/>
      </c>
      <c r="GX27" s="348" t="str">
        <f>IF(X27="No",X$3,"")</f>
        <v/>
      </c>
      <c r="GY27" s="348" t="str">
        <f>IF(Y27="No",Y$3,"")</f>
        <v/>
      </c>
      <c r="GZ27" s="348" t="str">
        <f>IF(Z27="No",Z$3,"")</f>
        <v/>
      </c>
      <c r="HA27" s="348" t="str">
        <f>IF(AA27="No",AA$3,"")</f>
        <v/>
      </c>
      <c r="HB27" s="348" t="str">
        <f>IF(AB27="No",AB$3,"")</f>
        <v/>
      </c>
      <c r="HC27" s="348" t="str">
        <f>IF(AC27="No",AC$3,"")</f>
        <v/>
      </c>
      <c r="HD27" s="348" t="str">
        <f>IF(AD27="No",AD$3,"")</f>
        <v/>
      </c>
      <c r="HE27" s="348" t="str">
        <f>IF(AE27="No",AE$3,"")</f>
        <v/>
      </c>
      <c r="HF27" s="348" t="str">
        <f>IF(AF27="No",AF$3,"")</f>
        <v/>
      </c>
      <c r="HG27" s="348" t="str">
        <f>IF(AG27="No",AG$3,"")</f>
        <v/>
      </c>
      <c r="HH27" s="348" t="str">
        <f>IF(AH27="No",AH$3,"")</f>
        <v/>
      </c>
      <c r="HI27" s="348" t="str">
        <f>IF(AI27="No",AI$3,"")</f>
        <v/>
      </c>
      <c r="HJ27" s="348" t="str">
        <f>IF(AJ27="No",AJ$3,"")</f>
        <v/>
      </c>
      <c r="HK27" s="348" t="str">
        <f>IF(AK27="No",AK$3,"")</f>
        <v/>
      </c>
      <c r="HL27" s="348" t="str">
        <f>IF(AL27="No",AL$3,"")</f>
        <v/>
      </c>
      <c r="HM27" s="348" t="str">
        <f>IF(AM27="No",AM$3,"")</f>
        <v/>
      </c>
      <c r="HN27" s="348" t="str">
        <f>IF(AN27="No",AN$3,"")</f>
        <v/>
      </c>
      <c r="HO27" s="348" t="str">
        <f>IF(AO27="No",AO$3,"")</f>
        <v/>
      </c>
      <c r="HP27" s="348" t="str">
        <f>IF(AP27="No",AP$3,"")</f>
        <v/>
      </c>
      <c r="HQ27" s="348" t="str">
        <f>IF(AQ27="No",AQ$3,"")</f>
        <v/>
      </c>
      <c r="HR27" s="348" t="e">
        <f>IF(#REF!="No",#REF!,"")</f>
        <v>#REF!</v>
      </c>
      <c r="HS27" s="356" t="str">
        <f>IF(AR27="No",AR$3,"")</f>
        <v/>
      </c>
      <c r="HT27" s="356" t="str">
        <f>IF(AS27="No",AS$3,"")</f>
        <v/>
      </c>
      <c r="HU27" s="356" t="str">
        <f>IF(AT27="No",AT$3,"")</f>
        <v/>
      </c>
      <c r="HV27" s="356" t="str">
        <f>IF(AU27="No",AU$3,"")</f>
        <v/>
      </c>
      <c r="HW27" s="356" t="str">
        <f>IF(AV27="No",AV$3,"")</f>
        <v xml:space="preserve">¿El agente realiza seguimiento adecuado al caso o solicitud? </v>
      </c>
      <c r="HX27" s="356" t="str">
        <f>IF(AW27="No",AW$3,"")</f>
        <v xml:space="preserve">¿El agente maneja correctamente las objeciones del cliente? </v>
      </c>
      <c r="HY27" s="356" t="str">
        <f>IF(AX27="No",AX$3,"")</f>
        <v/>
      </c>
      <c r="HZ27" s="356" t="str">
        <f>IF(AY27="No",AY$3,"")</f>
        <v/>
      </c>
      <c r="IA27" s="356" t="str">
        <f>IF(AZ27="No",AZ$3,"")</f>
        <v/>
      </c>
      <c r="IB27" s="356" t="str">
        <f>IF(BA27="No",BA$3,"")</f>
        <v/>
      </c>
      <c r="IC27" s="356" t="str">
        <f>IF(BB27="No",BB$3,"")</f>
        <v/>
      </c>
      <c r="ID27" s="349" t="str">
        <f>IF(BC27="No",BC$3,"")</f>
        <v/>
      </c>
      <c r="IE27" s="349" t="str">
        <f>IF(BD27="No",BD$3,"")</f>
        <v/>
      </c>
      <c r="IF27" s="349" t="str">
        <f>IF(BE27="No",BE$3,"")</f>
        <v/>
      </c>
      <c r="IG27" s="349" t="str">
        <f>IF(BF27="No",BF$3,"")</f>
        <v/>
      </c>
      <c r="IH27" s="347" t="str">
        <f>A27&amp;" "&amp;F27&amp;" "&amp;Data[[#This Row],[mes]]</f>
        <v>Yasmara Tejeira Hernández Outbound jul-26</v>
      </c>
      <c r="II27" s="357">
        <f>COUNTIF($IH27:$IH60,IH27)</f>
        <v>2</v>
      </c>
      <c r="IJ27" s="241">
        <f>IF(COUNTIF($IH$4:IH27,IH27)=1,1,0)</f>
        <v>1</v>
      </c>
      <c r="IK27" s="358">
        <f>IF(Data[[#This Row],[Muestra Critica]]&gt;0,Data[[#This Row],[Muestra Critica]],"")</f>
        <v>1</v>
      </c>
      <c r="IL27" s="354">
        <f>IF(IK27="","",COUNTIF($IK$4:$IK59,IK27))</f>
        <v>26</v>
      </c>
      <c r="IM27" s="359">
        <f>IF(IL27=1,1,0)</f>
        <v>0</v>
      </c>
      <c r="IN27" s="347" t="str">
        <f t="shared" si="150"/>
        <v>jul-26</v>
      </c>
      <c r="IO27" s="345"/>
      <c r="IP27" s="345"/>
      <c r="IQ27" s="345"/>
      <c r="IR27" s="345"/>
      <c r="IS27" s="347" t="str">
        <f ca="1">IFERROR(_xlfn.XLOOKUP(A:A,HC!B:B,HC!E:E,,0),0)</f>
        <v>1 a 30 dias</v>
      </c>
    </row>
    <row r="28" spans="1:253" ht="15.5" x14ac:dyDescent="0.35">
      <c r="A28" s="340" t="s">
        <v>429</v>
      </c>
      <c r="B28" s="340">
        <v>65112931</v>
      </c>
      <c r="C28" s="360">
        <v>46216</v>
      </c>
      <c r="D28" s="340" t="s">
        <v>406</v>
      </c>
      <c r="E28" s="341" t="s">
        <v>439</v>
      </c>
      <c r="F28" s="340" t="s">
        <v>32</v>
      </c>
      <c r="G28" s="232" t="s">
        <v>402</v>
      </c>
      <c r="H28" s="232" t="s">
        <v>441</v>
      </c>
      <c r="I28" s="342" t="s">
        <v>411</v>
      </c>
      <c r="J28" s="252" t="s">
        <v>33</v>
      </c>
      <c r="K28" s="252" t="s">
        <v>33</v>
      </c>
      <c r="L28" s="252" t="s">
        <v>33</v>
      </c>
      <c r="M28" s="252" t="s">
        <v>33</v>
      </c>
      <c r="N28" s="252" t="s">
        <v>33</v>
      </c>
      <c r="O28" s="252" t="s">
        <v>33</v>
      </c>
      <c r="P28" s="252" t="s">
        <v>33</v>
      </c>
      <c r="Q28" s="252" t="s">
        <v>34</v>
      </c>
      <c r="R28" s="252" t="s">
        <v>33</v>
      </c>
      <c r="S28" s="252" t="s">
        <v>33</v>
      </c>
      <c r="T28" s="252" t="s">
        <v>33</v>
      </c>
      <c r="U28" s="252" t="s">
        <v>33</v>
      </c>
      <c r="V28" s="253" t="s">
        <v>33</v>
      </c>
      <c r="W28" s="253" t="s">
        <v>33</v>
      </c>
      <c r="X28" s="253" t="s">
        <v>33</v>
      </c>
      <c r="Y28" s="253" t="s">
        <v>33</v>
      </c>
      <c r="Z28" s="253" t="s">
        <v>33</v>
      </c>
      <c r="AA28" s="253" t="s">
        <v>33</v>
      </c>
      <c r="AB28" s="253" t="s">
        <v>33</v>
      </c>
      <c r="AC28" s="253" t="s">
        <v>33</v>
      </c>
      <c r="AD28" s="253" t="s">
        <v>33</v>
      </c>
      <c r="AE28" s="253" t="s">
        <v>33</v>
      </c>
      <c r="AF28" s="253" t="s">
        <v>33</v>
      </c>
      <c r="AG28" s="253" t="s">
        <v>33</v>
      </c>
      <c r="AH28" s="253" t="s">
        <v>33</v>
      </c>
      <c r="AI28" s="253" t="s">
        <v>33</v>
      </c>
      <c r="AJ28" s="253" t="s">
        <v>33</v>
      </c>
      <c r="AK28" s="253" t="s">
        <v>33</v>
      </c>
      <c r="AL28" s="253" t="s">
        <v>33</v>
      </c>
      <c r="AM28" s="253" t="s">
        <v>33</v>
      </c>
      <c r="AN28" s="253" t="s">
        <v>33</v>
      </c>
      <c r="AO28" s="253" t="s">
        <v>33</v>
      </c>
      <c r="AP28" s="253" t="s">
        <v>33</v>
      </c>
      <c r="AQ28" s="253" t="s">
        <v>33</v>
      </c>
      <c r="AR28" s="253" t="s">
        <v>33</v>
      </c>
      <c r="AS28" s="253" t="s">
        <v>33</v>
      </c>
      <c r="AT28" s="253" t="s">
        <v>33</v>
      </c>
      <c r="AU28" s="253" t="s">
        <v>33</v>
      </c>
      <c r="AV28" s="253" t="s">
        <v>33</v>
      </c>
      <c r="AW28" s="253" t="s">
        <v>33</v>
      </c>
      <c r="AX28" s="253" t="s">
        <v>33</v>
      </c>
      <c r="AY28" s="253" t="s">
        <v>33</v>
      </c>
      <c r="AZ28" s="253" t="s">
        <v>33</v>
      </c>
      <c r="BA28" s="253" t="s">
        <v>33</v>
      </c>
      <c r="BB28" s="253" t="s">
        <v>33</v>
      </c>
      <c r="BC28" s="343" t="s">
        <v>33</v>
      </c>
      <c r="BD28" s="343" t="s">
        <v>33</v>
      </c>
      <c r="BE28" s="343" t="s">
        <v>33</v>
      </c>
      <c r="BF28" s="344" t="s">
        <v>33</v>
      </c>
      <c r="BG28" s="345"/>
      <c r="BH28" s="346" t="str">
        <f>Data[[#This Row],[Tipo de Muestra]]</f>
        <v>No Critica</v>
      </c>
      <c r="BI28" s="345"/>
      <c r="BJ28" s="347"/>
      <c r="BK28" s="348">
        <f>IF(OR(J28="Si",J28="N/A"),1,0)</f>
        <v>1</v>
      </c>
      <c r="BL28" s="348">
        <f>IF(OR(K28="Si",K28="N/A"),1,0)</f>
        <v>1</v>
      </c>
      <c r="BM28" s="348">
        <f>IF(OR(L28="Si",L28="N/A"),1,0)</f>
        <v>1</v>
      </c>
      <c r="BN28" s="348">
        <f>IF(OR(M28="Si",M28="N/A"),1,0)</f>
        <v>1</v>
      </c>
      <c r="BO28" s="348">
        <f>IF(OR(N28="Si",N28="N/A"),1,0)</f>
        <v>1</v>
      </c>
      <c r="BP28" s="348">
        <f>IF(OR(O28="Si",O28="N/A"),1,0)</f>
        <v>1</v>
      </c>
      <c r="BQ28" s="348">
        <f>IF(OR(P28="Si",P28="N/A"),1,0)</f>
        <v>1</v>
      </c>
      <c r="BR28" s="348">
        <f>IF(OR(Q28="Si",Q28="N/A"),1,0)</f>
        <v>0</v>
      </c>
      <c r="BS28" s="348">
        <f>IF(OR(R28="Si",R28="N/A"),1,0)</f>
        <v>1</v>
      </c>
      <c r="BT28" s="348">
        <f>IF(OR(S28="Si",S28="N/A"),1,0)</f>
        <v>1</v>
      </c>
      <c r="BU28" s="348">
        <f>IF(OR(T28="Si",T28="N/A"),1,0)</f>
        <v>1</v>
      </c>
      <c r="BV28" s="348">
        <f>IF(OR(U28="Si",U28="N/A"),1,0)</f>
        <v>1</v>
      </c>
      <c r="BW28" s="348">
        <f>IF(OR(V28="Si",V28="N/A"),1,0)</f>
        <v>1</v>
      </c>
      <c r="BX28" s="348">
        <f>IF(OR(W28="Si",W28="N/A"),1,0)</f>
        <v>1</v>
      </c>
      <c r="BY28" s="348">
        <f>IF(OR(X28="Sí",X28="N/A"),1,0)</f>
        <v>0</v>
      </c>
      <c r="BZ28" s="348">
        <f>IF(OR(Y28="Sí",Y28="N/A"),1,0)</f>
        <v>0</v>
      </c>
      <c r="CA28" s="348">
        <f>IF(OR(Z28="Sí",Z28="N/A"),1,0)</f>
        <v>0</v>
      </c>
      <c r="CB28" s="348">
        <f>IF(OR(AA28="Sí",AA28="N/A"),1,0)</f>
        <v>0</v>
      </c>
      <c r="CC28" s="348">
        <f>IF(OR(AB28="Sí",AB28="N/A"),1,0)</f>
        <v>0</v>
      </c>
      <c r="CD28" s="348">
        <f>IF(OR(AC28="Sí",AC28="N/A"),1,0)</f>
        <v>0</v>
      </c>
      <c r="CE28" s="348">
        <f>IF(OR(AD28="Sí",AD28="N/A"),1,0)</f>
        <v>0</v>
      </c>
      <c r="CF28" s="348">
        <f>IF(OR(AE28="Sí",AE28="N/A"),1,0)</f>
        <v>0</v>
      </c>
      <c r="CG28" s="348">
        <f>IF(OR(AF28="Sí",AF28="N/A"),1,0)</f>
        <v>0</v>
      </c>
      <c r="CH28" s="348">
        <f>IF(OR(AG28="Sí",AG28="N/A"),1,0)</f>
        <v>0</v>
      </c>
      <c r="CI28" s="348">
        <f>IF(OR(AH28="Sí",AH28="N/A"),1,0)</f>
        <v>0</v>
      </c>
      <c r="CJ28" s="348">
        <f>IF(OR(AI28="Sí",AI28="N/A"),1,0)</f>
        <v>0</v>
      </c>
      <c r="CK28" s="348">
        <f>IF(OR(AJ28="Sí",AJ28="N/A"),1,0)</f>
        <v>0</v>
      </c>
      <c r="CL28" s="348">
        <f>IF(OR(AK28="Sí",AK28="N/A"),1,0)</f>
        <v>0</v>
      </c>
      <c r="CM28" s="348">
        <f>IF(OR(AL28="Sí",AL28="N/A"),1,0)</f>
        <v>0</v>
      </c>
      <c r="CN28" s="348">
        <f>IF(OR(AM28="Sí",AM28="N/A"),1,0)</f>
        <v>0</v>
      </c>
      <c r="CO28" s="348">
        <f>IF(OR(AN28="Sí",AN28="N/A"),1,0)</f>
        <v>0</v>
      </c>
      <c r="CP28" s="348">
        <f>IF(OR(AO28="Sí",AO28="N/A"),1,0)</f>
        <v>0</v>
      </c>
      <c r="CQ28" s="348">
        <f>IF(OR(AP28="Sí",AP28="N/A"),1,0)</f>
        <v>0</v>
      </c>
      <c r="CR28" s="348">
        <f>IF(OR(AQ28="Sí",AQ28="N/A"),1,0)</f>
        <v>0</v>
      </c>
      <c r="CS28" s="348">
        <f>IF(OR(AR28="Sí",AR28="N/A"),1,0)</f>
        <v>0</v>
      </c>
      <c r="CT28" s="348">
        <f>IF(OR(AS28="Sí",AS28="N/A"),1,0)</f>
        <v>0</v>
      </c>
      <c r="CU28" s="348">
        <f>IF(OR(AT28="Sí",AT28="N/A"),1,0)</f>
        <v>0</v>
      </c>
      <c r="CV28" s="348">
        <f>IF(OR(AU28="Sí",AU28="N/A"),1,0)</f>
        <v>0</v>
      </c>
      <c r="CW28" s="348">
        <f>IF(OR(AV28="Sí",AV28="N/A"),1,0)</f>
        <v>0</v>
      </c>
      <c r="CX28" s="348">
        <f>IF(OR(AW28="Sí",AW28="N/A"),1,0)</f>
        <v>0</v>
      </c>
      <c r="CY28" s="348">
        <f>IF(OR(AX28="Sí",AX28="N/A"),1,0)</f>
        <v>0</v>
      </c>
      <c r="CZ28" s="348">
        <f>IF(OR(AY28="Sí",AY28="N/A"),1,0)</f>
        <v>0</v>
      </c>
      <c r="DA28" s="348">
        <f>IF(OR(AZ28="Sí",AZ28="N/A"),1,0)</f>
        <v>0</v>
      </c>
      <c r="DB28" s="348">
        <f>IF(OR(BA28="Sí",BA28="N/A"),1,0)</f>
        <v>0</v>
      </c>
      <c r="DC28" s="348">
        <f>IF(OR(BB28="Sí",BB28="N/A"),1,0)</f>
        <v>0</v>
      </c>
      <c r="DD28" s="349">
        <f>IF(OR(BC28="Sí",BC28="N/A"),1,0)</f>
        <v>0</v>
      </c>
      <c r="DE28" s="349">
        <f>IF(OR(BD28="Sí",BD28="N/A"),1,0)</f>
        <v>0</v>
      </c>
      <c r="DF28" s="349">
        <f>IF(OR(BE28="Sí",BE28="N/A"),1,0)</f>
        <v>0</v>
      </c>
      <c r="DG28" s="349">
        <f>IF(OR(BF28="Si",BF28="N/A"),1,0)</f>
        <v>1</v>
      </c>
      <c r="DH28" s="350">
        <f>IF((J28="No"),0,$DH$2)</f>
        <v>0.15</v>
      </c>
      <c r="DI28" s="350">
        <f>IF((K28="No"),0,$DH$2)</f>
        <v>0.15</v>
      </c>
      <c r="DJ28" s="350">
        <f>IF((L28="No"),0,$DH$2)</f>
        <v>0.15</v>
      </c>
      <c r="DK28" s="350">
        <f>IF(MIN(Data[[#This Row],[¿El agente cumple con la identificación formal y profesional?3]:[¿El agente realiza despedida corporativa?5]])=0,0,15%)</f>
        <v>0.15</v>
      </c>
      <c r="DL28" s="350">
        <f>IF((M28="No"),0,$DL$2)</f>
        <v>0.3</v>
      </c>
      <c r="DM28" s="350">
        <f>IF((N28="No"),0,$DL$2)</f>
        <v>0.3</v>
      </c>
      <c r="DN28" s="350">
        <f>IF((O28="No"),0,$DL$2)</f>
        <v>0.3</v>
      </c>
      <c r="DO28" s="350">
        <f>IF((P28="No"),0,$DL$2)</f>
        <v>0.3</v>
      </c>
      <c r="DP28" s="350">
        <f>IF(MIN(Data[[#This Row],[¿El agente demuestra escucha activa durante la gestión?6]:[¿El agente parafrasea para confirmar entendimiento?9]])=0,0,30%)</f>
        <v>0.3</v>
      </c>
      <c r="DQ28" s="350">
        <f>IF((Q28="No"),0,$DQ$2)</f>
        <v>0</v>
      </c>
      <c r="DR28" s="350">
        <f>IF((R28="No"),0,$DQ$2)</f>
        <v>0.3</v>
      </c>
      <c r="DS28" s="350">
        <f>IF((S28="No"),0,$DQ$2)</f>
        <v>0.3</v>
      </c>
      <c r="DT28" s="350">
        <f>IF((T28="No"),0,$DQ$2)</f>
        <v>0.3</v>
      </c>
      <c r="DU28" s="351">
        <f>IF(MIN(Data[[#This Row],[¿El agente adapta su comunicación al cliente?11]:[¿El agente utiliza el plural corporativo correctamente?14]])=0,0,30%)</f>
        <v>0</v>
      </c>
      <c r="DV28" s="350">
        <f>IF((U28="No"),0,$DV$2)</f>
        <v>0.25</v>
      </c>
      <c r="DW28" s="350">
        <f>IF(MIN(DV28)=0,0,25%)</f>
        <v>0.25</v>
      </c>
      <c r="DX28" s="350">
        <f>IF(SUM(DK28,DP28,DU28,DW28)&gt;335%,100%,SUM(DK28,DP28,DU28,DW28)/100%)</f>
        <v>0.7</v>
      </c>
      <c r="DY28" s="350">
        <f>IF((W28="No"),0,$DY$2)</f>
        <v>1</v>
      </c>
      <c r="DZ28" s="350">
        <f>IF((X28="No"),0,$DY$2)</f>
        <v>1</v>
      </c>
      <c r="EA28" s="350">
        <f>IF((Y28="No"),0,$DY$2)</f>
        <v>1</v>
      </c>
      <c r="EB28" s="350">
        <f>IF((Z28="No"),0,$DY$2)</f>
        <v>1</v>
      </c>
      <c r="EC28" s="352">
        <f>IF(SUM(Data[[#This Row],[¿El agente informa correctamente sobre los centros de pago?19]:[¿El agente explica el ciclo de facturación adecuadamente?22]])=400%,100%,0%)</f>
        <v>1</v>
      </c>
      <c r="ED28" s="350">
        <f>IF((AA28="No"),0,$DY$2)</f>
        <v>1</v>
      </c>
      <c r="EE28" s="350">
        <f>IF((AB28="No"),0,$DY$2)</f>
        <v>1</v>
      </c>
      <c r="EF28" s="352">
        <f>IF(SUM(Data[[#This Row],[¿El agente presenta correctamente los beneficios del producto?23]:[¿El agente comunica beneficios emocionales al cliente?24]])=200%,100%,0%)</f>
        <v>1</v>
      </c>
      <c r="EG28" s="350">
        <f>IF((AC28="No"),0,$DY$2)</f>
        <v>1</v>
      </c>
      <c r="EH28" s="350">
        <f>IF((AD28="No"),0,$DY$2)</f>
        <v>1</v>
      </c>
      <c r="EI28" s="350">
        <f>IF((AE28="No"),0,$DY$2)</f>
        <v>1</v>
      </c>
      <c r="EJ28" s="352">
        <f>IF(SUM(Data[[#This Row],[¿El agente realiza un resumen comercial adecuado?25]:[¿El agente formaliza correctamente el acuerdo de venta?27]])=300%,100%,0%)</f>
        <v>1</v>
      </c>
      <c r="EK28" s="350">
        <f>IF((AF28="No"),0,$DY$2)</f>
        <v>1</v>
      </c>
      <c r="EL28" s="352">
        <f>+Data[[#This Row],[¿El agente explica los términos y condiciones del servicio?28]]</f>
        <v>1</v>
      </c>
      <c r="EM28" s="350">
        <f>IF((AG28="No"),0,$DY$2)</f>
        <v>1</v>
      </c>
      <c r="EN28" s="352">
        <f>+Data[[#This Row],[¿El agente identifica correctamente la solicitud del cliente?29]]</f>
        <v>1</v>
      </c>
      <c r="EO28" s="350">
        <f>IF((AH28="No"),0,$DY$2)</f>
        <v>1</v>
      </c>
      <c r="EP28" s="350">
        <f>IF((AI28="No"),0,$DY$2)</f>
        <v>1</v>
      </c>
      <c r="EQ28" s="350">
        <f>IF((AJ28="No"),0,$DY$2)</f>
        <v>1</v>
      </c>
      <c r="ER28" s="352">
        <f>IF(SUM(Data[[#This Row],[¿El agente evita activar un servicio diferente al solicitado?30]:[¿El agente configura adecuadamente el producto contratado?32]])=300%,100%,0%)</f>
        <v>1</v>
      </c>
      <c r="ES28" s="350">
        <f>IF((AK28="No"),0,$DY$2)</f>
        <v>1</v>
      </c>
      <c r="ET28" s="350">
        <f>IF((AL28="No"),0,$DY$2)</f>
        <v>1</v>
      </c>
      <c r="EU28" s="352">
        <f>IF(SUM(Data[[#This Row],[¿El agente mantiene respeto y cordialidad en toda la interacción?33]:[¿El agente utiliza un lenguaje adecuado y profesional?34]])=200%,100%,0%)</f>
        <v>1</v>
      </c>
      <c r="EV28" s="350">
        <f>IF((AM28="No"),0,$DY$2)</f>
        <v>1</v>
      </c>
      <c r="EW28" s="350">
        <f>IF((AN28="No"),0,$DY$2)</f>
        <v>1</v>
      </c>
      <c r="EX28" s="350">
        <f>IF((AO28="No"),0,$DY$2)</f>
        <v>1</v>
      </c>
      <c r="EY28" s="350">
        <f>IF((AP28="No"),0,$DY$2)</f>
        <v>1</v>
      </c>
      <c r="EZ28" s="350">
        <f>IF((AQ28="No"),0,$DY$2)</f>
        <v>1</v>
      </c>
      <c r="FA28" s="350">
        <f>IF((AR28="No"),0,$DY$2)</f>
        <v>1</v>
      </c>
      <c r="FB28" s="352">
        <f>IF(SUM(Data[[#This Row],[¿El agente verifica correctamente la cobertura?35]:[¿El agente agenda citas o gestiones cuando es necesario?41]])=600%,100%,0%)</f>
        <v>1</v>
      </c>
      <c r="FC28" s="350">
        <f>IF(SUM(EC28,EF28,EL28,EJ28,EN28,ER28,EU28,FB28)=800%,100%,0%)</f>
        <v>1</v>
      </c>
      <c r="FD28" s="350">
        <f>IF((AR28="No"),0,$DY$2)</f>
        <v>1</v>
      </c>
      <c r="FE28" s="350">
        <f>IF((AS28="No"),0,$DY$2)</f>
        <v>1</v>
      </c>
      <c r="FF28" s="350">
        <f>IF((AT28="No"),0,$DY$2)</f>
        <v>1</v>
      </c>
      <c r="FG28" s="350">
        <f>IF((AU28="No"),0,$DY$2)</f>
        <v>1</v>
      </c>
      <c r="FH28" s="350">
        <f>IF((AV28="No"),0,$DY$2)</f>
        <v>1</v>
      </c>
      <c r="FI28" s="350">
        <f>IF((AW28="No"),0,$DY$2)</f>
        <v>1</v>
      </c>
      <c r="FJ28" s="350">
        <f>IF(SUM(Data[[#This Row],[¿El agente ofrece adecuadamente un producto adicional?42]:[¿El agente maneja correctamente las objeciones del cliente?47]])=600%,100%,)</f>
        <v>1</v>
      </c>
      <c r="FK28" s="350">
        <f>IF((AX28="No"),0,$DY$2)</f>
        <v>1</v>
      </c>
      <c r="FL28" s="350">
        <f>+Data[[#This Row],[¿El agente gestiona la oferta según la campaña vigente?48]]</f>
        <v>1</v>
      </c>
      <c r="FM28" s="350">
        <f>IF((AY28="No"),0,$DY$2)</f>
        <v>1</v>
      </c>
      <c r="FN28" s="350">
        <f>IF((AZ28="No"),0,$DY$2)</f>
        <v>1</v>
      </c>
      <c r="FO28" s="350">
        <f>IF((BA28="No"),0,$DY$2)</f>
        <v>1</v>
      </c>
      <c r="FP28" s="350">
        <f>IF(SUM(Data[[#This Row],[¿El agente solicita coordenadas cuando es necesario?49]:[¿El agente maneja adecuadamente llamadas en conferencia?51]])=300%,100%,)</f>
        <v>1</v>
      </c>
      <c r="FQ28" s="350">
        <f>IF((BB28="No"),0,$DY$2)</f>
        <v>1</v>
      </c>
      <c r="FR28" s="350">
        <f>+Data[[#This Row],[¿El agente registra correctamente todas las interacciones?52]]</f>
        <v>1</v>
      </c>
      <c r="FS28" s="350">
        <f>IF(SUM(FJ28,FL28,FP28,FR28)=400%,100%,0)</f>
        <v>1</v>
      </c>
      <c r="FT28" s="349">
        <f>IF((BC28="No"),0,$DY$2)</f>
        <v>1</v>
      </c>
      <c r="FU28" s="352">
        <f>+Data[[#This Row],[¿El agente confirma la titularidad del cliente adecuadamente?53]]</f>
        <v>1</v>
      </c>
      <c r="FV28" s="349">
        <f>IF((BD28="No"),0,$DY$2)</f>
        <v>1</v>
      </c>
      <c r="FW28" s="349">
        <f>IF((BE28="No"),0,$DY$2)</f>
        <v>1</v>
      </c>
      <c r="FX28" s="352">
        <f>IF(SUM(Data[[#This Row],[¿El agente evita la omisión de alertas importantes?54]]:Data[[#This Row],[¿El agente mantiene conducta ética durante la interacción?55]])=200%,100%,)</f>
        <v>1</v>
      </c>
      <c r="FY28" s="349">
        <f>IF((BF28="No"),0,$DY$2)</f>
        <v>1</v>
      </c>
      <c r="FZ28" s="352">
        <f>+Data[[#This Row],[¿El agente evita compartir información sensible?56]]</f>
        <v>1</v>
      </c>
      <c r="GA28" s="350">
        <f>IF(SUM(FU28,FX28,FZ28)=300%,100%,)</f>
        <v>1</v>
      </c>
      <c r="GB28" s="351">
        <f>$GB$2*DX28</f>
        <v>6.9999999999999993E-2</v>
      </c>
      <c r="GC28" s="351">
        <f>$GC$2*FC28</f>
        <v>0.3</v>
      </c>
      <c r="GD28" s="353">
        <f>$GD$2*FS28</f>
        <v>0.3</v>
      </c>
      <c r="GE28" s="353">
        <f>$GE$2*GA28</f>
        <v>0.3</v>
      </c>
      <c r="GF28" s="350">
        <f>SUM(Data[[#This Row],[PESO PENC]:[PESO PECCUM]])</f>
        <v>0.97</v>
      </c>
      <c r="GG28" s="354">
        <f>1</f>
        <v>1</v>
      </c>
      <c r="GH28" s="354">
        <f>IF((BH28="Critica"),1,0)</f>
        <v>0</v>
      </c>
      <c r="GI28" s="348" t="str">
        <f>IF(J28="No",J$3,"")</f>
        <v/>
      </c>
      <c r="GJ28" s="348" t="str">
        <f>IF(K28="No",K$3,"")</f>
        <v/>
      </c>
      <c r="GK28" s="348" t="str">
        <f>IF(L28="No",L$3,"")</f>
        <v/>
      </c>
      <c r="GL28" s="355"/>
      <c r="GM28" s="355"/>
      <c r="GN28" s="348" t="str">
        <f>IF(O28="No",O$3,"")</f>
        <v/>
      </c>
      <c r="GO28" s="348" t="str">
        <f>IF(P28="No",P$3,"")</f>
        <v/>
      </c>
      <c r="GP28" s="348" t="str">
        <f>IF(Q28="No",Q$3,"")</f>
        <v xml:space="preserve">¿El agente muestra entusiasmo genuino? </v>
      </c>
      <c r="GQ28" s="348" t="str">
        <f>IF(R28="No",R$3,"")</f>
        <v/>
      </c>
      <c r="GR28" s="348" t="str">
        <f>IF(S28="No",S$3,"")</f>
        <v/>
      </c>
      <c r="GS28" s="348" t="str">
        <f>IF(T28="No",T$3,"")</f>
        <v/>
      </c>
      <c r="GT28" s="348" t="str">
        <f>IF(U28="No",U$3,"")</f>
        <v/>
      </c>
      <c r="GU28" s="348" t="e">
        <f>IF(#REF!="No",#REF!,"")</f>
        <v>#REF!</v>
      </c>
      <c r="GV28" s="348" t="str">
        <f>IF(V28="No",V$3,"")</f>
        <v/>
      </c>
      <c r="GW28" s="348" t="str">
        <f>IF(W28="No",W$3,"")</f>
        <v/>
      </c>
      <c r="GX28" s="348" t="str">
        <f>IF(X28="No",X$3,"")</f>
        <v/>
      </c>
      <c r="GY28" s="348" t="str">
        <f>IF(Y28="No",Y$3,"")</f>
        <v/>
      </c>
      <c r="GZ28" s="348" t="str">
        <f>IF(Z28="No",Z$3,"")</f>
        <v/>
      </c>
      <c r="HA28" s="348" t="str">
        <f>IF(AA28="No",AA$3,"")</f>
        <v/>
      </c>
      <c r="HB28" s="348" t="str">
        <f>IF(AB28="No",AB$3,"")</f>
        <v/>
      </c>
      <c r="HC28" s="348" t="str">
        <f>IF(AC28="No",AC$3,"")</f>
        <v/>
      </c>
      <c r="HD28" s="348" t="str">
        <f>IF(AD28="No",AD$3,"")</f>
        <v/>
      </c>
      <c r="HE28" s="348" t="str">
        <f>IF(AE28="No",AE$3,"")</f>
        <v/>
      </c>
      <c r="HF28" s="348" t="str">
        <f>IF(AF28="No",AF$3,"")</f>
        <v/>
      </c>
      <c r="HG28" s="348" t="str">
        <f>IF(AG28="No",AG$3,"")</f>
        <v/>
      </c>
      <c r="HH28" s="348" t="str">
        <f>IF(AH28="No",AH$3,"")</f>
        <v/>
      </c>
      <c r="HI28" s="348" t="str">
        <f>IF(AI28="No",AI$3,"")</f>
        <v/>
      </c>
      <c r="HJ28" s="348" t="str">
        <f>IF(AJ28="No",AJ$3,"")</f>
        <v/>
      </c>
      <c r="HK28" s="348" t="str">
        <f>IF(AK28="No",AK$3,"")</f>
        <v/>
      </c>
      <c r="HL28" s="348" t="str">
        <f>IF(AL28="No",AL$3,"")</f>
        <v/>
      </c>
      <c r="HM28" s="348" t="str">
        <f>IF(AM28="No",AM$3,"")</f>
        <v/>
      </c>
      <c r="HN28" s="348" t="str">
        <f>IF(AN28="No",AN$3,"")</f>
        <v/>
      </c>
      <c r="HO28" s="348" t="str">
        <f>IF(AO28="No",AO$3,"")</f>
        <v/>
      </c>
      <c r="HP28" s="348" t="str">
        <f>IF(AP28="No",AP$3,"")</f>
        <v/>
      </c>
      <c r="HQ28" s="348" t="str">
        <f>IF(AQ28="No",AQ$3,"")</f>
        <v/>
      </c>
      <c r="HR28" s="348" t="e">
        <f>IF(#REF!="No",#REF!,"")</f>
        <v>#REF!</v>
      </c>
      <c r="HS28" s="356" t="str">
        <f>IF(AR28="No",AR$3,"")</f>
        <v/>
      </c>
      <c r="HT28" s="356" t="str">
        <f>IF(AS28="No",AS$3,"")</f>
        <v/>
      </c>
      <c r="HU28" s="356" t="str">
        <f>IF(AT28="No",AT$3,"")</f>
        <v/>
      </c>
      <c r="HV28" s="356" t="str">
        <f>IF(AU28="No",AU$3,"")</f>
        <v/>
      </c>
      <c r="HW28" s="356" t="str">
        <f>IF(AV28="No",AV$3,"")</f>
        <v/>
      </c>
      <c r="HX28" s="356" t="str">
        <f>IF(AW28="No",AW$3,"")</f>
        <v/>
      </c>
      <c r="HY28" s="356" t="str">
        <f>IF(AX28="No",AX$3,"")</f>
        <v/>
      </c>
      <c r="HZ28" s="356" t="str">
        <f>IF(AY28="No",AY$3,"")</f>
        <v/>
      </c>
      <c r="IA28" s="356" t="str">
        <f>IF(AZ28="No",AZ$3,"")</f>
        <v/>
      </c>
      <c r="IB28" s="356" t="str">
        <f>IF(BA28="No",BA$3,"")</f>
        <v/>
      </c>
      <c r="IC28" s="356" t="str">
        <f>IF(BB28="No",BB$3,"")</f>
        <v/>
      </c>
      <c r="ID28" s="349" t="str">
        <f>IF(BC28="No",BC$3,"")</f>
        <v/>
      </c>
      <c r="IE28" s="349" t="str">
        <f>IF(BD28="No",BD$3,"")</f>
        <v/>
      </c>
      <c r="IF28" s="349" t="str">
        <f>IF(BE28="No",BE$3,"")</f>
        <v/>
      </c>
      <c r="IG28" s="349" t="str">
        <f>IF(BF28="No",BF$3,"")</f>
        <v/>
      </c>
      <c r="IH28" s="347" t="str">
        <f>A28&amp;" "&amp;F28&amp;" "&amp;Data[[#This Row],[mes]]</f>
        <v>Yasmara Tejeira Hernández Outbound jul-26</v>
      </c>
      <c r="II28" s="357">
        <f>COUNTIF($IH28:$IH61,IH28)</f>
        <v>1</v>
      </c>
      <c r="IJ28" s="241">
        <f>IF(COUNTIF($IH$4:IH28,IH28)=1,1,0)</f>
        <v>0</v>
      </c>
      <c r="IK28" s="358" t="str">
        <f>IF(Data[[#This Row],[Muestra Critica]]&gt;0,Data[[#This Row],[Muestra Critica]],"")</f>
        <v/>
      </c>
      <c r="IL28" s="354" t="str">
        <f>IF(IK28="","",COUNTIF($IK$4:$IK60,IK28))</f>
        <v/>
      </c>
      <c r="IM28" s="359">
        <f>IF(IL28=1,1,0)</f>
        <v>0</v>
      </c>
      <c r="IN28" s="347" t="str">
        <f t="shared" si="150"/>
        <v>jul-26</v>
      </c>
      <c r="IO28" s="345"/>
      <c r="IP28" s="345"/>
      <c r="IQ28" s="345"/>
      <c r="IR28" s="345"/>
      <c r="IS28" s="347" t="str">
        <f ca="1">IFERROR(_xlfn.XLOOKUP(A:A,HC!B:B,HC!E:E,,0),0)</f>
        <v>1 a 30 dias</v>
      </c>
    </row>
    <row r="29" spans="1:253" ht="15.5" x14ac:dyDescent="0.35">
      <c r="A29" s="340" t="s">
        <v>433</v>
      </c>
      <c r="B29" s="340">
        <v>69596952</v>
      </c>
      <c r="C29" s="360">
        <v>46216</v>
      </c>
      <c r="D29" s="340" t="s">
        <v>406</v>
      </c>
      <c r="E29" s="341" t="s">
        <v>439</v>
      </c>
      <c r="F29" s="340" t="s">
        <v>32</v>
      </c>
      <c r="G29" s="232" t="s">
        <v>402</v>
      </c>
      <c r="H29" s="232" t="s">
        <v>441</v>
      </c>
      <c r="I29" s="342" t="s">
        <v>411</v>
      </c>
      <c r="J29" s="252" t="s">
        <v>33</v>
      </c>
      <c r="K29" s="252" t="s">
        <v>33</v>
      </c>
      <c r="L29" s="252" t="s">
        <v>33</v>
      </c>
      <c r="M29" s="252" t="s">
        <v>33</v>
      </c>
      <c r="N29" s="252" t="s">
        <v>33</v>
      </c>
      <c r="O29" s="252" t="s">
        <v>33</v>
      </c>
      <c r="P29" s="252" t="s">
        <v>33</v>
      </c>
      <c r="Q29" s="252" t="s">
        <v>34</v>
      </c>
      <c r="R29" s="252" t="s">
        <v>33</v>
      </c>
      <c r="S29" s="252" t="s">
        <v>33</v>
      </c>
      <c r="T29" s="252" t="s">
        <v>33</v>
      </c>
      <c r="U29" s="252" t="s">
        <v>33</v>
      </c>
      <c r="V29" s="253" t="s">
        <v>33</v>
      </c>
      <c r="W29" s="253" t="s">
        <v>33</v>
      </c>
      <c r="X29" s="253" t="s">
        <v>33</v>
      </c>
      <c r="Y29" s="253" t="s">
        <v>33</v>
      </c>
      <c r="Z29" s="253" t="s">
        <v>33</v>
      </c>
      <c r="AA29" s="253" t="s">
        <v>33</v>
      </c>
      <c r="AB29" s="253" t="s">
        <v>33</v>
      </c>
      <c r="AC29" s="253" t="s">
        <v>33</v>
      </c>
      <c r="AD29" s="253" t="s">
        <v>33</v>
      </c>
      <c r="AE29" s="253" t="s">
        <v>33</v>
      </c>
      <c r="AF29" s="253" t="s">
        <v>33</v>
      </c>
      <c r="AG29" s="253" t="s">
        <v>33</v>
      </c>
      <c r="AH29" s="253" t="s">
        <v>33</v>
      </c>
      <c r="AI29" s="253" t="s">
        <v>33</v>
      </c>
      <c r="AJ29" s="253" t="s">
        <v>33</v>
      </c>
      <c r="AK29" s="253" t="s">
        <v>33</v>
      </c>
      <c r="AL29" s="253" t="s">
        <v>33</v>
      </c>
      <c r="AM29" s="253" t="s">
        <v>33</v>
      </c>
      <c r="AN29" s="253" t="s">
        <v>33</v>
      </c>
      <c r="AO29" s="253" t="s">
        <v>33</v>
      </c>
      <c r="AP29" s="253" t="s">
        <v>33</v>
      </c>
      <c r="AQ29" s="253" t="s">
        <v>33</v>
      </c>
      <c r="AR29" s="253" t="s">
        <v>33</v>
      </c>
      <c r="AS29" s="253" t="s">
        <v>33</v>
      </c>
      <c r="AT29" s="253" t="s">
        <v>33</v>
      </c>
      <c r="AU29" s="253" t="s">
        <v>33</v>
      </c>
      <c r="AV29" s="253" t="s">
        <v>33</v>
      </c>
      <c r="AW29" s="253" t="s">
        <v>33</v>
      </c>
      <c r="AX29" s="253" t="s">
        <v>33</v>
      </c>
      <c r="AY29" s="253" t="s">
        <v>33</v>
      </c>
      <c r="AZ29" s="253" t="s">
        <v>33</v>
      </c>
      <c r="BA29" s="253" t="s">
        <v>33</v>
      </c>
      <c r="BB29" s="253" t="s">
        <v>33</v>
      </c>
      <c r="BC29" s="343" t="s">
        <v>33</v>
      </c>
      <c r="BD29" s="343" t="s">
        <v>33</v>
      </c>
      <c r="BE29" s="343" t="s">
        <v>33</v>
      </c>
      <c r="BF29" s="344" t="s">
        <v>33</v>
      </c>
      <c r="BG29" s="345"/>
      <c r="BH29" s="346" t="str">
        <f>Data[[#This Row],[Tipo de Muestra]]</f>
        <v>No Critica</v>
      </c>
      <c r="BI29" s="345"/>
      <c r="BJ29" s="347"/>
      <c r="BK29" s="348">
        <f>IF(OR(J29="Si",J29="N/A"),1,0)</f>
        <v>1</v>
      </c>
      <c r="BL29" s="348">
        <f>IF(OR(K29="Si",K29="N/A"),1,0)</f>
        <v>1</v>
      </c>
      <c r="BM29" s="348">
        <f>IF(OR(L29="Si",L29="N/A"),1,0)</f>
        <v>1</v>
      </c>
      <c r="BN29" s="348">
        <f>IF(OR(M29="Si",M29="N/A"),1,0)</f>
        <v>1</v>
      </c>
      <c r="BO29" s="348">
        <f>IF(OR(N29="Si",N29="N/A"),1,0)</f>
        <v>1</v>
      </c>
      <c r="BP29" s="348">
        <f>IF(OR(O29="Si",O29="N/A"),1,0)</f>
        <v>1</v>
      </c>
      <c r="BQ29" s="348">
        <f>IF(OR(P29="Si",P29="N/A"),1,0)</f>
        <v>1</v>
      </c>
      <c r="BR29" s="348">
        <f>IF(OR(Q29="Si",Q29="N/A"),1,0)</f>
        <v>0</v>
      </c>
      <c r="BS29" s="348">
        <f>IF(OR(R29="Si",R29="N/A"),1,0)</f>
        <v>1</v>
      </c>
      <c r="BT29" s="348">
        <f>IF(OR(S29="Si",S29="N/A"),1,0)</f>
        <v>1</v>
      </c>
      <c r="BU29" s="348">
        <f>IF(OR(T29="Si",T29="N/A"),1,0)</f>
        <v>1</v>
      </c>
      <c r="BV29" s="348">
        <f>IF(OR(U29="Si",U29="N/A"),1,0)</f>
        <v>1</v>
      </c>
      <c r="BW29" s="348">
        <f>IF(OR(V29="Si",V29="N/A"),1,0)</f>
        <v>1</v>
      </c>
      <c r="BX29" s="348">
        <f>IF(OR(W29="Si",W29="N/A"),1,0)</f>
        <v>1</v>
      </c>
      <c r="BY29" s="348">
        <f>IF(OR(X29="Sí",X29="N/A"),1,0)</f>
        <v>0</v>
      </c>
      <c r="BZ29" s="348">
        <f>IF(OR(Y29="Sí",Y29="N/A"),1,0)</f>
        <v>0</v>
      </c>
      <c r="CA29" s="348">
        <f>IF(OR(Z29="Sí",Z29="N/A"),1,0)</f>
        <v>0</v>
      </c>
      <c r="CB29" s="348">
        <f>IF(OR(AA29="Sí",AA29="N/A"),1,0)</f>
        <v>0</v>
      </c>
      <c r="CC29" s="348">
        <f>IF(OR(AB29="Sí",AB29="N/A"),1,0)</f>
        <v>0</v>
      </c>
      <c r="CD29" s="348">
        <f>IF(OR(AC29="Sí",AC29="N/A"),1,0)</f>
        <v>0</v>
      </c>
      <c r="CE29" s="348">
        <f>IF(OR(AD29="Sí",AD29="N/A"),1,0)</f>
        <v>0</v>
      </c>
      <c r="CF29" s="348">
        <f>IF(OR(AE29="Sí",AE29="N/A"),1,0)</f>
        <v>0</v>
      </c>
      <c r="CG29" s="348">
        <f>IF(OR(AF29="Sí",AF29="N/A"),1,0)</f>
        <v>0</v>
      </c>
      <c r="CH29" s="348">
        <f>IF(OR(AG29="Sí",AG29="N/A"),1,0)</f>
        <v>0</v>
      </c>
      <c r="CI29" s="348">
        <f>IF(OR(AH29="Sí",AH29="N/A"),1,0)</f>
        <v>0</v>
      </c>
      <c r="CJ29" s="348">
        <f>IF(OR(AI29="Sí",AI29="N/A"),1,0)</f>
        <v>0</v>
      </c>
      <c r="CK29" s="348">
        <f>IF(OR(AJ29="Sí",AJ29="N/A"),1,0)</f>
        <v>0</v>
      </c>
      <c r="CL29" s="348">
        <f>IF(OR(AK29="Sí",AK29="N/A"),1,0)</f>
        <v>0</v>
      </c>
      <c r="CM29" s="348">
        <f>IF(OR(AL29="Sí",AL29="N/A"),1,0)</f>
        <v>0</v>
      </c>
      <c r="CN29" s="348">
        <f>IF(OR(AM29="Sí",AM29="N/A"),1,0)</f>
        <v>0</v>
      </c>
      <c r="CO29" s="348">
        <f>IF(OR(AN29="Sí",AN29="N/A"),1,0)</f>
        <v>0</v>
      </c>
      <c r="CP29" s="348">
        <f>IF(OR(AO29="Sí",AO29="N/A"),1,0)</f>
        <v>0</v>
      </c>
      <c r="CQ29" s="348">
        <f>IF(OR(AP29="Sí",AP29="N/A"),1,0)</f>
        <v>0</v>
      </c>
      <c r="CR29" s="348">
        <f>IF(OR(AQ29="Sí",AQ29="N/A"),1,0)</f>
        <v>0</v>
      </c>
      <c r="CS29" s="348">
        <f>IF(OR(AR29="Sí",AR29="N/A"),1,0)</f>
        <v>0</v>
      </c>
      <c r="CT29" s="348">
        <f>IF(OR(AS29="Sí",AS29="N/A"),1,0)</f>
        <v>0</v>
      </c>
      <c r="CU29" s="348">
        <f>IF(OR(AT29="Sí",AT29="N/A"),1,0)</f>
        <v>0</v>
      </c>
      <c r="CV29" s="348">
        <f>IF(OR(AU29="Sí",AU29="N/A"),1,0)</f>
        <v>0</v>
      </c>
      <c r="CW29" s="348">
        <f>IF(OR(AV29="Sí",AV29="N/A"),1,0)</f>
        <v>0</v>
      </c>
      <c r="CX29" s="348">
        <f>IF(OR(AW29="Sí",AW29="N/A"),1,0)</f>
        <v>0</v>
      </c>
      <c r="CY29" s="348">
        <f>IF(OR(AX29="Sí",AX29="N/A"),1,0)</f>
        <v>0</v>
      </c>
      <c r="CZ29" s="348">
        <f>IF(OR(AY29="Sí",AY29="N/A"),1,0)</f>
        <v>0</v>
      </c>
      <c r="DA29" s="348">
        <f>IF(OR(AZ29="Sí",AZ29="N/A"),1,0)</f>
        <v>0</v>
      </c>
      <c r="DB29" s="348">
        <f>IF(OR(BA29="Sí",BA29="N/A"),1,0)</f>
        <v>0</v>
      </c>
      <c r="DC29" s="348">
        <f>IF(OR(BB29="Sí",BB29="N/A"),1,0)</f>
        <v>0</v>
      </c>
      <c r="DD29" s="349">
        <f>IF(OR(BC29="Sí",BC29="N/A"),1,0)</f>
        <v>0</v>
      </c>
      <c r="DE29" s="349">
        <f>IF(OR(BD29="Sí",BD29="N/A"),1,0)</f>
        <v>0</v>
      </c>
      <c r="DF29" s="349">
        <f>IF(OR(BE29="Sí",BE29="N/A"),1,0)</f>
        <v>0</v>
      </c>
      <c r="DG29" s="349">
        <f>IF(OR(BF29="Si",BF29="N/A"),1,0)</f>
        <v>1</v>
      </c>
      <c r="DH29" s="350">
        <f>IF((J29="No"),0,$DH$2)</f>
        <v>0.15</v>
      </c>
      <c r="DI29" s="350">
        <f>IF((K29="No"),0,$DH$2)</f>
        <v>0.15</v>
      </c>
      <c r="DJ29" s="350">
        <f>IF((L29="No"),0,$DH$2)</f>
        <v>0.15</v>
      </c>
      <c r="DK29" s="350">
        <f>IF(MIN(Data[[#This Row],[¿El agente cumple con la identificación formal y profesional?3]:[¿El agente realiza despedida corporativa?5]])=0,0,15%)</f>
        <v>0.15</v>
      </c>
      <c r="DL29" s="350">
        <f>IF((M29="No"),0,$DL$2)</f>
        <v>0.3</v>
      </c>
      <c r="DM29" s="350">
        <f>IF((N29="No"),0,$DL$2)</f>
        <v>0.3</v>
      </c>
      <c r="DN29" s="350">
        <f>IF((O29="No"),0,$DL$2)</f>
        <v>0.3</v>
      </c>
      <c r="DO29" s="350">
        <f>IF((P29="No"),0,$DL$2)</f>
        <v>0.3</v>
      </c>
      <c r="DP29" s="350">
        <f>IF(MIN(Data[[#This Row],[¿El agente demuestra escucha activa durante la gestión?6]:[¿El agente parafrasea para confirmar entendimiento?9]])=0,0,30%)</f>
        <v>0.3</v>
      </c>
      <c r="DQ29" s="350">
        <f>IF((Q29="No"),0,$DQ$2)</f>
        <v>0</v>
      </c>
      <c r="DR29" s="350">
        <f>IF((R29="No"),0,$DQ$2)</f>
        <v>0.3</v>
      </c>
      <c r="DS29" s="350">
        <f>IF((S29="No"),0,$DQ$2)</f>
        <v>0.3</v>
      </c>
      <c r="DT29" s="350">
        <f>IF((T29="No"),0,$DQ$2)</f>
        <v>0.3</v>
      </c>
      <c r="DU29" s="351">
        <f>IF(MIN(Data[[#This Row],[¿El agente adapta su comunicación al cliente?11]:[¿El agente utiliza el plural corporativo correctamente?14]])=0,0,30%)</f>
        <v>0</v>
      </c>
      <c r="DV29" s="350">
        <f>IF((U29="No"),0,$DV$2)</f>
        <v>0.25</v>
      </c>
      <c r="DW29" s="350">
        <f>IF(MIN(DV29)=0,0,25%)</f>
        <v>0.25</v>
      </c>
      <c r="DX29" s="350">
        <f>IF(SUM(DK29,DP29,DU29,DW29)&gt;335%,100%,SUM(DK29,DP29,DU29,DW29)/100%)</f>
        <v>0.7</v>
      </c>
      <c r="DY29" s="350">
        <f>IF((W29="No"),0,$DY$2)</f>
        <v>1</v>
      </c>
      <c r="DZ29" s="350">
        <f>IF((X29="No"),0,$DY$2)</f>
        <v>1</v>
      </c>
      <c r="EA29" s="350">
        <f>IF((Y29="No"),0,$DY$2)</f>
        <v>1</v>
      </c>
      <c r="EB29" s="350">
        <f>IF((Z29="No"),0,$DY$2)</f>
        <v>1</v>
      </c>
      <c r="EC29" s="352">
        <f>IF(SUM(Data[[#This Row],[¿El agente informa correctamente sobre los centros de pago?19]:[¿El agente explica el ciclo de facturación adecuadamente?22]])=400%,100%,0%)</f>
        <v>1</v>
      </c>
      <c r="ED29" s="350">
        <f>IF((AA29="No"),0,$DY$2)</f>
        <v>1</v>
      </c>
      <c r="EE29" s="350">
        <f>IF((AB29="No"),0,$DY$2)</f>
        <v>1</v>
      </c>
      <c r="EF29" s="352">
        <f>IF(SUM(Data[[#This Row],[¿El agente presenta correctamente los beneficios del producto?23]:[¿El agente comunica beneficios emocionales al cliente?24]])=200%,100%,0%)</f>
        <v>1</v>
      </c>
      <c r="EG29" s="350">
        <f>IF((AC29="No"),0,$DY$2)</f>
        <v>1</v>
      </c>
      <c r="EH29" s="350">
        <f>IF((AD29="No"),0,$DY$2)</f>
        <v>1</v>
      </c>
      <c r="EI29" s="350">
        <f>IF((AE29="No"),0,$DY$2)</f>
        <v>1</v>
      </c>
      <c r="EJ29" s="352">
        <f>IF(SUM(Data[[#This Row],[¿El agente realiza un resumen comercial adecuado?25]:[¿El agente formaliza correctamente el acuerdo de venta?27]])=300%,100%,0%)</f>
        <v>1</v>
      </c>
      <c r="EK29" s="350">
        <f>IF((AF29="No"),0,$DY$2)</f>
        <v>1</v>
      </c>
      <c r="EL29" s="352">
        <f>+Data[[#This Row],[¿El agente explica los términos y condiciones del servicio?28]]</f>
        <v>1</v>
      </c>
      <c r="EM29" s="350">
        <f>IF((AG29="No"),0,$DY$2)</f>
        <v>1</v>
      </c>
      <c r="EN29" s="352">
        <f>+Data[[#This Row],[¿El agente identifica correctamente la solicitud del cliente?29]]</f>
        <v>1</v>
      </c>
      <c r="EO29" s="350">
        <f>IF((AH29="No"),0,$DY$2)</f>
        <v>1</v>
      </c>
      <c r="EP29" s="350">
        <f>IF((AI29="No"),0,$DY$2)</f>
        <v>1</v>
      </c>
      <c r="EQ29" s="350">
        <f>IF((AJ29="No"),0,$DY$2)</f>
        <v>1</v>
      </c>
      <c r="ER29" s="352">
        <f>IF(SUM(Data[[#This Row],[¿El agente evita activar un servicio diferente al solicitado?30]:[¿El agente configura adecuadamente el producto contratado?32]])=300%,100%,0%)</f>
        <v>1</v>
      </c>
      <c r="ES29" s="350">
        <f>IF((AK29="No"),0,$DY$2)</f>
        <v>1</v>
      </c>
      <c r="ET29" s="350">
        <f>IF((AL29="No"),0,$DY$2)</f>
        <v>1</v>
      </c>
      <c r="EU29" s="352">
        <f>IF(SUM(Data[[#This Row],[¿El agente mantiene respeto y cordialidad en toda la interacción?33]:[¿El agente utiliza un lenguaje adecuado y profesional?34]])=200%,100%,0%)</f>
        <v>1</v>
      </c>
      <c r="EV29" s="350">
        <f>IF((AM29="No"),0,$DY$2)</f>
        <v>1</v>
      </c>
      <c r="EW29" s="350">
        <f>IF((AN29="No"),0,$DY$2)</f>
        <v>1</v>
      </c>
      <c r="EX29" s="350">
        <f>IF((AO29="No"),0,$DY$2)</f>
        <v>1</v>
      </c>
      <c r="EY29" s="350">
        <f>IF((AP29="No"),0,$DY$2)</f>
        <v>1</v>
      </c>
      <c r="EZ29" s="350">
        <f>IF((AQ29="No"),0,$DY$2)</f>
        <v>1</v>
      </c>
      <c r="FA29" s="350">
        <f>IF((AR29="No"),0,$DY$2)</f>
        <v>1</v>
      </c>
      <c r="FB29" s="352">
        <f>IF(SUM(Data[[#This Row],[¿El agente verifica correctamente la cobertura?35]:[¿El agente agenda citas o gestiones cuando es necesario?41]])=600%,100%,0%)</f>
        <v>1</v>
      </c>
      <c r="FC29" s="350">
        <f>IF(SUM(EC29,EF29,EL29,EJ29,EN29,ER29,EU29,FB29)=800%,100%,0%)</f>
        <v>1</v>
      </c>
      <c r="FD29" s="350">
        <f>IF((AR29="No"),0,$DY$2)</f>
        <v>1</v>
      </c>
      <c r="FE29" s="350">
        <f>IF((AS29="No"),0,$DY$2)</f>
        <v>1</v>
      </c>
      <c r="FF29" s="350">
        <f>IF((AT29="No"),0,$DY$2)</f>
        <v>1</v>
      </c>
      <c r="FG29" s="350">
        <f>IF((AU29="No"),0,$DY$2)</f>
        <v>1</v>
      </c>
      <c r="FH29" s="350">
        <f>IF((AV29="No"),0,$DY$2)</f>
        <v>1</v>
      </c>
      <c r="FI29" s="350">
        <f>IF((AW29="No"),0,$DY$2)</f>
        <v>1</v>
      </c>
      <c r="FJ29" s="350">
        <f>IF(SUM(Data[[#This Row],[¿El agente ofrece adecuadamente un producto adicional?42]:[¿El agente maneja correctamente las objeciones del cliente?47]])=600%,100%,)</f>
        <v>1</v>
      </c>
      <c r="FK29" s="350">
        <f>IF((AX29="No"),0,$DY$2)</f>
        <v>1</v>
      </c>
      <c r="FL29" s="350">
        <f>+Data[[#This Row],[¿El agente gestiona la oferta según la campaña vigente?48]]</f>
        <v>1</v>
      </c>
      <c r="FM29" s="350">
        <f>IF((AY29="No"),0,$DY$2)</f>
        <v>1</v>
      </c>
      <c r="FN29" s="350">
        <f>IF((AZ29="No"),0,$DY$2)</f>
        <v>1</v>
      </c>
      <c r="FO29" s="350">
        <f>IF((BA29="No"),0,$DY$2)</f>
        <v>1</v>
      </c>
      <c r="FP29" s="350">
        <f>IF(SUM(Data[[#This Row],[¿El agente solicita coordenadas cuando es necesario?49]:[¿El agente maneja adecuadamente llamadas en conferencia?51]])=300%,100%,)</f>
        <v>1</v>
      </c>
      <c r="FQ29" s="350">
        <f>IF((BB29="No"),0,$DY$2)</f>
        <v>1</v>
      </c>
      <c r="FR29" s="350">
        <f>+Data[[#This Row],[¿El agente registra correctamente todas las interacciones?52]]</f>
        <v>1</v>
      </c>
      <c r="FS29" s="350">
        <f>IF(SUM(FJ29,FL29,FP29,FR29)=400%,100%,0)</f>
        <v>1</v>
      </c>
      <c r="FT29" s="349">
        <f>IF((BC29="No"),0,$DY$2)</f>
        <v>1</v>
      </c>
      <c r="FU29" s="352">
        <f>+Data[[#This Row],[¿El agente confirma la titularidad del cliente adecuadamente?53]]</f>
        <v>1</v>
      </c>
      <c r="FV29" s="349">
        <f>IF((BD29="No"),0,$DY$2)</f>
        <v>1</v>
      </c>
      <c r="FW29" s="349">
        <f>IF((BE29="No"),0,$DY$2)</f>
        <v>1</v>
      </c>
      <c r="FX29" s="352">
        <f>IF(SUM(Data[[#This Row],[¿El agente evita la omisión de alertas importantes?54]]:Data[[#This Row],[¿El agente mantiene conducta ética durante la interacción?55]])=200%,100%,)</f>
        <v>1</v>
      </c>
      <c r="FY29" s="349">
        <f>IF((BF29="No"),0,$DY$2)</f>
        <v>1</v>
      </c>
      <c r="FZ29" s="352">
        <f>+Data[[#This Row],[¿El agente evita compartir información sensible?56]]</f>
        <v>1</v>
      </c>
      <c r="GA29" s="350">
        <f>IF(SUM(FU29,FX29,FZ29)=300%,100%,)</f>
        <v>1</v>
      </c>
      <c r="GB29" s="351">
        <f>$GB$2*DX29</f>
        <v>6.9999999999999993E-2</v>
      </c>
      <c r="GC29" s="351">
        <f>$GC$2*FC29</f>
        <v>0.3</v>
      </c>
      <c r="GD29" s="353">
        <f>$GD$2*FS29</f>
        <v>0.3</v>
      </c>
      <c r="GE29" s="353">
        <f>$GE$2*GA29</f>
        <v>0.3</v>
      </c>
      <c r="GF29" s="350">
        <f>SUM(Data[[#This Row],[PESO PENC]:[PESO PECCUM]])</f>
        <v>0.97</v>
      </c>
      <c r="GG29" s="354">
        <f>1</f>
        <v>1</v>
      </c>
      <c r="GH29" s="354">
        <f>IF((BH29="Critica"),1,0)</f>
        <v>0</v>
      </c>
      <c r="GI29" s="348" t="str">
        <f>IF(J29="No",J$3,"")</f>
        <v/>
      </c>
      <c r="GJ29" s="348" t="str">
        <f>IF(K29="No",K$3,"")</f>
        <v/>
      </c>
      <c r="GK29" s="348" t="str">
        <f>IF(L29="No",L$3,"")</f>
        <v/>
      </c>
      <c r="GL29" s="355"/>
      <c r="GM29" s="355"/>
      <c r="GN29" s="348" t="str">
        <f>IF(O29="No",O$3,"")</f>
        <v/>
      </c>
      <c r="GO29" s="348" t="str">
        <f>IF(P29="No",P$3,"")</f>
        <v/>
      </c>
      <c r="GP29" s="348" t="str">
        <f>IF(Q29="No",Q$3,"")</f>
        <v xml:space="preserve">¿El agente muestra entusiasmo genuino? </v>
      </c>
      <c r="GQ29" s="348" t="str">
        <f>IF(R29="No",R$3,"")</f>
        <v/>
      </c>
      <c r="GR29" s="348" t="str">
        <f>IF(S29="No",S$3,"")</f>
        <v/>
      </c>
      <c r="GS29" s="348" t="str">
        <f>IF(T29="No",T$3,"")</f>
        <v/>
      </c>
      <c r="GT29" s="348" t="str">
        <f>IF(U29="No",U$3,"")</f>
        <v/>
      </c>
      <c r="GU29" s="348" t="e">
        <f>IF(#REF!="No",#REF!,"")</f>
        <v>#REF!</v>
      </c>
      <c r="GV29" s="348" t="str">
        <f>IF(V29="No",V$3,"")</f>
        <v/>
      </c>
      <c r="GW29" s="348" t="str">
        <f>IF(W29="No",W$3,"")</f>
        <v/>
      </c>
      <c r="GX29" s="348" t="str">
        <f>IF(X29="No",X$3,"")</f>
        <v/>
      </c>
      <c r="GY29" s="348" t="str">
        <f>IF(Y29="No",Y$3,"")</f>
        <v/>
      </c>
      <c r="GZ29" s="348" t="str">
        <f>IF(Z29="No",Z$3,"")</f>
        <v/>
      </c>
      <c r="HA29" s="348" t="str">
        <f>IF(AA29="No",AA$3,"")</f>
        <v/>
      </c>
      <c r="HB29" s="348" t="str">
        <f>IF(AB29="No",AB$3,"")</f>
        <v/>
      </c>
      <c r="HC29" s="348" t="str">
        <f>IF(AC29="No",AC$3,"")</f>
        <v/>
      </c>
      <c r="HD29" s="348" t="str">
        <f>IF(AD29="No",AD$3,"")</f>
        <v/>
      </c>
      <c r="HE29" s="348" t="str">
        <f>IF(AE29="No",AE$3,"")</f>
        <v/>
      </c>
      <c r="HF29" s="348" t="str">
        <f>IF(AF29="No",AF$3,"")</f>
        <v/>
      </c>
      <c r="HG29" s="348" t="str">
        <f>IF(AG29="No",AG$3,"")</f>
        <v/>
      </c>
      <c r="HH29" s="348" t="str">
        <f>IF(AH29="No",AH$3,"")</f>
        <v/>
      </c>
      <c r="HI29" s="348" t="str">
        <f>IF(AI29="No",AI$3,"")</f>
        <v/>
      </c>
      <c r="HJ29" s="348" t="str">
        <f>IF(AJ29="No",AJ$3,"")</f>
        <v/>
      </c>
      <c r="HK29" s="348" t="str">
        <f>IF(AK29="No",AK$3,"")</f>
        <v/>
      </c>
      <c r="HL29" s="348" t="str">
        <f>IF(AL29="No",AL$3,"")</f>
        <v/>
      </c>
      <c r="HM29" s="348" t="str">
        <f>IF(AM29="No",AM$3,"")</f>
        <v/>
      </c>
      <c r="HN29" s="348" t="str">
        <f>IF(AN29="No",AN$3,"")</f>
        <v/>
      </c>
      <c r="HO29" s="348" t="str">
        <f>IF(AO29="No",AO$3,"")</f>
        <v/>
      </c>
      <c r="HP29" s="348" t="str">
        <f>IF(AP29="No",AP$3,"")</f>
        <v/>
      </c>
      <c r="HQ29" s="348" t="str">
        <f>IF(AQ29="No",AQ$3,"")</f>
        <v/>
      </c>
      <c r="HR29" s="348" t="e">
        <f>IF(#REF!="No",#REF!,"")</f>
        <v>#REF!</v>
      </c>
      <c r="HS29" s="356" t="str">
        <f>IF(AR29="No",AR$3,"")</f>
        <v/>
      </c>
      <c r="HT29" s="356" t="str">
        <f>IF(AS29="No",AS$3,"")</f>
        <v/>
      </c>
      <c r="HU29" s="356" t="str">
        <f>IF(AT29="No",AT$3,"")</f>
        <v/>
      </c>
      <c r="HV29" s="356" t="str">
        <f>IF(AU29="No",AU$3,"")</f>
        <v/>
      </c>
      <c r="HW29" s="356" t="str">
        <f>IF(AV29="No",AV$3,"")</f>
        <v/>
      </c>
      <c r="HX29" s="356" t="str">
        <f>IF(AW29="No",AW$3,"")</f>
        <v/>
      </c>
      <c r="HY29" s="356" t="str">
        <f>IF(AX29="No",AX$3,"")</f>
        <v/>
      </c>
      <c r="HZ29" s="356" t="str">
        <f>IF(AY29="No",AY$3,"")</f>
        <v/>
      </c>
      <c r="IA29" s="356" t="str">
        <f>IF(AZ29="No",AZ$3,"")</f>
        <v/>
      </c>
      <c r="IB29" s="356" t="str">
        <f>IF(BA29="No",BA$3,"")</f>
        <v/>
      </c>
      <c r="IC29" s="356" t="str">
        <f>IF(BB29="No",BB$3,"")</f>
        <v/>
      </c>
      <c r="ID29" s="349" t="str">
        <f>IF(BC29="No",BC$3,"")</f>
        <v/>
      </c>
      <c r="IE29" s="349" t="str">
        <f>IF(BD29="No",BD$3,"")</f>
        <v/>
      </c>
      <c r="IF29" s="349" t="str">
        <f>IF(BE29="No",BE$3,"")</f>
        <v/>
      </c>
      <c r="IG29" s="349" t="str">
        <f>IF(BF29="No",BF$3,"")</f>
        <v/>
      </c>
      <c r="IH29" s="347" t="str">
        <f>A29&amp;" "&amp;F29&amp;" "&amp;Data[[#This Row],[mes]]</f>
        <v>Génesis Deniss Batista Outbound jul-26</v>
      </c>
      <c r="II29" s="357">
        <f>COUNTIF($IH29:$IH62,IH29)</f>
        <v>2</v>
      </c>
      <c r="IJ29" s="241">
        <f>IF(COUNTIF($IH$4:IH29,IH29)=1,1,0)</f>
        <v>1</v>
      </c>
      <c r="IK29" s="358" t="str">
        <f>IF(Data[[#This Row],[Muestra Critica]]&gt;0,Data[[#This Row],[Muestra Critica]],"")</f>
        <v/>
      </c>
      <c r="IL29" s="354" t="str">
        <f>IF(IK29="","",COUNTIF($IK$4:$IK61,IK29))</f>
        <v/>
      </c>
      <c r="IM29" s="359">
        <f>IF(IL29=1,1,0)</f>
        <v>0</v>
      </c>
      <c r="IN29" s="347" t="str">
        <f t="shared" si="150"/>
        <v>jul-26</v>
      </c>
      <c r="IO29" s="345"/>
      <c r="IP29" s="345"/>
      <c r="IQ29" s="345"/>
      <c r="IR29" s="345"/>
      <c r="IS29" s="347" t="str">
        <f ca="1">IFERROR(_xlfn.XLOOKUP(A:A,HC!B:B,HC!E:E,,0),0)</f>
        <v>1 a 30 dias</v>
      </c>
    </row>
    <row r="30" spans="1:253" ht="15.5" x14ac:dyDescent="0.35">
      <c r="A30" s="340" t="s">
        <v>433</v>
      </c>
      <c r="B30" s="340">
        <v>65523734</v>
      </c>
      <c r="C30" s="360">
        <v>46216</v>
      </c>
      <c r="D30" s="340" t="s">
        <v>406</v>
      </c>
      <c r="E30" s="341" t="s">
        <v>439</v>
      </c>
      <c r="F30" s="340" t="s">
        <v>32</v>
      </c>
      <c r="G30" s="232" t="s">
        <v>402</v>
      </c>
      <c r="H30" s="232" t="s">
        <v>441</v>
      </c>
      <c r="I30" s="342" t="s">
        <v>412</v>
      </c>
      <c r="J30" s="252" t="s">
        <v>33</v>
      </c>
      <c r="K30" s="252" t="s">
        <v>33</v>
      </c>
      <c r="L30" s="252" t="s">
        <v>33</v>
      </c>
      <c r="M30" s="252" t="s">
        <v>33</v>
      </c>
      <c r="N30" s="252" t="s">
        <v>33</v>
      </c>
      <c r="O30" s="252" t="s">
        <v>33</v>
      </c>
      <c r="P30" s="252" t="s">
        <v>33</v>
      </c>
      <c r="Q30" s="252" t="s">
        <v>33</v>
      </c>
      <c r="R30" s="252" t="s">
        <v>33</v>
      </c>
      <c r="S30" s="252" t="s">
        <v>33</v>
      </c>
      <c r="T30" s="252" t="s">
        <v>33</v>
      </c>
      <c r="U30" s="252" t="s">
        <v>33</v>
      </c>
      <c r="V30" s="253" t="s">
        <v>33</v>
      </c>
      <c r="W30" s="253" t="s">
        <v>33</v>
      </c>
      <c r="X30" s="253" t="s">
        <v>33</v>
      </c>
      <c r="Y30" s="253" t="s">
        <v>33</v>
      </c>
      <c r="Z30" s="253" t="s">
        <v>33</v>
      </c>
      <c r="AA30" s="253" t="s">
        <v>33</v>
      </c>
      <c r="AB30" s="253" t="s">
        <v>33</v>
      </c>
      <c r="AC30" s="253" t="s">
        <v>33</v>
      </c>
      <c r="AD30" s="253" t="s">
        <v>33</v>
      </c>
      <c r="AE30" s="253" t="s">
        <v>33</v>
      </c>
      <c r="AF30" s="253" t="s">
        <v>33</v>
      </c>
      <c r="AG30" s="253" t="s">
        <v>33</v>
      </c>
      <c r="AH30" s="253" t="s">
        <v>33</v>
      </c>
      <c r="AI30" s="253" t="s">
        <v>33</v>
      </c>
      <c r="AJ30" s="253" t="s">
        <v>33</v>
      </c>
      <c r="AK30" s="253" t="s">
        <v>33</v>
      </c>
      <c r="AL30" s="253" t="s">
        <v>33</v>
      </c>
      <c r="AM30" s="253" t="s">
        <v>33</v>
      </c>
      <c r="AN30" s="253" t="s">
        <v>33</v>
      </c>
      <c r="AO30" s="253" t="s">
        <v>33</v>
      </c>
      <c r="AP30" s="253" t="s">
        <v>33</v>
      </c>
      <c r="AQ30" s="253" t="s">
        <v>33</v>
      </c>
      <c r="AR30" s="253" t="s">
        <v>33</v>
      </c>
      <c r="AS30" s="253" t="s">
        <v>33</v>
      </c>
      <c r="AT30" s="253" t="s">
        <v>33</v>
      </c>
      <c r="AU30" s="253" t="s">
        <v>33</v>
      </c>
      <c r="AV30" s="253" t="s">
        <v>33</v>
      </c>
      <c r="AW30" s="253" t="s">
        <v>34</v>
      </c>
      <c r="AX30" s="253" t="s">
        <v>33</v>
      </c>
      <c r="AY30" s="253" t="s">
        <v>33</v>
      </c>
      <c r="AZ30" s="253" t="s">
        <v>33</v>
      </c>
      <c r="BA30" s="253" t="s">
        <v>33</v>
      </c>
      <c r="BB30" s="253" t="s">
        <v>33</v>
      </c>
      <c r="BC30" s="343" t="s">
        <v>33</v>
      </c>
      <c r="BD30" s="343" t="s">
        <v>33</v>
      </c>
      <c r="BE30" s="343" t="s">
        <v>33</v>
      </c>
      <c r="BF30" s="344" t="s">
        <v>33</v>
      </c>
      <c r="BG30" s="345"/>
      <c r="BH30" s="346" t="str">
        <f>Data[[#This Row],[Tipo de Muestra]]</f>
        <v>Critica</v>
      </c>
      <c r="BI30" s="345"/>
      <c r="BJ30" s="347"/>
      <c r="BK30" s="348">
        <f>IF(OR(J30="Si",J30="N/A"),1,0)</f>
        <v>1</v>
      </c>
      <c r="BL30" s="348">
        <f>IF(OR(K30="Si",K30="N/A"),1,0)</f>
        <v>1</v>
      </c>
      <c r="BM30" s="348">
        <f>IF(OR(L30="Si",L30="N/A"),1,0)</f>
        <v>1</v>
      </c>
      <c r="BN30" s="348">
        <f>IF(OR(M30="Si",M30="N/A"),1,0)</f>
        <v>1</v>
      </c>
      <c r="BO30" s="348">
        <f>IF(OR(N30="Si",N30="N/A"),1,0)</f>
        <v>1</v>
      </c>
      <c r="BP30" s="348">
        <f>IF(OR(O30="Si",O30="N/A"),1,0)</f>
        <v>1</v>
      </c>
      <c r="BQ30" s="348">
        <f>IF(OR(P30="Si",P30="N/A"),1,0)</f>
        <v>1</v>
      </c>
      <c r="BR30" s="348">
        <f>IF(OR(Q30="Si",Q30="N/A"),1,0)</f>
        <v>1</v>
      </c>
      <c r="BS30" s="348">
        <f>IF(OR(R30="Si",R30="N/A"),1,0)</f>
        <v>1</v>
      </c>
      <c r="BT30" s="348">
        <f>IF(OR(S30="Si",S30="N/A"),1,0)</f>
        <v>1</v>
      </c>
      <c r="BU30" s="348">
        <f>IF(OR(T30="Si",T30="N/A"),1,0)</f>
        <v>1</v>
      </c>
      <c r="BV30" s="348">
        <f>IF(OR(U30="Si",U30="N/A"),1,0)</f>
        <v>1</v>
      </c>
      <c r="BW30" s="348">
        <f>IF(OR(V30="Si",V30="N/A"),1,0)</f>
        <v>1</v>
      </c>
      <c r="BX30" s="348">
        <f>IF(OR(W30="Si",W30="N/A"),1,0)</f>
        <v>1</v>
      </c>
      <c r="BY30" s="348">
        <f>IF(OR(X30="Sí",X30="N/A"),1,0)</f>
        <v>0</v>
      </c>
      <c r="BZ30" s="348">
        <f>IF(OR(Y30="Sí",Y30="N/A"),1,0)</f>
        <v>0</v>
      </c>
      <c r="CA30" s="348">
        <f>IF(OR(Z30="Sí",Z30="N/A"),1,0)</f>
        <v>0</v>
      </c>
      <c r="CB30" s="348">
        <f>IF(OR(AA30="Sí",AA30="N/A"),1,0)</f>
        <v>0</v>
      </c>
      <c r="CC30" s="348">
        <f>IF(OR(AB30="Sí",AB30="N/A"),1,0)</f>
        <v>0</v>
      </c>
      <c r="CD30" s="348">
        <f>IF(OR(AC30="Sí",AC30="N/A"),1,0)</f>
        <v>0</v>
      </c>
      <c r="CE30" s="348">
        <f>IF(OR(AD30="Sí",AD30="N/A"),1,0)</f>
        <v>0</v>
      </c>
      <c r="CF30" s="348">
        <f>IF(OR(AE30="Sí",AE30="N/A"),1,0)</f>
        <v>0</v>
      </c>
      <c r="CG30" s="348">
        <f>IF(OR(AF30="Sí",AF30="N/A"),1,0)</f>
        <v>0</v>
      </c>
      <c r="CH30" s="348">
        <f>IF(OR(AG30="Sí",AG30="N/A"),1,0)</f>
        <v>0</v>
      </c>
      <c r="CI30" s="348">
        <f>IF(OR(AH30="Sí",AH30="N/A"),1,0)</f>
        <v>0</v>
      </c>
      <c r="CJ30" s="348">
        <f>IF(OR(AI30="Sí",AI30="N/A"),1,0)</f>
        <v>0</v>
      </c>
      <c r="CK30" s="348">
        <f>IF(OR(AJ30="Sí",AJ30="N/A"),1,0)</f>
        <v>0</v>
      </c>
      <c r="CL30" s="348">
        <f>IF(OR(AK30="Sí",AK30="N/A"),1,0)</f>
        <v>0</v>
      </c>
      <c r="CM30" s="348">
        <f>IF(OR(AL30="Sí",AL30="N/A"),1,0)</f>
        <v>0</v>
      </c>
      <c r="CN30" s="348">
        <f>IF(OR(AM30="Sí",AM30="N/A"),1,0)</f>
        <v>0</v>
      </c>
      <c r="CO30" s="348">
        <f>IF(OR(AN30="Sí",AN30="N/A"),1,0)</f>
        <v>0</v>
      </c>
      <c r="CP30" s="348">
        <f>IF(OR(AO30="Sí",AO30="N/A"),1,0)</f>
        <v>0</v>
      </c>
      <c r="CQ30" s="348">
        <f>IF(OR(AP30="Sí",AP30="N/A"),1,0)</f>
        <v>0</v>
      </c>
      <c r="CR30" s="348">
        <f>IF(OR(AQ30="Sí",AQ30="N/A"),1,0)</f>
        <v>0</v>
      </c>
      <c r="CS30" s="348">
        <f>IF(OR(AR30="Sí",AR30="N/A"),1,0)</f>
        <v>0</v>
      </c>
      <c r="CT30" s="348">
        <f>IF(OR(AS30="Sí",AS30="N/A"),1,0)</f>
        <v>0</v>
      </c>
      <c r="CU30" s="348">
        <f>IF(OR(AT30="Sí",AT30="N/A"),1,0)</f>
        <v>0</v>
      </c>
      <c r="CV30" s="348">
        <f>IF(OR(AU30="Sí",AU30="N/A"),1,0)</f>
        <v>0</v>
      </c>
      <c r="CW30" s="348">
        <f>IF(OR(AV30="Sí",AV30="N/A"),1,0)</f>
        <v>0</v>
      </c>
      <c r="CX30" s="348">
        <f>IF(OR(AW30="Sí",AW30="N/A"),1,0)</f>
        <v>0</v>
      </c>
      <c r="CY30" s="348">
        <f>IF(OR(AX30="Sí",AX30="N/A"),1,0)</f>
        <v>0</v>
      </c>
      <c r="CZ30" s="348">
        <f>IF(OR(AY30="Sí",AY30="N/A"),1,0)</f>
        <v>0</v>
      </c>
      <c r="DA30" s="348">
        <f>IF(OR(AZ30="Sí",AZ30="N/A"),1,0)</f>
        <v>0</v>
      </c>
      <c r="DB30" s="348">
        <f>IF(OR(BA30="Sí",BA30="N/A"),1,0)</f>
        <v>0</v>
      </c>
      <c r="DC30" s="348">
        <f>IF(OR(BB30="Sí",BB30="N/A"),1,0)</f>
        <v>0</v>
      </c>
      <c r="DD30" s="349">
        <f>IF(OR(BC30="Sí",BC30="N/A"),1,0)</f>
        <v>0</v>
      </c>
      <c r="DE30" s="349">
        <f>IF(OR(BD30="Sí",BD30="N/A"),1,0)</f>
        <v>0</v>
      </c>
      <c r="DF30" s="349">
        <f>IF(OR(BE30="Sí",BE30="N/A"),1,0)</f>
        <v>0</v>
      </c>
      <c r="DG30" s="349">
        <f>IF(OR(BF30="Si",BF30="N/A"),1,0)</f>
        <v>1</v>
      </c>
      <c r="DH30" s="350">
        <f>IF((J30="No"),0,$DH$2)</f>
        <v>0.15</v>
      </c>
      <c r="DI30" s="350">
        <f>IF((K30="No"),0,$DH$2)</f>
        <v>0.15</v>
      </c>
      <c r="DJ30" s="350">
        <f>IF((L30="No"),0,$DH$2)</f>
        <v>0.15</v>
      </c>
      <c r="DK30" s="350">
        <f>IF(MIN(Data[[#This Row],[¿El agente cumple con la identificación formal y profesional?3]:[¿El agente realiza despedida corporativa?5]])=0,0,15%)</f>
        <v>0.15</v>
      </c>
      <c r="DL30" s="350">
        <f>IF((M30="No"),0,$DL$2)</f>
        <v>0.3</v>
      </c>
      <c r="DM30" s="350">
        <f>IF((N30="No"),0,$DL$2)</f>
        <v>0.3</v>
      </c>
      <c r="DN30" s="350">
        <f>IF((O30="No"),0,$DL$2)</f>
        <v>0.3</v>
      </c>
      <c r="DO30" s="350">
        <f>IF((P30="No"),0,$DL$2)</f>
        <v>0.3</v>
      </c>
      <c r="DP30" s="350">
        <f>IF(MIN(Data[[#This Row],[¿El agente demuestra escucha activa durante la gestión?6]:[¿El agente parafrasea para confirmar entendimiento?9]])=0,0,30%)</f>
        <v>0.3</v>
      </c>
      <c r="DQ30" s="350">
        <f>IF((Q30="No"),0,$DQ$2)</f>
        <v>0.3</v>
      </c>
      <c r="DR30" s="350">
        <f>IF((R30="No"),0,$DQ$2)</f>
        <v>0.3</v>
      </c>
      <c r="DS30" s="350">
        <f>IF((S30="No"),0,$DQ$2)</f>
        <v>0.3</v>
      </c>
      <c r="DT30" s="350">
        <f>IF((T30="No"),0,$DQ$2)</f>
        <v>0.3</v>
      </c>
      <c r="DU30" s="351">
        <f>IF(MIN(Data[[#This Row],[¿El agente adapta su comunicación al cliente?11]:[¿El agente utiliza el plural corporativo correctamente?14]])=0,0,30%)</f>
        <v>0.3</v>
      </c>
      <c r="DV30" s="350">
        <f>IF((U30="No"),0,$DV$2)</f>
        <v>0.25</v>
      </c>
      <c r="DW30" s="350">
        <f>IF(MIN(DV30)=0,0,25%)</f>
        <v>0.25</v>
      </c>
      <c r="DX30" s="350">
        <f>IF(SUM(DK30,DP30,DU30,DW30)&gt;335%,100%,SUM(DK30,DP30,DU30,DW30)/100%)</f>
        <v>1</v>
      </c>
      <c r="DY30" s="350">
        <f>IF((W30="No"),0,$DY$2)</f>
        <v>1</v>
      </c>
      <c r="DZ30" s="350">
        <f>IF((X30="No"),0,$DY$2)</f>
        <v>1</v>
      </c>
      <c r="EA30" s="350">
        <f>IF((Y30="No"),0,$DY$2)</f>
        <v>1</v>
      </c>
      <c r="EB30" s="350">
        <f>IF((Z30="No"),0,$DY$2)</f>
        <v>1</v>
      </c>
      <c r="EC30" s="352">
        <f>IF(SUM(Data[[#This Row],[¿El agente informa correctamente sobre los centros de pago?19]:[¿El agente explica el ciclo de facturación adecuadamente?22]])=400%,100%,0%)</f>
        <v>1</v>
      </c>
      <c r="ED30" s="350">
        <f>IF((AA30="No"),0,$DY$2)</f>
        <v>1</v>
      </c>
      <c r="EE30" s="350">
        <f>IF((AB30="No"),0,$DY$2)</f>
        <v>1</v>
      </c>
      <c r="EF30" s="352">
        <f>IF(SUM(Data[[#This Row],[¿El agente presenta correctamente los beneficios del producto?23]:[¿El agente comunica beneficios emocionales al cliente?24]])=200%,100%,0%)</f>
        <v>1</v>
      </c>
      <c r="EG30" s="350">
        <f>IF((AC30="No"),0,$DY$2)</f>
        <v>1</v>
      </c>
      <c r="EH30" s="350">
        <f>IF((AD30="No"),0,$DY$2)</f>
        <v>1</v>
      </c>
      <c r="EI30" s="350">
        <f>IF((AE30="No"),0,$DY$2)</f>
        <v>1</v>
      </c>
      <c r="EJ30" s="352">
        <f>IF(SUM(Data[[#This Row],[¿El agente realiza un resumen comercial adecuado?25]:[¿El agente formaliza correctamente el acuerdo de venta?27]])=300%,100%,0%)</f>
        <v>1</v>
      </c>
      <c r="EK30" s="350">
        <f>IF((AF30="No"),0,$DY$2)</f>
        <v>1</v>
      </c>
      <c r="EL30" s="352">
        <f>+Data[[#This Row],[¿El agente explica los términos y condiciones del servicio?28]]</f>
        <v>1</v>
      </c>
      <c r="EM30" s="350">
        <f>IF((AG30="No"),0,$DY$2)</f>
        <v>1</v>
      </c>
      <c r="EN30" s="352">
        <f>+Data[[#This Row],[¿El agente identifica correctamente la solicitud del cliente?29]]</f>
        <v>1</v>
      </c>
      <c r="EO30" s="350">
        <f>IF((AH30="No"),0,$DY$2)</f>
        <v>1</v>
      </c>
      <c r="EP30" s="350">
        <f>IF((AI30="No"),0,$DY$2)</f>
        <v>1</v>
      </c>
      <c r="EQ30" s="350">
        <f>IF((AJ30="No"),0,$DY$2)</f>
        <v>1</v>
      </c>
      <c r="ER30" s="352">
        <f>IF(SUM(Data[[#This Row],[¿El agente evita activar un servicio diferente al solicitado?30]:[¿El agente configura adecuadamente el producto contratado?32]])=300%,100%,0%)</f>
        <v>1</v>
      </c>
      <c r="ES30" s="350">
        <f>IF((AK30="No"),0,$DY$2)</f>
        <v>1</v>
      </c>
      <c r="ET30" s="350">
        <f>IF((AL30="No"),0,$DY$2)</f>
        <v>1</v>
      </c>
      <c r="EU30" s="352">
        <f>IF(SUM(Data[[#This Row],[¿El agente mantiene respeto y cordialidad en toda la interacción?33]:[¿El agente utiliza un lenguaje adecuado y profesional?34]])=200%,100%,0%)</f>
        <v>1</v>
      </c>
      <c r="EV30" s="350">
        <f>IF((AM30="No"),0,$DY$2)</f>
        <v>1</v>
      </c>
      <c r="EW30" s="350">
        <f>IF((AN30="No"),0,$DY$2)</f>
        <v>1</v>
      </c>
      <c r="EX30" s="350">
        <f>IF((AO30="No"),0,$DY$2)</f>
        <v>1</v>
      </c>
      <c r="EY30" s="350">
        <f>IF((AP30="No"),0,$DY$2)</f>
        <v>1</v>
      </c>
      <c r="EZ30" s="350">
        <f>IF((AQ30="No"),0,$DY$2)</f>
        <v>1</v>
      </c>
      <c r="FA30" s="350">
        <f>IF((AR30="No"),0,$DY$2)</f>
        <v>1</v>
      </c>
      <c r="FB30" s="352">
        <f>IF(SUM(Data[[#This Row],[¿El agente verifica correctamente la cobertura?35]:[¿El agente agenda citas o gestiones cuando es necesario?41]])=600%,100%,0%)</f>
        <v>1</v>
      </c>
      <c r="FC30" s="350">
        <f>IF(SUM(EC30,EF30,EL30,EJ30,EN30,ER30,EU30,FB30)=800%,100%,0%)</f>
        <v>1</v>
      </c>
      <c r="FD30" s="350">
        <f>IF((AR30="No"),0,$DY$2)</f>
        <v>1</v>
      </c>
      <c r="FE30" s="350">
        <f>IF((AS30="No"),0,$DY$2)</f>
        <v>1</v>
      </c>
      <c r="FF30" s="350">
        <f>IF((AT30="No"),0,$DY$2)</f>
        <v>1</v>
      </c>
      <c r="FG30" s="350">
        <f>IF((AU30="No"),0,$DY$2)</f>
        <v>1</v>
      </c>
      <c r="FH30" s="350">
        <f>IF((AV30="No"),0,$DY$2)</f>
        <v>1</v>
      </c>
      <c r="FI30" s="350">
        <f>IF((AW30="No"),0,$DY$2)</f>
        <v>0</v>
      </c>
      <c r="FJ30" s="350">
        <f>IF(SUM(Data[[#This Row],[¿El agente ofrece adecuadamente un producto adicional?42]:[¿El agente maneja correctamente las objeciones del cliente?47]])=600%,100%,)</f>
        <v>0</v>
      </c>
      <c r="FK30" s="350">
        <f>IF((AX30="No"),0,$DY$2)</f>
        <v>1</v>
      </c>
      <c r="FL30" s="350">
        <f>+Data[[#This Row],[¿El agente gestiona la oferta según la campaña vigente?48]]</f>
        <v>1</v>
      </c>
      <c r="FM30" s="350">
        <f>IF((AY30="No"),0,$DY$2)</f>
        <v>1</v>
      </c>
      <c r="FN30" s="350">
        <f>IF((AZ30="No"),0,$DY$2)</f>
        <v>1</v>
      </c>
      <c r="FO30" s="350">
        <f>IF((BA30="No"),0,$DY$2)</f>
        <v>1</v>
      </c>
      <c r="FP30" s="350">
        <f>IF(SUM(Data[[#This Row],[¿El agente solicita coordenadas cuando es necesario?49]:[¿El agente maneja adecuadamente llamadas en conferencia?51]])=300%,100%,)</f>
        <v>1</v>
      </c>
      <c r="FQ30" s="350">
        <f>IF((BB30="No"),0,$DY$2)</f>
        <v>1</v>
      </c>
      <c r="FR30" s="350">
        <f>+Data[[#This Row],[¿El agente registra correctamente todas las interacciones?52]]</f>
        <v>1</v>
      </c>
      <c r="FS30" s="350">
        <f>IF(SUM(FJ30,FL30,FP30,FR30)=400%,100%,0)</f>
        <v>0</v>
      </c>
      <c r="FT30" s="349">
        <f>IF((BC30="No"),0,$DY$2)</f>
        <v>1</v>
      </c>
      <c r="FU30" s="352">
        <f>+Data[[#This Row],[¿El agente confirma la titularidad del cliente adecuadamente?53]]</f>
        <v>1</v>
      </c>
      <c r="FV30" s="349">
        <f>IF((BD30="No"),0,$DY$2)</f>
        <v>1</v>
      </c>
      <c r="FW30" s="349">
        <f>IF((BE30="No"),0,$DY$2)</f>
        <v>1</v>
      </c>
      <c r="FX30" s="352">
        <f>IF(SUM(Data[[#This Row],[¿El agente evita la omisión de alertas importantes?54]]:Data[[#This Row],[¿El agente mantiene conducta ética durante la interacción?55]])=200%,100%,)</f>
        <v>1</v>
      </c>
      <c r="FY30" s="349">
        <f>IF((BF30="No"),0,$DY$2)</f>
        <v>1</v>
      </c>
      <c r="FZ30" s="352">
        <f>+Data[[#This Row],[¿El agente evita compartir información sensible?56]]</f>
        <v>1</v>
      </c>
      <c r="GA30" s="350">
        <f>IF(SUM(FU30,FX30,FZ30)=300%,100%,)</f>
        <v>1</v>
      </c>
      <c r="GB30" s="351">
        <f>$GB$2*DX30</f>
        <v>0.1</v>
      </c>
      <c r="GC30" s="351">
        <f>$GC$2*FC30</f>
        <v>0.3</v>
      </c>
      <c r="GD30" s="353">
        <f>$GD$2*FS30</f>
        <v>0</v>
      </c>
      <c r="GE30" s="353">
        <f>$GE$2*GA30</f>
        <v>0.3</v>
      </c>
      <c r="GF30" s="350">
        <f>SUM(Data[[#This Row],[PESO PENC]:[PESO PECCUM]])</f>
        <v>0.7</v>
      </c>
      <c r="GG30" s="354">
        <f>1</f>
        <v>1</v>
      </c>
      <c r="GH30" s="354">
        <f>IF((BH30="Critica"),1,0)</f>
        <v>1</v>
      </c>
      <c r="GI30" s="348" t="str">
        <f>IF(J30="No",J$3,"")</f>
        <v/>
      </c>
      <c r="GJ30" s="348" t="str">
        <f>IF(K30="No",K$3,"")</f>
        <v/>
      </c>
      <c r="GK30" s="348" t="str">
        <f>IF(L30="No",L$3,"")</f>
        <v/>
      </c>
      <c r="GL30" s="355"/>
      <c r="GM30" s="355"/>
      <c r="GN30" s="348" t="str">
        <f>IF(O30="No",O$3,"")</f>
        <v/>
      </c>
      <c r="GO30" s="348" t="str">
        <f>IF(P30="No",P$3,"")</f>
        <v/>
      </c>
      <c r="GP30" s="348" t="str">
        <f>IF(Q30="No",Q$3,"")</f>
        <v/>
      </c>
      <c r="GQ30" s="348" t="str">
        <f>IF(R30="No",R$3,"")</f>
        <v/>
      </c>
      <c r="GR30" s="348" t="str">
        <f>IF(S30="No",S$3,"")</f>
        <v/>
      </c>
      <c r="GS30" s="348" t="str">
        <f>IF(T30="No",T$3,"")</f>
        <v/>
      </c>
      <c r="GT30" s="348" t="str">
        <f>IF(U30="No",U$3,"")</f>
        <v/>
      </c>
      <c r="GU30" s="348" t="e">
        <f>IF(#REF!="No",#REF!,"")</f>
        <v>#REF!</v>
      </c>
      <c r="GV30" s="348" t="str">
        <f>IF(V30="No",V$3,"")</f>
        <v/>
      </c>
      <c r="GW30" s="348" t="str">
        <f>IF(W30="No",W$3,"")</f>
        <v/>
      </c>
      <c r="GX30" s="348" t="str">
        <f>IF(X30="No",X$3,"")</f>
        <v/>
      </c>
      <c r="GY30" s="348" t="str">
        <f>IF(Y30="No",Y$3,"")</f>
        <v/>
      </c>
      <c r="GZ30" s="348" t="str">
        <f>IF(Z30="No",Z$3,"")</f>
        <v/>
      </c>
      <c r="HA30" s="348" t="str">
        <f>IF(AA30="No",AA$3,"")</f>
        <v/>
      </c>
      <c r="HB30" s="348" t="str">
        <f>IF(AB30="No",AB$3,"")</f>
        <v/>
      </c>
      <c r="HC30" s="348" t="str">
        <f>IF(AC30="No",AC$3,"")</f>
        <v/>
      </c>
      <c r="HD30" s="348" t="str">
        <f>IF(AD30="No",AD$3,"")</f>
        <v/>
      </c>
      <c r="HE30" s="348" t="str">
        <f>IF(AE30="No",AE$3,"")</f>
        <v/>
      </c>
      <c r="HF30" s="348" t="str">
        <f>IF(AF30="No",AF$3,"")</f>
        <v/>
      </c>
      <c r="HG30" s="348" t="str">
        <f>IF(AG30="No",AG$3,"")</f>
        <v/>
      </c>
      <c r="HH30" s="348" t="str">
        <f>IF(AH30="No",AH$3,"")</f>
        <v/>
      </c>
      <c r="HI30" s="348" t="str">
        <f>IF(AI30="No",AI$3,"")</f>
        <v/>
      </c>
      <c r="HJ30" s="348" t="str">
        <f>IF(AJ30="No",AJ$3,"")</f>
        <v/>
      </c>
      <c r="HK30" s="348" t="str">
        <f>IF(AK30="No",AK$3,"")</f>
        <v/>
      </c>
      <c r="HL30" s="348" t="str">
        <f>IF(AL30="No",AL$3,"")</f>
        <v/>
      </c>
      <c r="HM30" s="348" t="str">
        <f>IF(AM30="No",AM$3,"")</f>
        <v/>
      </c>
      <c r="HN30" s="348" t="str">
        <f>IF(AN30="No",AN$3,"")</f>
        <v/>
      </c>
      <c r="HO30" s="348" t="str">
        <f>IF(AO30="No",AO$3,"")</f>
        <v/>
      </c>
      <c r="HP30" s="348" t="str">
        <f>IF(AP30="No",AP$3,"")</f>
        <v/>
      </c>
      <c r="HQ30" s="348" t="str">
        <f>IF(AQ30="No",AQ$3,"")</f>
        <v/>
      </c>
      <c r="HR30" s="348" t="e">
        <f>IF(#REF!="No",#REF!,"")</f>
        <v>#REF!</v>
      </c>
      <c r="HS30" s="356" t="str">
        <f>IF(AR30="No",AR$3,"")</f>
        <v/>
      </c>
      <c r="HT30" s="356" t="str">
        <f>IF(AS30="No",AS$3,"")</f>
        <v/>
      </c>
      <c r="HU30" s="356" t="str">
        <f>IF(AT30="No",AT$3,"")</f>
        <v/>
      </c>
      <c r="HV30" s="356" t="str">
        <f>IF(AU30="No",AU$3,"")</f>
        <v/>
      </c>
      <c r="HW30" s="356" t="str">
        <f>IF(AV30="No",AV$3,"")</f>
        <v/>
      </c>
      <c r="HX30" s="356" t="str">
        <f>IF(AW30="No",AW$3,"")</f>
        <v xml:space="preserve">¿El agente maneja correctamente las objeciones del cliente? </v>
      </c>
      <c r="HY30" s="356" t="str">
        <f>IF(AX30="No",AX$3,"")</f>
        <v/>
      </c>
      <c r="HZ30" s="356" t="str">
        <f>IF(AY30="No",AY$3,"")</f>
        <v/>
      </c>
      <c r="IA30" s="356" t="str">
        <f>IF(AZ30="No",AZ$3,"")</f>
        <v/>
      </c>
      <c r="IB30" s="356" t="str">
        <f>IF(BA30="No",BA$3,"")</f>
        <v/>
      </c>
      <c r="IC30" s="356" t="str">
        <f>IF(BB30="No",BB$3,"")</f>
        <v/>
      </c>
      <c r="ID30" s="349" t="str">
        <f>IF(BC30="No",BC$3,"")</f>
        <v/>
      </c>
      <c r="IE30" s="349" t="str">
        <f>IF(BD30="No",BD$3,"")</f>
        <v/>
      </c>
      <c r="IF30" s="349" t="str">
        <f>IF(BE30="No",BE$3,"")</f>
        <v/>
      </c>
      <c r="IG30" s="349" t="str">
        <f>IF(BF30="No",BF$3,"")</f>
        <v/>
      </c>
      <c r="IH30" s="347" t="str">
        <f>A30&amp;" "&amp;F30&amp;" "&amp;Data[[#This Row],[mes]]</f>
        <v>Génesis Deniss Batista Outbound jul-26</v>
      </c>
      <c r="II30" s="357">
        <f>COUNTIF($IH30:$IH63,IH30)</f>
        <v>1</v>
      </c>
      <c r="IJ30" s="241">
        <f>IF(COUNTIF($IH$4:IH30,IH30)=1,1,0)</f>
        <v>0</v>
      </c>
      <c r="IK30" s="358">
        <f>IF(Data[[#This Row],[Muestra Critica]]&gt;0,Data[[#This Row],[Muestra Critica]],"")</f>
        <v>1</v>
      </c>
      <c r="IL30" s="354">
        <f>IF(IK30="","",COUNTIF($IK$4:$IK62,IK30))</f>
        <v>26</v>
      </c>
      <c r="IM30" s="359">
        <f>IF(IL30=1,1,0)</f>
        <v>0</v>
      </c>
      <c r="IN30" s="347" t="str">
        <f t="shared" si="150"/>
        <v>jul-26</v>
      </c>
      <c r="IO30" s="345"/>
      <c r="IP30" s="345"/>
      <c r="IQ30" s="345"/>
      <c r="IR30" s="345"/>
      <c r="IS30" s="347" t="str">
        <f ca="1">IFERROR(_xlfn.XLOOKUP(A:A,HC!B:B,HC!E:E,,0),0)</f>
        <v>1 a 30 dias</v>
      </c>
    </row>
    <row r="31" spans="1:253" ht="15.5" x14ac:dyDescent="0.35">
      <c r="A31" s="340" t="s">
        <v>434</v>
      </c>
      <c r="B31" s="340">
        <v>65517391</v>
      </c>
      <c r="C31" s="360">
        <v>46216</v>
      </c>
      <c r="D31" s="340" t="s">
        <v>440</v>
      </c>
      <c r="E31" s="341" t="s">
        <v>439</v>
      </c>
      <c r="F31" s="340" t="s">
        <v>32</v>
      </c>
      <c r="G31" s="232" t="s">
        <v>402</v>
      </c>
      <c r="H31" s="232" t="s">
        <v>441</v>
      </c>
      <c r="I31" s="342" t="s">
        <v>412</v>
      </c>
      <c r="J31" s="252" t="s">
        <v>33</v>
      </c>
      <c r="K31" s="252" t="s">
        <v>33</v>
      </c>
      <c r="L31" s="252" t="s">
        <v>33</v>
      </c>
      <c r="M31" s="252" t="s">
        <v>33</v>
      </c>
      <c r="N31" s="252" t="s">
        <v>33</v>
      </c>
      <c r="O31" s="252" t="s">
        <v>33</v>
      </c>
      <c r="P31" s="252" t="s">
        <v>33</v>
      </c>
      <c r="Q31" s="252" t="s">
        <v>33</v>
      </c>
      <c r="R31" s="252" t="s">
        <v>33</v>
      </c>
      <c r="S31" s="252" t="s">
        <v>33</v>
      </c>
      <c r="T31" s="252" t="s">
        <v>33</v>
      </c>
      <c r="U31" s="252" t="s">
        <v>33</v>
      </c>
      <c r="V31" s="253" t="s">
        <v>33</v>
      </c>
      <c r="W31" s="253" t="s">
        <v>33</v>
      </c>
      <c r="X31" s="253" t="s">
        <v>33</v>
      </c>
      <c r="Y31" s="253" t="s">
        <v>33</v>
      </c>
      <c r="Z31" s="253" t="s">
        <v>33</v>
      </c>
      <c r="AA31" s="253" t="s">
        <v>33</v>
      </c>
      <c r="AB31" s="253" t="s">
        <v>33</v>
      </c>
      <c r="AC31" s="253" t="s">
        <v>33</v>
      </c>
      <c r="AD31" s="253" t="s">
        <v>33</v>
      </c>
      <c r="AE31" s="253" t="s">
        <v>33</v>
      </c>
      <c r="AF31" s="253" t="s">
        <v>33</v>
      </c>
      <c r="AG31" s="253" t="s">
        <v>33</v>
      </c>
      <c r="AH31" s="253" t="s">
        <v>33</v>
      </c>
      <c r="AI31" s="253" t="s">
        <v>33</v>
      </c>
      <c r="AJ31" s="253" t="s">
        <v>33</v>
      </c>
      <c r="AK31" s="253" t="s">
        <v>33</v>
      </c>
      <c r="AL31" s="253" t="s">
        <v>33</v>
      </c>
      <c r="AM31" s="253" t="s">
        <v>33</v>
      </c>
      <c r="AN31" s="253" t="s">
        <v>33</v>
      </c>
      <c r="AO31" s="253" t="s">
        <v>33</v>
      </c>
      <c r="AP31" s="253" t="s">
        <v>33</v>
      </c>
      <c r="AQ31" s="253" t="s">
        <v>33</v>
      </c>
      <c r="AR31" s="253" t="s">
        <v>33</v>
      </c>
      <c r="AS31" s="253" t="s">
        <v>33</v>
      </c>
      <c r="AT31" s="253" t="s">
        <v>33</v>
      </c>
      <c r="AU31" s="253" t="s">
        <v>33</v>
      </c>
      <c r="AV31" s="253" t="s">
        <v>33</v>
      </c>
      <c r="AW31" s="253" t="s">
        <v>34</v>
      </c>
      <c r="AX31" s="253" t="s">
        <v>33</v>
      </c>
      <c r="AY31" s="253" t="s">
        <v>33</v>
      </c>
      <c r="AZ31" s="253" t="s">
        <v>33</v>
      </c>
      <c r="BA31" s="253" t="s">
        <v>33</v>
      </c>
      <c r="BB31" s="253" t="s">
        <v>33</v>
      </c>
      <c r="BC31" s="343" t="s">
        <v>33</v>
      </c>
      <c r="BD31" s="343" t="s">
        <v>33</v>
      </c>
      <c r="BE31" s="343" t="s">
        <v>33</v>
      </c>
      <c r="BF31" s="344" t="s">
        <v>33</v>
      </c>
      <c r="BG31" s="345"/>
      <c r="BH31" s="346" t="str">
        <f>Data[[#This Row],[Tipo de Muestra]]</f>
        <v>Critica</v>
      </c>
      <c r="BI31" s="345"/>
      <c r="BJ31" s="347"/>
      <c r="BK31" s="348">
        <f>IF(OR(J31="Si",J31="N/A"),1,0)</f>
        <v>1</v>
      </c>
      <c r="BL31" s="348">
        <f>IF(OR(K31="Si",K31="N/A"),1,0)</f>
        <v>1</v>
      </c>
      <c r="BM31" s="348">
        <f>IF(OR(L31="Si",L31="N/A"),1,0)</f>
        <v>1</v>
      </c>
      <c r="BN31" s="348">
        <f>IF(OR(M31="Si",M31="N/A"),1,0)</f>
        <v>1</v>
      </c>
      <c r="BO31" s="348">
        <f>IF(OR(N31="Si",N31="N/A"),1,0)</f>
        <v>1</v>
      </c>
      <c r="BP31" s="348">
        <f>IF(OR(O31="Si",O31="N/A"),1,0)</f>
        <v>1</v>
      </c>
      <c r="BQ31" s="348">
        <f>IF(OR(P31="Si",P31="N/A"),1,0)</f>
        <v>1</v>
      </c>
      <c r="BR31" s="348">
        <f>IF(OR(Q31="Si",Q31="N/A"),1,0)</f>
        <v>1</v>
      </c>
      <c r="BS31" s="348">
        <f>IF(OR(R31="Si",R31="N/A"),1,0)</f>
        <v>1</v>
      </c>
      <c r="BT31" s="348">
        <f>IF(OR(S31="Si",S31="N/A"),1,0)</f>
        <v>1</v>
      </c>
      <c r="BU31" s="348">
        <f>IF(OR(T31="Si",T31="N/A"),1,0)</f>
        <v>1</v>
      </c>
      <c r="BV31" s="348">
        <f>IF(OR(U31="Si",U31="N/A"),1,0)</f>
        <v>1</v>
      </c>
      <c r="BW31" s="348">
        <f>IF(OR(V31="Si",V31="N/A"),1,0)</f>
        <v>1</v>
      </c>
      <c r="BX31" s="348">
        <f>IF(OR(W31="Si",W31="N/A"),1,0)</f>
        <v>1</v>
      </c>
      <c r="BY31" s="348">
        <f>IF(OR(X31="Sí",X31="N/A"),1,0)</f>
        <v>0</v>
      </c>
      <c r="BZ31" s="348">
        <f>IF(OR(Y31="Sí",Y31="N/A"),1,0)</f>
        <v>0</v>
      </c>
      <c r="CA31" s="348">
        <f>IF(OR(Z31="Sí",Z31="N/A"),1,0)</f>
        <v>0</v>
      </c>
      <c r="CB31" s="348">
        <f>IF(OR(AA31="Sí",AA31="N/A"),1,0)</f>
        <v>0</v>
      </c>
      <c r="CC31" s="348">
        <f>IF(OR(AB31="Sí",AB31="N/A"),1,0)</f>
        <v>0</v>
      </c>
      <c r="CD31" s="348">
        <f>IF(OR(AC31="Sí",AC31="N/A"),1,0)</f>
        <v>0</v>
      </c>
      <c r="CE31" s="348">
        <f>IF(OR(AD31="Sí",AD31="N/A"),1,0)</f>
        <v>0</v>
      </c>
      <c r="CF31" s="348">
        <f>IF(OR(AE31="Sí",AE31="N/A"),1,0)</f>
        <v>0</v>
      </c>
      <c r="CG31" s="348">
        <f>IF(OR(AF31="Sí",AF31="N/A"),1,0)</f>
        <v>0</v>
      </c>
      <c r="CH31" s="348">
        <f>IF(OR(AG31="Sí",AG31="N/A"),1,0)</f>
        <v>0</v>
      </c>
      <c r="CI31" s="348">
        <f>IF(OR(AH31="Sí",AH31="N/A"),1,0)</f>
        <v>0</v>
      </c>
      <c r="CJ31" s="348">
        <f>IF(OR(AI31="Sí",AI31="N/A"),1,0)</f>
        <v>0</v>
      </c>
      <c r="CK31" s="348">
        <f>IF(OR(AJ31="Sí",AJ31="N/A"),1,0)</f>
        <v>0</v>
      </c>
      <c r="CL31" s="348">
        <f>IF(OR(AK31="Sí",AK31="N/A"),1,0)</f>
        <v>0</v>
      </c>
      <c r="CM31" s="348">
        <f>IF(OR(AL31="Sí",AL31="N/A"),1,0)</f>
        <v>0</v>
      </c>
      <c r="CN31" s="348">
        <f>IF(OR(AM31="Sí",AM31="N/A"),1,0)</f>
        <v>0</v>
      </c>
      <c r="CO31" s="348">
        <f>IF(OR(AN31="Sí",AN31="N/A"),1,0)</f>
        <v>0</v>
      </c>
      <c r="CP31" s="348">
        <f>IF(OR(AO31="Sí",AO31="N/A"),1,0)</f>
        <v>0</v>
      </c>
      <c r="CQ31" s="348">
        <f>IF(OR(AP31="Sí",AP31="N/A"),1,0)</f>
        <v>0</v>
      </c>
      <c r="CR31" s="348">
        <f>IF(OR(AQ31="Sí",AQ31="N/A"),1,0)</f>
        <v>0</v>
      </c>
      <c r="CS31" s="348">
        <f>IF(OR(AR31="Sí",AR31="N/A"),1,0)</f>
        <v>0</v>
      </c>
      <c r="CT31" s="348">
        <f>IF(OR(AS31="Sí",AS31="N/A"),1,0)</f>
        <v>0</v>
      </c>
      <c r="CU31" s="348">
        <f>IF(OR(AT31="Sí",AT31="N/A"),1,0)</f>
        <v>0</v>
      </c>
      <c r="CV31" s="348">
        <f>IF(OR(AU31="Sí",AU31="N/A"),1,0)</f>
        <v>0</v>
      </c>
      <c r="CW31" s="348">
        <f>IF(OR(AV31="Sí",AV31="N/A"),1,0)</f>
        <v>0</v>
      </c>
      <c r="CX31" s="348">
        <f>IF(OR(AW31="Sí",AW31="N/A"),1,0)</f>
        <v>0</v>
      </c>
      <c r="CY31" s="348">
        <f>IF(OR(AX31="Sí",AX31="N/A"),1,0)</f>
        <v>0</v>
      </c>
      <c r="CZ31" s="348">
        <f>IF(OR(AY31="Sí",AY31="N/A"),1,0)</f>
        <v>0</v>
      </c>
      <c r="DA31" s="348">
        <f>IF(OR(AZ31="Sí",AZ31="N/A"),1,0)</f>
        <v>0</v>
      </c>
      <c r="DB31" s="348">
        <f>IF(OR(BA31="Sí",BA31="N/A"),1,0)</f>
        <v>0</v>
      </c>
      <c r="DC31" s="348">
        <f>IF(OR(BB31="Sí",BB31="N/A"),1,0)</f>
        <v>0</v>
      </c>
      <c r="DD31" s="349">
        <f>IF(OR(BC31="Sí",BC31="N/A"),1,0)</f>
        <v>0</v>
      </c>
      <c r="DE31" s="349">
        <f>IF(OR(BD31="Sí",BD31="N/A"),1,0)</f>
        <v>0</v>
      </c>
      <c r="DF31" s="349">
        <f>IF(OR(BE31="Sí",BE31="N/A"),1,0)</f>
        <v>0</v>
      </c>
      <c r="DG31" s="349">
        <f>IF(OR(BF31="Si",BF31="N/A"),1,0)</f>
        <v>1</v>
      </c>
      <c r="DH31" s="350">
        <f>IF((J31="No"),0,$DH$2)</f>
        <v>0.15</v>
      </c>
      <c r="DI31" s="350">
        <f>IF((K31="No"),0,$DH$2)</f>
        <v>0.15</v>
      </c>
      <c r="DJ31" s="350">
        <f>IF((L31="No"),0,$DH$2)</f>
        <v>0.15</v>
      </c>
      <c r="DK31" s="350">
        <f>IF(MIN(Data[[#This Row],[¿El agente cumple con la identificación formal y profesional?3]:[¿El agente realiza despedida corporativa?5]])=0,0,15%)</f>
        <v>0.15</v>
      </c>
      <c r="DL31" s="350">
        <f>IF((M31="No"),0,$DL$2)</f>
        <v>0.3</v>
      </c>
      <c r="DM31" s="350">
        <f>IF((N31="No"),0,$DL$2)</f>
        <v>0.3</v>
      </c>
      <c r="DN31" s="350">
        <f>IF((O31="No"),0,$DL$2)</f>
        <v>0.3</v>
      </c>
      <c r="DO31" s="350">
        <f>IF((P31="No"),0,$DL$2)</f>
        <v>0.3</v>
      </c>
      <c r="DP31" s="350">
        <f>IF(MIN(Data[[#This Row],[¿El agente demuestra escucha activa durante la gestión?6]:[¿El agente parafrasea para confirmar entendimiento?9]])=0,0,30%)</f>
        <v>0.3</v>
      </c>
      <c r="DQ31" s="350">
        <f>IF((Q31="No"),0,$DQ$2)</f>
        <v>0.3</v>
      </c>
      <c r="DR31" s="350">
        <f>IF((R31="No"),0,$DQ$2)</f>
        <v>0.3</v>
      </c>
      <c r="DS31" s="350">
        <f>IF((S31="No"),0,$DQ$2)</f>
        <v>0.3</v>
      </c>
      <c r="DT31" s="350">
        <f>IF((T31="No"),0,$DQ$2)</f>
        <v>0.3</v>
      </c>
      <c r="DU31" s="351">
        <f>IF(MIN(Data[[#This Row],[¿El agente adapta su comunicación al cliente?11]:[¿El agente utiliza el plural corporativo correctamente?14]])=0,0,30%)</f>
        <v>0.3</v>
      </c>
      <c r="DV31" s="350">
        <f>IF((U31="No"),0,$DV$2)</f>
        <v>0.25</v>
      </c>
      <c r="DW31" s="350">
        <f>IF(MIN(DV31)=0,0,25%)</f>
        <v>0.25</v>
      </c>
      <c r="DX31" s="350">
        <f>IF(SUM(DK31,DP31,DU31,DW31)&gt;335%,100%,SUM(DK31,DP31,DU31,DW31)/100%)</f>
        <v>1</v>
      </c>
      <c r="DY31" s="350">
        <f>IF((W31="No"),0,$DY$2)</f>
        <v>1</v>
      </c>
      <c r="DZ31" s="350">
        <f>IF((X31="No"),0,$DY$2)</f>
        <v>1</v>
      </c>
      <c r="EA31" s="350">
        <f>IF((Y31="No"),0,$DY$2)</f>
        <v>1</v>
      </c>
      <c r="EB31" s="350">
        <f>IF((Z31="No"),0,$DY$2)</f>
        <v>1</v>
      </c>
      <c r="EC31" s="352">
        <f>IF(SUM(Data[[#This Row],[¿El agente informa correctamente sobre los centros de pago?19]:[¿El agente explica el ciclo de facturación adecuadamente?22]])=400%,100%,0%)</f>
        <v>1</v>
      </c>
      <c r="ED31" s="350">
        <f>IF((AA31="No"),0,$DY$2)</f>
        <v>1</v>
      </c>
      <c r="EE31" s="350">
        <f>IF((AB31="No"),0,$DY$2)</f>
        <v>1</v>
      </c>
      <c r="EF31" s="352">
        <f>IF(SUM(Data[[#This Row],[¿El agente presenta correctamente los beneficios del producto?23]:[¿El agente comunica beneficios emocionales al cliente?24]])=200%,100%,0%)</f>
        <v>1</v>
      </c>
      <c r="EG31" s="350">
        <f>IF((AC31="No"),0,$DY$2)</f>
        <v>1</v>
      </c>
      <c r="EH31" s="350">
        <f>IF((AD31="No"),0,$DY$2)</f>
        <v>1</v>
      </c>
      <c r="EI31" s="350">
        <f>IF((AE31="No"),0,$DY$2)</f>
        <v>1</v>
      </c>
      <c r="EJ31" s="352">
        <f>IF(SUM(Data[[#This Row],[¿El agente realiza un resumen comercial adecuado?25]:[¿El agente formaliza correctamente el acuerdo de venta?27]])=300%,100%,0%)</f>
        <v>1</v>
      </c>
      <c r="EK31" s="350">
        <f>IF((AF31="No"),0,$DY$2)</f>
        <v>1</v>
      </c>
      <c r="EL31" s="352">
        <f>+Data[[#This Row],[¿El agente explica los términos y condiciones del servicio?28]]</f>
        <v>1</v>
      </c>
      <c r="EM31" s="350">
        <f>IF((AG31="No"),0,$DY$2)</f>
        <v>1</v>
      </c>
      <c r="EN31" s="352">
        <f>+Data[[#This Row],[¿El agente identifica correctamente la solicitud del cliente?29]]</f>
        <v>1</v>
      </c>
      <c r="EO31" s="350">
        <f>IF((AH31="No"),0,$DY$2)</f>
        <v>1</v>
      </c>
      <c r="EP31" s="350">
        <f>IF((AI31="No"),0,$DY$2)</f>
        <v>1</v>
      </c>
      <c r="EQ31" s="350">
        <f>IF((AJ31="No"),0,$DY$2)</f>
        <v>1</v>
      </c>
      <c r="ER31" s="352">
        <f>IF(SUM(Data[[#This Row],[¿El agente evita activar un servicio diferente al solicitado?30]:[¿El agente configura adecuadamente el producto contratado?32]])=300%,100%,0%)</f>
        <v>1</v>
      </c>
      <c r="ES31" s="350">
        <f>IF((AK31="No"),0,$DY$2)</f>
        <v>1</v>
      </c>
      <c r="ET31" s="350">
        <f>IF((AL31="No"),0,$DY$2)</f>
        <v>1</v>
      </c>
      <c r="EU31" s="352">
        <f>IF(SUM(Data[[#This Row],[¿El agente mantiene respeto y cordialidad en toda la interacción?33]:[¿El agente utiliza un lenguaje adecuado y profesional?34]])=200%,100%,0%)</f>
        <v>1</v>
      </c>
      <c r="EV31" s="350">
        <f>IF((AM31="No"),0,$DY$2)</f>
        <v>1</v>
      </c>
      <c r="EW31" s="350">
        <f>IF((AN31="No"),0,$DY$2)</f>
        <v>1</v>
      </c>
      <c r="EX31" s="350">
        <f>IF((AO31="No"),0,$DY$2)</f>
        <v>1</v>
      </c>
      <c r="EY31" s="350">
        <f>IF((AP31="No"),0,$DY$2)</f>
        <v>1</v>
      </c>
      <c r="EZ31" s="350">
        <f>IF((AQ31="No"),0,$DY$2)</f>
        <v>1</v>
      </c>
      <c r="FA31" s="350">
        <f>IF((AR31="No"),0,$DY$2)</f>
        <v>1</v>
      </c>
      <c r="FB31" s="352">
        <f>IF(SUM(Data[[#This Row],[¿El agente verifica correctamente la cobertura?35]:[¿El agente agenda citas o gestiones cuando es necesario?41]])=600%,100%,0%)</f>
        <v>1</v>
      </c>
      <c r="FC31" s="350">
        <f>IF(SUM(EC31,EF31,EL31,EJ31,EN31,ER31,EU31,FB31)=800%,100%,0%)</f>
        <v>1</v>
      </c>
      <c r="FD31" s="350">
        <f>IF((AR31="No"),0,$DY$2)</f>
        <v>1</v>
      </c>
      <c r="FE31" s="350">
        <f>IF((AS31="No"),0,$DY$2)</f>
        <v>1</v>
      </c>
      <c r="FF31" s="350">
        <f>IF((AT31="No"),0,$DY$2)</f>
        <v>1</v>
      </c>
      <c r="FG31" s="350">
        <f>IF((AU31="No"),0,$DY$2)</f>
        <v>1</v>
      </c>
      <c r="FH31" s="350">
        <f>IF((AV31="No"),0,$DY$2)</f>
        <v>1</v>
      </c>
      <c r="FI31" s="350">
        <f>IF((AW31="No"),0,$DY$2)</f>
        <v>0</v>
      </c>
      <c r="FJ31" s="350">
        <f>IF(SUM(Data[[#This Row],[¿El agente ofrece adecuadamente un producto adicional?42]:[¿El agente maneja correctamente las objeciones del cliente?47]])=600%,100%,)</f>
        <v>0</v>
      </c>
      <c r="FK31" s="350">
        <f>IF((AX31="No"),0,$DY$2)</f>
        <v>1</v>
      </c>
      <c r="FL31" s="350">
        <f>+Data[[#This Row],[¿El agente gestiona la oferta según la campaña vigente?48]]</f>
        <v>1</v>
      </c>
      <c r="FM31" s="350">
        <f>IF((AY31="No"),0,$DY$2)</f>
        <v>1</v>
      </c>
      <c r="FN31" s="350">
        <f>IF((AZ31="No"),0,$DY$2)</f>
        <v>1</v>
      </c>
      <c r="FO31" s="350">
        <f>IF((BA31="No"),0,$DY$2)</f>
        <v>1</v>
      </c>
      <c r="FP31" s="350">
        <f>IF(SUM(Data[[#This Row],[¿El agente solicita coordenadas cuando es necesario?49]:[¿El agente maneja adecuadamente llamadas en conferencia?51]])=300%,100%,)</f>
        <v>1</v>
      </c>
      <c r="FQ31" s="350">
        <f>IF((BB31="No"),0,$DY$2)</f>
        <v>1</v>
      </c>
      <c r="FR31" s="350">
        <f>+Data[[#This Row],[¿El agente registra correctamente todas las interacciones?52]]</f>
        <v>1</v>
      </c>
      <c r="FS31" s="350">
        <f>IF(SUM(FJ31,FL31,FP31,FR31)=400%,100%,0)</f>
        <v>0</v>
      </c>
      <c r="FT31" s="349">
        <f>IF((BC31="No"),0,$DY$2)</f>
        <v>1</v>
      </c>
      <c r="FU31" s="352">
        <f>+Data[[#This Row],[¿El agente confirma la titularidad del cliente adecuadamente?53]]</f>
        <v>1</v>
      </c>
      <c r="FV31" s="349">
        <f>IF((BD31="No"),0,$DY$2)</f>
        <v>1</v>
      </c>
      <c r="FW31" s="349">
        <f>IF((BE31="No"),0,$DY$2)</f>
        <v>1</v>
      </c>
      <c r="FX31" s="352">
        <f>IF(SUM(Data[[#This Row],[¿El agente evita la omisión de alertas importantes?54]]:Data[[#This Row],[¿El agente mantiene conducta ética durante la interacción?55]])=200%,100%,)</f>
        <v>1</v>
      </c>
      <c r="FY31" s="349">
        <f>IF((BF31="No"),0,$DY$2)</f>
        <v>1</v>
      </c>
      <c r="FZ31" s="352">
        <f>+Data[[#This Row],[¿El agente evita compartir información sensible?56]]</f>
        <v>1</v>
      </c>
      <c r="GA31" s="350">
        <f>IF(SUM(FU31,FX31,FZ31)=300%,100%,)</f>
        <v>1</v>
      </c>
      <c r="GB31" s="351">
        <f>$GB$2*DX31</f>
        <v>0.1</v>
      </c>
      <c r="GC31" s="351">
        <f>$GC$2*FC31</f>
        <v>0.3</v>
      </c>
      <c r="GD31" s="353">
        <f>$GD$2*FS31</f>
        <v>0</v>
      </c>
      <c r="GE31" s="353">
        <f>$GE$2*GA31</f>
        <v>0.3</v>
      </c>
      <c r="GF31" s="350">
        <f>SUM(Data[[#This Row],[PESO PENC]:[PESO PECCUM]])</f>
        <v>0.7</v>
      </c>
      <c r="GG31" s="354">
        <f>1</f>
        <v>1</v>
      </c>
      <c r="GH31" s="354">
        <f>IF((BH31="Critica"),1,0)</f>
        <v>1</v>
      </c>
      <c r="GI31" s="348" t="str">
        <f>IF(J31="No",J$3,"")</f>
        <v/>
      </c>
      <c r="GJ31" s="348" t="str">
        <f>IF(K31="No",K$3,"")</f>
        <v/>
      </c>
      <c r="GK31" s="348" t="str">
        <f>IF(L31="No",L$3,"")</f>
        <v/>
      </c>
      <c r="GL31" s="355"/>
      <c r="GM31" s="355"/>
      <c r="GN31" s="348" t="str">
        <f>IF(O31="No",O$3,"")</f>
        <v/>
      </c>
      <c r="GO31" s="348" t="str">
        <f>IF(P31="No",P$3,"")</f>
        <v/>
      </c>
      <c r="GP31" s="348" t="str">
        <f>IF(Q31="No",Q$3,"")</f>
        <v/>
      </c>
      <c r="GQ31" s="348" t="str">
        <f>IF(R31="No",R$3,"")</f>
        <v/>
      </c>
      <c r="GR31" s="348" t="str">
        <f>IF(S31="No",S$3,"")</f>
        <v/>
      </c>
      <c r="GS31" s="348" t="str">
        <f>IF(T31="No",T$3,"")</f>
        <v/>
      </c>
      <c r="GT31" s="348" t="str">
        <f>IF(U31="No",U$3,"")</f>
        <v/>
      </c>
      <c r="GU31" s="348" t="e">
        <f>IF(#REF!="No",#REF!,"")</f>
        <v>#REF!</v>
      </c>
      <c r="GV31" s="348" t="str">
        <f>IF(V31="No",V$3,"")</f>
        <v/>
      </c>
      <c r="GW31" s="348" t="str">
        <f>IF(W31="No",W$3,"")</f>
        <v/>
      </c>
      <c r="GX31" s="348" t="str">
        <f>IF(X31="No",X$3,"")</f>
        <v/>
      </c>
      <c r="GY31" s="348" t="str">
        <f>IF(Y31="No",Y$3,"")</f>
        <v/>
      </c>
      <c r="GZ31" s="348" t="str">
        <f>IF(Z31="No",Z$3,"")</f>
        <v/>
      </c>
      <c r="HA31" s="348" t="str">
        <f>IF(AA31="No",AA$3,"")</f>
        <v/>
      </c>
      <c r="HB31" s="348" t="str">
        <f>IF(AB31="No",AB$3,"")</f>
        <v/>
      </c>
      <c r="HC31" s="348" t="str">
        <f>IF(AC31="No",AC$3,"")</f>
        <v/>
      </c>
      <c r="HD31" s="348" t="str">
        <f>IF(AD31="No",AD$3,"")</f>
        <v/>
      </c>
      <c r="HE31" s="348" t="str">
        <f>IF(AE31="No",AE$3,"")</f>
        <v/>
      </c>
      <c r="HF31" s="348" t="str">
        <f>IF(AF31="No",AF$3,"")</f>
        <v/>
      </c>
      <c r="HG31" s="348" t="str">
        <f>IF(AG31="No",AG$3,"")</f>
        <v/>
      </c>
      <c r="HH31" s="348" t="str">
        <f>IF(AH31="No",AH$3,"")</f>
        <v/>
      </c>
      <c r="HI31" s="348" t="str">
        <f>IF(AI31="No",AI$3,"")</f>
        <v/>
      </c>
      <c r="HJ31" s="348" t="str">
        <f>IF(AJ31="No",AJ$3,"")</f>
        <v/>
      </c>
      <c r="HK31" s="348" t="str">
        <f>IF(AK31="No",AK$3,"")</f>
        <v/>
      </c>
      <c r="HL31" s="348" t="str">
        <f>IF(AL31="No",AL$3,"")</f>
        <v/>
      </c>
      <c r="HM31" s="348" t="str">
        <f>IF(AM31="No",AM$3,"")</f>
        <v/>
      </c>
      <c r="HN31" s="348" t="str">
        <f>IF(AN31="No",AN$3,"")</f>
        <v/>
      </c>
      <c r="HO31" s="348" t="str">
        <f>IF(AO31="No",AO$3,"")</f>
        <v/>
      </c>
      <c r="HP31" s="348" t="str">
        <f>IF(AP31="No",AP$3,"")</f>
        <v/>
      </c>
      <c r="HQ31" s="348" t="str">
        <f>IF(AQ31="No",AQ$3,"")</f>
        <v/>
      </c>
      <c r="HR31" s="348" t="e">
        <f>IF(#REF!="No",#REF!,"")</f>
        <v>#REF!</v>
      </c>
      <c r="HS31" s="356" t="str">
        <f>IF(AR31="No",AR$3,"")</f>
        <v/>
      </c>
      <c r="HT31" s="356" t="str">
        <f>IF(AS31="No",AS$3,"")</f>
        <v/>
      </c>
      <c r="HU31" s="356" t="str">
        <f>IF(AT31="No",AT$3,"")</f>
        <v/>
      </c>
      <c r="HV31" s="356" t="str">
        <f>IF(AU31="No",AU$3,"")</f>
        <v/>
      </c>
      <c r="HW31" s="356" t="str">
        <f>IF(AV31="No",AV$3,"")</f>
        <v/>
      </c>
      <c r="HX31" s="356" t="str">
        <f>IF(AW31="No",AW$3,"")</f>
        <v xml:space="preserve">¿El agente maneja correctamente las objeciones del cliente? </v>
      </c>
      <c r="HY31" s="356" t="str">
        <f>IF(AX31="No",AX$3,"")</f>
        <v/>
      </c>
      <c r="HZ31" s="356" t="str">
        <f>IF(AY31="No",AY$3,"")</f>
        <v/>
      </c>
      <c r="IA31" s="356" t="str">
        <f>IF(AZ31="No",AZ$3,"")</f>
        <v/>
      </c>
      <c r="IB31" s="356" t="str">
        <f>IF(BA31="No",BA$3,"")</f>
        <v/>
      </c>
      <c r="IC31" s="356" t="str">
        <f>IF(BB31="No",BB$3,"")</f>
        <v/>
      </c>
      <c r="ID31" s="349" t="str">
        <f>IF(BC31="No",BC$3,"")</f>
        <v/>
      </c>
      <c r="IE31" s="349" t="str">
        <f>IF(BD31="No",BD$3,"")</f>
        <v/>
      </c>
      <c r="IF31" s="349" t="str">
        <f>IF(BE31="No",BE$3,"")</f>
        <v/>
      </c>
      <c r="IG31" s="349" t="str">
        <f>IF(BF31="No",BF$3,"")</f>
        <v/>
      </c>
      <c r="IH31" s="347" t="str">
        <f>A31&amp;" "&amp;F31&amp;" "&amp;Data[[#This Row],[mes]]</f>
        <v>Katherine Julibeth Arroyo Gutierrez Outbound jul-26</v>
      </c>
      <c r="II31" s="357">
        <f>COUNTIF($IH31:$IH64,IH31)</f>
        <v>2</v>
      </c>
      <c r="IJ31" s="241">
        <f>IF(COUNTIF($IH$4:IH31,IH31)=1,1,0)</f>
        <v>1</v>
      </c>
      <c r="IK31" s="358">
        <f>IF(Data[[#This Row],[Muestra Critica]]&gt;0,Data[[#This Row],[Muestra Critica]],"")</f>
        <v>1</v>
      </c>
      <c r="IL31" s="354">
        <f>IF(IK31="","",COUNTIF($IK$4:$IK63,IK31))</f>
        <v>26</v>
      </c>
      <c r="IM31" s="359">
        <f>IF(IL31=1,1,0)</f>
        <v>0</v>
      </c>
      <c r="IN31" s="347" t="str">
        <f t="shared" si="150"/>
        <v>jul-26</v>
      </c>
      <c r="IO31" s="345"/>
      <c r="IP31" s="345"/>
      <c r="IQ31" s="345"/>
      <c r="IR31" s="345"/>
      <c r="IS31" s="347" t="str">
        <f ca="1">IFERROR(_xlfn.XLOOKUP(A:A,HC!B:B,HC!E:E,,0),0)</f>
        <v>1 a 30 dias</v>
      </c>
    </row>
    <row r="32" spans="1:253" ht="15.5" x14ac:dyDescent="0.35">
      <c r="A32" s="340" t="s">
        <v>434</v>
      </c>
      <c r="B32" s="340">
        <v>61812049</v>
      </c>
      <c r="C32" s="360">
        <v>46216</v>
      </c>
      <c r="D32" s="340" t="s">
        <v>440</v>
      </c>
      <c r="E32" s="341" t="s">
        <v>439</v>
      </c>
      <c r="F32" s="340" t="s">
        <v>32</v>
      </c>
      <c r="G32" s="232" t="s">
        <v>402</v>
      </c>
      <c r="H32" s="232" t="s">
        <v>441</v>
      </c>
      <c r="I32" s="342" t="s">
        <v>412</v>
      </c>
      <c r="J32" s="252" t="s">
        <v>33</v>
      </c>
      <c r="K32" s="252" t="s">
        <v>33</v>
      </c>
      <c r="L32" s="252" t="s">
        <v>33</v>
      </c>
      <c r="M32" s="252" t="s">
        <v>33</v>
      </c>
      <c r="N32" s="252" t="s">
        <v>33</v>
      </c>
      <c r="O32" s="252" t="s">
        <v>33</v>
      </c>
      <c r="P32" s="252" t="s">
        <v>33</v>
      </c>
      <c r="Q32" s="252" t="s">
        <v>33</v>
      </c>
      <c r="R32" s="252" t="s">
        <v>33</v>
      </c>
      <c r="S32" s="252" t="s">
        <v>33</v>
      </c>
      <c r="T32" s="252" t="s">
        <v>33</v>
      </c>
      <c r="U32" s="252" t="s">
        <v>33</v>
      </c>
      <c r="V32" s="253" t="s">
        <v>33</v>
      </c>
      <c r="W32" s="253" t="s">
        <v>33</v>
      </c>
      <c r="X32" s="253" t="s">
        <v>33</v>
      </c>
      <c r="Y32" s="253" t="s">
        <v>33</v>
      </c>
      <c r="Z32" s="253" t="s">
        <v>33</v>
      </c>
      <c r="AA32" s="253" t="s">
        <v>33</v>
      </c>
      <c r="AB32" s="253" t="s">
        <v>33</v>
      </c>
      <c r="AC32" s="253" t="s">
        <v>33</v>
      </c>
      <c r="AD32" s="253" t="s">
        <v>33</v>
      </c>
      <c r="AE32" s="253" t="s">
        <v>33</v>
      </c>
      <c r="AF32" s="253" t="s">
        <v>33</v>
      </c>
      <c r="AG32" s="253" t="s">
        <v>33</v>
      </c>
      <c r="AH32" s="253" t="s">
        <v>33</v>
      </c>
      <c r="AI32" s="253" t="s">
        <v>33</v>
      </c>
      <c r="AJ32" s="253" t="s">
        <v>34</v>
      </c>
      <c r="AK32" s="253" t="s">
        <v>33</v>
      </c>
      <c r="AL32" s="253" t="s">
        <v>33</v>
      </c>
      <c r="AM32" s="253" t="s">
        <v>33</v>
      </c>
      <c r="AN32" s="253" t="s">
        <v>33</v>
      </c>
      <c r="AO32" s="253" t="s">
        <v>33</v>
      </c>
      <c r="AP32" s="253" t="s">
        <v>33</v>
      </c>
      <c r="AQ32" s="253" t="s">
        <v>33</v>
      </c>
      <c r="AR32" s="253" t="s">
        <v>33</v>
      </c>
      <c r="AS32" s="253" t="s">
        <v>33</v>
      </c>
      <c r="AT32" s="253" t="s">
        <v>34</v>
      </c>
      <c r="AU32" s="253" t="s">
        <v>33</v>
      </c>
      <c r="AV32" s="253" t="s">
        <v>33</v>
      </c>
      <c r="AW32" s="253" t="s">
        <v>34</v>
      </c>
      <c r="AX32" s="253" t="s">
        <v>33</v>
      </c>
      <c r="AY32" s="253" t="s">
        <v>33</v>
      </c>
      <c r="AZ32" s="253" t="s">
        <v>33</v>
      </c>
      <c r="BA32" s="253" t="s">
        <v>33</v>
      </c>
      <c r="BB32" s="253" t="s">
        <v>33</v>
      </c>
      <c r="BC32" s="343" t="s">
        <v>33</v>
      </c>
      <c r="BD32" s="343" t="s">
        <v>33</v>
      </c>
      <c r="BE32" s="343" t="s">
        <v>33</v>
      </c>
      <c r="BF32" s="344" t="s">
        <v>33</v>
      </c>
      <c r="BG32" s="345"/>
      <c r="BH32" s="346" t="str">
        <f>Data[[#This Row],[Tipo de Muestra]]</f>
        <v>Critica</v>
      </c>
      <c r="BI32" s="345"/>
      <c r="BJ32" s="347"/>
      <c r="BK32" s="348">
        <f>IF(OR(J32="Si",J32="N/A"),1,0)</f>
        <v>1</v>
      </c>
      <c r="BL32" s="348">
        <f>IF(OR(K32="Si",K32="N/A"),1,0)</f>
        <v>1</v>
      </c>
      <c r="BM32" s="348">
        <f>IF(OR(L32="Si",L32="N/A"),1,0)</f>
        <v>1</v>
      </c>
      <c r="BN32" s="348">
        <f>IF(OR(M32="Si",M32="N/A"),1,0)</f>
        <v>1</v>
      </c>
      <c r="BO32" s="348">
        <f>IF(OR(N32="Si",N32="N/A"),1,0)</f>
        <v>1</v>
      </c>
      <c r="BP32" s="348">
        <f>IF(OR(O32="Si",O32="N/A"),1,0)</f>
        <v>1</v>
      </c>
      <c r="BQ32" s="348">
        <f>IF(OR(P32="Si",P32="N/A"),1,0)</f>
        <v>1</v>
      </c>
      <c r="BR32" s="348">
        <f>IF(OR(Q32="Si",Q32="N/A"),1,0)</f>
        <v>1</v>
      </c>
      <c r="BS32" s="348">
        <f>IF(OR(R32="Si",R32="N/A"),1,0)</f>
        <v>1</v>
      </c>
      <c r="BT32" s="348">
        <f>IF(OR(S32="Si",S32="N/A"),1,0)</f>
        <v>1</v>
      </c>
      <c r="BU32" s="348">
        <f>IF(OR(T32="Si",T32="N/A"),1,0)</f>
        <v>1</v>
      </c>
      <c r="BV32" s="348">
        <f>IF(OR(U32="Si",U32="N/A"),1,0)</f>
        <v>1</v>
      </c>
      <c r="BW32" s="348">
        <f>IF(OR(V32="Si",V32="N/A"),1,0)</f>
        <v>1</v>
      </c>
      <c r="BX32" s="348">
        <f>IF(OR(W32="Si",W32="N/A"),1,0)</f>
        <v>1</v>
      </c>
      <c r="BY32" s="348">
        <f>IF(OR(X32="Sí",X32="N/A"),1,0)</f>
        <v>0</v>
      </c>
      <c r="BZ32" s="348">
        <f>IF(OR(Y32="Sí",Y32="N/A"),1,0)</f>
        <v>0</v>
      </c>
      <c r="CA32" s="348">
        <f>IF(OR(Z32="Sí",Z32="N/A"),1,0)</f>
        <v>0</v>
      </c>
      <c r="CB32" s="348">
        <f>IF(OR(AA32="Sí",AA32="N/A"),1,0)</f>
        <v>0</v>
      </c>
      <c r="CC32" s="348">
        <f>IF(OR(AB32="Sí",AB32="N/A"),1,0)</f>
        <v>0</v>
      </c>
      <c r="CD32" s="348">
        <f>IF(OR(AC32="Sí",AC32="N/A"),1,0)</f>
        <v>0</v>
      </c>
      <c r="CE32" s="348">
        <f>IF(OR(AD32="Sí",AD32="N/A"),1,0)</f>
        <v>0</v>
      </c>
      <c r="CF32" s="348">
        <f>IF(OR(AE32="Sí",AE32="N/A"),1,0)</f>
        <v>0</v>
      </c>
      <c r="CG32" s="348">
        <f>IF(OR(AF32="Sí",AF32="N/A"),1,0)</f>
        <v>0</v>
      </c>
      <c r="CH32" s="348">
        <f>IF(OR(AG32="Sí",AG32="N/A"),1,0)</f>
        <v>0</v>
      </c>
      <c r="CI32" s="348">
        <f>IF(OR(AH32="Sí",AH32="N/A"),1,0)</f>
        <v>0</v>
      </c>
      <c r="CJ32" s="348">
        <f>IF(OR(AI32="Sí",AI32="N/A"),1,0)</f>
        <v>0</v>
      </c>
      <c r="CK32" s="348">
        <f>IF(OR(AJ32="Sí",AJ32="N/A"),1,0)</f>
        <v>0</v>
      </c>
      <c r="CL32" s="348">
        <f>IF(OR(AK32="Sí",AK32="N/A"),1,0)</f>
        <v>0</v>
      </c>
      <c r="CM32" s="348">
        <f>IF(OR(AL32="Sí",AL32="N/A"),1,0)</f>
        <v>0</v>
      </c>
      <c r="CN32" s="348">
        <f>IF(OR(AM32="Sí",AM32="N/A"),1,0)</f>
        <v>0</v>
      </c>
      <c r="CO32" s="348">
        <f>IF(OR(AN32="Sí",AN32="N/A"),1,0)</f>
        <v>0</v>
      </c>
      <c r="CP32" s="348">
        <f>IF(OR(AO32="Sí",AO32="N/A"),1,0)</f>
        <v>0</v>
      </c>
      <c r="CQ32" s="348">
        <f>IF(OR(AP32="Sí",AP32="N/A"),1,0)</f>
        <v>0</v>
      </c>
      <c r="CR32" s="348">
        <f>IF(OR(AQ32="Sí",AQ32="N/A"),1,0)</f>
        <v>0</v>
      </c>
      <c r="CS32" s="348">
        <f>IF(OR(AR32="Sí",AR32="N/A"),1,0)</f>
        <v>0</v>
      </c>
      <c r="CT32" s="348">
        <f>IF(OR(AS32="Sí",AS32="N/A"),1,0)</f>
        <v>0</v>
      </c>
      <c r="CU32" s="348">
        <f>IF(OR(AT32="Sí",AT32="N/A"),1,0)</f>
        <v>0</v>
      </c>
      <c r="CV32" s="348">
        <f>IF(OR(AU32="Sí",AU32="N/A"),1,0)</f>
        <v>0</v>
      </c>
      <c r="CW32" s="348">
        <f>IF(OR(AV32="Sí",AV32="N/A"),1,0)</f>
        <v>0</v>
      </c>
      <c r="CX32" s="348">
        <f>IF(OR(AW32="Sí",AW32="N/A"),1,0)</f>
        <v>0</v>
      </c>
      <c r="CY32" s="348">
        <f>IF(OR(AX32="Sí",AX32="N/A"),1,0)</f>
        <v>0</v>
      </c>
      <c r="CZ32" s="348">
        <f>IF(OR(AY32="Sí",AY32="N/A"),1,0)</f>
        <v>0</v>
      </c>
      <c r="DA32" s="348">
        <f>IF(OR(AZ32="Sí",AZ32="N/A"),1,0)</f>
        <v>0</v>
      </c>
      <c r="DB32" s="348">
        <f>IF(OR(BA32="Sí",BA32="N/A"),1,0)</f>
        <v>0</v>
      </c>
      <c r="DC32" s="348">
        <f>IF(OR(BB32="Sí",BB32="N/A"),1,0)</f>
        <v>0</v>
      </c>
      <c r="DD32" s="349">
        <f>IF(OR(BC32="Sí",BC32="N/A"),1,0)</f>
        <v>0</v>
      </c>
      <c r="DE32" s="349">
        <f>IF(OR(BD32="Sí",BD32="N/A"),1,0)</f>
        <v>0</v>
      </c>
      <c r="DF32" s="349">
        <f>IF(OR(BE32="Sí",BE32="N/A"),1,0)</f>
        <v>0</v>
      </c>
      <c r="DG32" s="349">
        <f>IF(OR(BF32="Si",BF32="N/A"),1,0)</f>
        <v>1</v>
      </c>
      <c r="DH32" s="350">
        <f>IF((J32="No"),0,$DH$2)</f>
        <v>0.15</v>
      </c>
      <c r="DI32" s="350">
        <f>IF((K32="No"),0,$DH$2)</f>
        <v>0.15</v>
      </c>
      <c r="DJ32" s="350">
        <f>IF((L32="No"),0,$DH$2)</f>
        <v>0.15</v>
      </c>
      <c r="DK32" s="350">
        <f>IF(MIN(Data[[#This Row],[¿El agente cumple con la identificación formal y profesional?3]:[¿El agente realiza despedida corporativa?5]])=0,0,15%)</f>
        <v>0.15</v>
      </c>
      <c r="DL32" s="350">
        <f>IF((M32="No"),0,$DL$2)</f>
        <v>0.3</v>
      </c>
      <c r="DM32" s="350">
        <f>IF((N32="No"),0,$DL$2)</f>
        <v>0.3</v>
      </c>
      <c r="DN32" s="350">
        <f>IF((O32="No"),0,$DL$2)</f>
        <v>0.3</v>
      </c>
      <c r="DO32" s="350">
        <f>IF((P32="No"),0,$DL$2)</f>
        <v>0.3</v>
      </c>
      <c r="DP32" s="350">
        <f>IF(MIN(Data[[#This Row],[¿El agente demuestra escucha activa durante la gestión?6]:[¿El agente parafrasea para confirmar entendimiento?9]])=0,0,30%)</f>
        <v>0.3</v>
      </c>
      <c r="DQ32" s="350">
        <f>IF((Q32="No"),0,$DQ$2)</f>
        <v>0.3</v>
      </c>
      <c r="DR32" s="350">
        <f>IF((R32="No"),0,$DQ$2)</f>
        <v>0.3</v>
      </c>
      <c r="DS32" s="350">
        <f>IF((S32="No"),0,$DQ$2)</f>
        <v>0.3</v>
      </c>
      <c r="DT32" s="350">
        <f>IF((T32="No"),0,$DQ$2)</f>
        <v>0.3</v>
      </c>
      <c r="DU32" s="351">
        <f>IF(MIN(Data[[#This Row],[¿El agente adapta su comunicación al cliente?11]:[¿El agente utiliza el plural corporativo correctamente?14]])=0,0,30%)</f>
        <v>0.3</v>
      </c>
      <c r="DV32" s="350">
        <f>IF((U32="No"),0,$DV$2)</f>
        <v>0.25</v>
      </c>
      <c r="DW32" s="350">
        <f>IF(MIN(DV32)=0,0,25%)</f>
        <v>0.25</v>
      </c>
      <c r="DX32" s="350">
        <f>IF(SUM(DK32,DP32,DU32,DW32)&gt;335%,100%,SUM(DK32,DP32,DU32,DW32)/100%)</f>
        <v>1</v>
      </c>
      <c r="DY32" s="350">
        <f>IF((W32="No"),0,$DY$2)</f>
        <v>1</v>
      </c>
      <c r="DZ32" s="350">
        <f>IF((X32="No"),0,$DY$2)</f>
        <v>1</v>
      </c>
      <c r="EA32" s="350">
        <f>IF((Y32="No"),0,$DY$2)</f>
        <v>1</v>
      </c>
      <c r="EB32" s="350">
        <f>IF((Z32="No"),0,$DY$2)</f>
        <v>1</v>
      </c>
      <c r="EC32" s="352">
        <f>IF(SUM(Data[[#This Row],[¿El agente informa correctamente sobre los centros de pago?19]:[¿El agente explica el ciclo de facturación adecuadamente?22]])=400%,100%,0%)</f>
        <v>1</v>
      </c>
      <c r="ED32" s="350">
        <f>IF((AA32="No"),0,$DY$2)</f>
        <v>1</v>
      </c>
      <c r="EE32" s="350">
        <f>IF((AB32="No"),0,$DY$2)</f>
        <v>1</v>
      </c>
      <c r="EF32" s="352">
        <f>IF(SUM(Data[[#This Row],[¿El agente presenta correctamente los beneficios del producto?23]:[¿El agente comunica beneficios emocionales al cliente?24]])=200%,100%,0%)</f>
        <v>1</v>
      </c>
      <c r="EG32" s="350">
        <f>IF((AC32="No"),0,$DY$2)</f>
        <v>1</v>
      </c>
      <c r="EH32" s="350">
        <f>IF((AD32="No"),0,$DY$2)</f>
        <v>1</v>
      </c>
      <c r="EI32" s="350">
        <f>IF((AE32="No"),0,$DY$2)</f>
        <v>1</v>
      </c>
      <c r="EJ32" s="352">
        <f>IF(SUM(Data[[#This Row],[¿El agente realiza un resumen comercial adecuado?25]:[¿El agente formaliza correctamente el acuerdo de venta?27]])=300%,100%,0%)</f>
        <v>1</v>
      </c>
      <c r="EK32" s="350">
        <f>IF((AF32="No"),0,$DY$2)</f>
        <v>1</v>
      </c>
      <c r="EL32" s="352">
        <f>+Data[[#This Row],[¿El agente explica los términos y condiciones del servicio?28]]</f>
        <v>1</v>
      </c>
      <c r="EM32" s="350">
        <f>IF((AG32="No"),0,$DY$2)</f>
        <v>1</v>
      </c>
      <c r="EN32" s="352">
        <f>+Data[[#This Row],[¿El agente identifica correctamente la solicitud del cliente?29]]</f>
        <v>1</v>
      </c>
      <c r="EO32" s="350">
        <f>IF((AH32="No"),0,$DY$2)</f>
        <v>1</v>
      </c>
      <c r="EP32" s="350">
        <f>IF((AI32="No"),0,$DY$2)</f>
        <v>1</v>
      </c>
      <c r="EQ32" s="350">
        <f>IF((AJ32="No"),0,$DY$2)</f>
        <v>0</v>
      </c>
      <c r="ER32" s="352">
        <f>IF(SUM(Data[[#This Row],[¿El agente evita activar un servicio diferente al solicitado?30]:[¿El agente configura adecuadamente el producto contratado?32]])=300%,100%,0%)</f>
        <v>0</v>
      </c>
      <c r="ES32" s="350">
        <f>IF((AK32="No"),0,$DY$2)</f>
        <v>1</v>
      </c>
      <c r="ET32" s="350">
        <f>IF((AL32="No"),0,$DY$2)</f>
        <v>1</v>
      </c>
      <c r="EU32" s="352">
        <f>IF(SUM(Data[[#This Row],[¿El agente mantiene respeto y cordialidad en toda la interacción?33]:[¿El agente utiliza un lenguaje adecuado y profesional?34]])=200%,100%,0%)</f>
        <v>1</v>
      </c>
      <c r="EV32" s="350">
        <f>IF((AM32="No"),0,$DY$2)</f>
        <v>1</v>
      </c>
      <c r="EW32" s="350">
        <f>IF((AN32="No"),0,$DY$2)</f>
        <v>1</v>
      </c>
      <c r="EX32" s="350">
        <f>IF((AO32="No"),0,$DY$2)</f>
        <v>1</v>
      </c>
      <c r="EY32" s="350">
        <f>IF((AP32="No"),0,$DY$2)</f>
        <v>1</v>
      </c>
      <c r="EZ32" s="350">
        <f>IF((AQ32="No"),0,$DY$2)</f>
        <v>1</v>
      </c>
      <c r="FA32" s="350">
        <f>IF((AR32="No"),0,$DY$2)</f>
        <v>1</v>
      </c>
      <c r="FB32" s="352">
        <f>IF(SUM(Data[[#This Row],[¿El agente verifica correctamente la cobertura?35]:[¿El agente agenda citas o gestiones cuando es necesario?41]])=600%,100%,0%)</f>
        <v>1</v>
      </c>
      <c r="FC32" s="350">
        <f>IF(SUM(EC32,EF32,EL32,EJ32,EN32,ER32,EU32,FB32)=800%,100%,0%)</f>
        <v>0</v>
      </c>
      <c r="FD32" s="350">
        <f>IF((AR32="No"),0,$DY$2)</f>
        <v>1</v>
      </c>
      <c r="FE32" s="350">
        <f>IF((AS32="No"),0,$DY$2)</f>
        <v>1</v>
      </c>
      <c r="FF32" s="350">
        <f>IF((AT32="No"),0,$DY$2)</f>
        <v>0</v>
      </c>
      <c r="FG32" s="350">
        <f>IF((AU32="No"),0,$DY$2)</f>
        <v>1</v>
      </c>
      <c r="FH32" s="350">
        <f>IF((AV32="No"),0,$DY$2)</f>
        <v>1</v>
      </c>
      <c r="FI32" s="350">
        <f>IF((AW32="No"),0,$DY$2)</f>
        <v>0</v>
      </c>
      <c r="FJ32" s="350">
        <f>IF(SUM(Data[[#This Row],[¿El agente ofrece adecuadamente un producto adicional?42]:[¿El agente maneja correctamente las objeciones del cliente?47]])=600%,100%,)</f>
        <v>0</v>
      </c>
      <c r="FK32" s="350">
        <f>IF((AX32="No"),0,$DY$2)</f>
        <v>1</v>
      </c>
      <c r="FL32" s="350">
        <f>+Data[[#This Row],[¿El agente gestiona la oferta según la campaña vigente?48]]</f>
        <v>1</v>
      </c>
      <c r="FM32" s="350">
        <f>IF((AY32="No"),0,$DY$2)</f>
        <v>1</v>
      </c>
      <c r="FN32" s="350">
        <f>IF((AZ32="No"),0,$DY$2)</f>
        <v>1</v>
      </c>
      <c r="FO32" s="350">
        <f>IF((BA32="No"),0,$DY$2)</f>
        <v>1</v>
      </c>
      <c r="FP32" s="350">
        <f>IF(SUM(Data[[#This Row],[¿El agente solicita coordenadas cuando es necesario?49]:[¿El agente maneja adecuadamente llamadas en conferencia?51]])=300%,100%,)</f>
        <v>1</v>
      </c>
      <c r="FQ32" s="350">
        <f>IF((BB32="No"),0,$DY$2)</f>
        <v>1</v>
      </c>
      <c r="FR32" s="350">
        <f>+Data[[#This Row],[¿El agente registra correctamente todas las interacciones?52]]</f>
        <v>1</v>
      </c>
      <c r="FS32" s="350">
        <f>IF(SUM(FJ32,FL32,FP32,FR32)=400%,100%,0)</f>
        <v>0</v>
      </c>
      <c r="FT32" s="349">
        <f>IF((BC32="No"),0,$DY$2)</f>
        <v>1</v>
      </c>
      <c r="FU32" s="352">
        <f>+Data[[#This Row],[¿El agente confirma la titularidad del cliente adecuadamente?53]]</f>
        <v>1</v>
      </c>
      <c r="FV32" s="349">
        <f>IF((BD32="No"),0,$DY$2)</f>
        <v>1</v>
      </c>
      <c r="FW32" s="349">
        <f>IF((BE32="No"),0,$DY$2)</f>
        <v>1</v>
      </c>
      <c r="FX32" s="352">
        <f>IF(SUM(Data[[#This Row],[¿El agente evita la omisión de alertas importantes?54]]:Data[[#This Row],[¿El agente mantiene conducta ética durante la interacción?55]])=200%,100%,)</f>
        <v>1</v>
      </c>
      <c r="FY32" s="349">
        <f>IF((BF32="No"),0,$DY$2)</f>
        <v>1</v>
      </c>
      <c r="FZ32" s="352">
        <f>+Data[[#This Row],[¿El agente evita compartir información sensible?56]]</f>
        <v>1</v>
      </c>
      <c r="GA32" s="350">
        <f>IF(SUM(FU32,FX32,FZ32)=300%,100%,)</f>
        <v>1</v>
      </c>
      <c r="GB32" s="351">
        <f>$GB$2*DX32</f>
        <v>0.1</v>
      </c>
      <c r="GC32" s="351">
        <f>$GC$2*FC32</f>
        <v>0</v>
      </c>
      <c r="GD32" s="353">
        <f>$GD$2*FS32</f>
        <v>0</v>
      </c>
      <c r="GE32" s="353">
        <f>$GE$2*GA32</f>
        <v>0.3</v>
      </c>
      <c r="GF32" s="350">
        <f>SUM(Data[[#This Row],[PESO PENC]:[PESO PECCUM]])</f>
        <v>0.4</v>
      </c>
      <c r="GG32" s="354">
        <f>1</f>
        <v>1</v>
      </c>
      <c r="GH32" s="354">
        <f>IF((BH32="Critica"),1,0)</f>
        <v>1</v>
      </c>
      <c r="GI32" s="348" t="str">
        <f>IF(J32="No",J$3,"")</f>
        <v/>
      </c>
      <c r="GJ32" s="348" t="str">
        <f>IF(K32="No",K$3,"")</f>
        <v/>
      </c>
      <c r="GK32" s="348" t="str">
        <f>IF(L32="No",L$3,"")</f>
        <v/>
      </c>
      <c r="GL32" s="355"/>
      <c r="GM32" s="355"/>
      <c r="GN32" s="348" t="str">
        <f>IF(O32="No",O$3,"")</f>
        <v/>
      </c>
      <c r="GO32" s="348" t="str">
        <f>IF(P32="No",P$3,"")</f>
        <v/>
      </c>
      <c r="GP32" s="348" t="str">
        <f>IF(Q32="No",Q$3,"")</f>
        <v/>
      </c>
      <c r="GQ32" s="348" t="str">
        <f>IF(R32="No",R$3,"")</f>
        <v/>
      </c>
      <c r="GR32" s="348" t="str">
        <f>IF(S32="No",S$3,"")</f>
        <v/>
      </c>
      <c r="GS32" s="348" t="str">
        <f>IF(T32="No",T$3,"")</f>
        <v/>
      </c>
      <c r="GT32" s="348" t="str">
        <f>IF(U32="No",U$3,"")</f>
        <v/>
      </c>
      <c r="GU32" s="348" t="e">
        <f>IF(#REF!="No",#REF!,"")</f>
        <v>#REF!</v>
      </c>
      <c r="GV32" s="348" t="str">
        <f>IF(V32="No",V$3,"")</f>
        <v/>
      </c>
      <c r="GW32" s="348" t="str">
        <f>IF(W32="No",W$3,"")</f>
        <v/>
      </c>
      <c r="GX32" s="348" t="str">
        <f>IF(X32="No",X$3,"")</f>
        <v/>
      </c>
      <c r="GY32" s="348" t="str">
        <f>IF(Y32="No",Y$3,"")</f>
        <v/>
      </c>
      <c r="GZ32" s="348" t="str">
        <f>IF(Z32="No",Z$3,"")</f>
        <v/>
      </c>
      <c r="HA32" s="348" t="str">
        <f>IF(AA32="No",AA$3,"")</f>
        <v/>
      </c>
      <c r="HB32" s="348" t="str">
        <f>IF(AB32="No",AB$3,"")</f>
        <v/>
      </c>
      <c r="HC32" s="348" t="str">
        <f>IF(AC32="No",AC$3,"")</f>
        <v/>
      </c>
      <c r="HD32" s="348" t="str">
        <f>IF(AD32="No",AD$3,"")</f>
        <v/>
      </c>
      <c r="HE32" s="348" t="str">
        <f>IF(AE32="No",AE$3,"")</f>
        <v/>
      </c>
      <c r="HF32" s="348" t="str">
        <f>IF(AF32="No",AF$3,"")</f>
        <v/>
      </c>
      <c r="HG32" s="348" t="str">
        <f>IF(AG32="No",AG$3,"")</f>
        <v/>
      </c>
      <c r="HH32" s="348" t="str">
        <f>IF(AH32="No",AH$3,"")</f>
        <v/>
      </c>
      <c r="HI32" s="348" t="str">
        <f>IF(AI32="No",AI$3,"")</f>
        <v/>
      </c>
      <c r="HJ32" s="348" t="str">
        <f>IF(AJ32="No",AJ$3,"")</f>
        <v xml:space="preserve">¿El agente utiliza un lenguaje adecuado y profesional? </v>
      </c>
      <c r="HK32" s="348" t="str">
        <f>IF(AK32="No",AK$3,"")</f>
        <v/>
      </c>
      <c r="HL32" s="348" t="str">
        <f>IF(AL32="No",AL$3,"")</f>
        <v/>
      </c>
      <c r="HM32" s="348" t="str">
        <f>IF(AM32="No",AM$3,"")</f>
        <v/>
      </c>
      <c r="HN32" s="348" t="str">
        <f>IF(AN32="No",AN$3,"")</f>
        <v/>
      </c>
      <c r="HO32" s="348" t="str">
        <f>IF(AO32="No",AO$3,"")</f>
        <v/>
      </c>
      <c r="HP32" s="348" t="str">
        <f>IF(AP32="No",AP$3,"")</f>
        <v/>
      </c>
      <c r="HQ32" s="348" t="str">
        <f>IF(AQ32="No",AQ$3,"")</f>
        <v/>
      </c>
      <c r="HR32" s="348" t="e">
        <f>IF(#REF!="No",#REF!,"")</f>
        <v>#REF!</v>
      </c>
      <c r="HS32" s="356" t="str">
        <f>IF(AR32="No",AR$3,"")</f>
        <v/>
      </c>
      <c r="HT32" s="356" t="str">
        <f>IF(AS32="No",AS$3,"")</f>
        <v/>
      </c>
      <c r="HU32" s="356" t="str">
        <f>IF(AT32="No",AT$3,"")</f>
        <v xml:space="preserve">¿El agente indaga o sondea adecuadamente las necesidades del cliente? </v>
      </c>
      <c r="HV32" s="356" t="str">
        <f>IF(AU32="No",AU$3,"")</f>
        <v/>
      </c>
      <c r="HW32" s="356" t="str">
        <f>IF(AV32="No",AV$3,"")</f>
        <v/>
      </c>
      <c r="HX32" s="356" t="str">
        <f>IF(AW32="No",AW$3,"")</f>
        <v xml:space="preserve">¿El agente maneja correctamente las objeciones del cliente? </v>
      </c>
      <c r="HY32" s="356" t="str">
        <f>IF(AX32="No",AX$3,"")</f>
        <v/>
      </c>
      <c r="HZ32" s="356" t="str">
        <f>IF(AY32="No",AY$3,"")</f>
        <v/>
      </c>
      <c r="IA32" s="356" t="str">
        <f>IF(AZ32="No",AZ$3,"")</f>
        <v/>
      </c>
      <c r="IB32" s="356" t="str">
        <f>IF(BA32="No",BA$3,"")</f>
        <v/>
      </c>
      <c r="IC32" s="356" t="str">
        <f>IF(BB32="No",BB$3,"")</f>
        <v/>
      </c>
      <c r="ID32" s="349" t="str">
        <f>IF(BC32="No",BC$3,"")</f>
        <v/>
      </c>
      <c r="IE32" s="349" t="str">
        <f>IF(BD32="No",BD$3,"")</f>
        <v/>
      </c>
      <c r="IF32" s="349" t="str">
        <f>IF(BE32="No",BE$3,"")</f>
        <v/>
      </c>
      <c r="IG32" s="349" t="str">
        <f>IF(BF32="No",BF$3,"")</f>
        <v/>
      </c>
      <c r="IH32" s="347" t="str">
        <f>A32&amp;" "&amp;F32&amp;" "&amp;Data[[#This Row],[mes]]</f>
        <v>Katherine Julibeth Arroyo Gutierrez Outbound jul-26</v>
      </c>
      <c r="II32" s="357">
        <f>COUNTIF($IH32:$IH65,IH32)</f>
        <v>1</v>
      </c>
      <c r="IJ32" s="241">
        <f>IF(COUNTIF($IH$4:IH32,IH32)=1,1,0)</f>
        <v>0</v>
      </c>
      <c r="IK32" s="358">
        <f>IF(Data[[#This Row],[Muestra Critica]]&gt;0,Data[[#This Row],[Muestra Critica]],"")</f>
        <v>1</v>
      </c>
      <c r="IL32" s="354">
        <f>IF(IK32="","",COUNTIF($IK$4:$IK64,IK32))</f>
        <v>26</v>
      </c>
      <c r="IM32" s="359">
        <f>IF(IL32=1,1,0)</f>
        <v>0</v>
      </c>
      <c r="IN32" s="347" t="str">
        <f t="shared" si="150"/>
        <v>jul-26</v>
      </c>
      <c r="IO32" s="345"/>
      <c r="IP32" s="345"/>
      <c r="IQ32" s="345"/>
      <c r="IR32" s="345"/>
      <c r="IS32" s="347" t="str">
        <f ca="1">IFERROR(_xlfn.XLOOKUP(A:A,HC!B:B,HC!E:E,,0),0)</f>
        <v>1 a 30 dias</v>
      </c>
    </row>
    <row r="33" spans="1:253" ht="15.5" x14ac:dyDescent="0.35">
      <c r="A33" s="340" t="s">
        <v>436</v>
      </c>
      <c r="B33" s="340">
        <v>62095339</v>
      </c>
      <c r="C33" s="360">
        <v>46216</v>
      </c>
      <c r="D33" s="340" t="s">
        <v>440</v>
      </c>
      <c r="E33" s="341" t="s">
        <v>439</v>
      </c>
      <c r="F33" s="340" t="s">
        <v>32</v>
      </c>
      <c r="G33" s="232" t="s">
        <v>402</v>
      </c>
      <c r="H33" s="232" t="s">
        <v>441</v>
      </c>
      <c r="I33" s="342" t="s">
        <v>412</v>
      </c>
      <c r="J33" s="252" t="s">
        <v>33</v>
      </c>
      <c r="K33" s="252" t="s">
        <v>33</v>
      </c>
      <c r="L33" s="252" t="s">
        <v>33</v>
      </c>
      <c r="M33" s="252" t="s">
        <v>33</v>
      </c>
      <c r="N33" s="252" t="s">
        <v>33</v>
      </c>
      <c r="O33" s="252" t="s">
        <v>33</v>
      </c>
      <c r="P33" s="252" t="s">
        <v>33</v>
      </c>
      <c r="Q33" s="252" t="s">
        <v>33</v>
      </c>
      <c r="R33" s="252" t="s">
        <v>33</v>
      </c>
      <c r="S33" s="252" t="s">
        <v>33</v>
      </c>
      <c r="T33" s="252" t="s">
        <v>33</v>
      </c>
      <c r="U33" s="252" t="s">
        <v>33</v>
      </c>
      <c r="V33" s="253" t="s">
        <v>33</v>
      </c>
      <c r="W33" s="253" t="s">
        <v>33</v>
      </c>
      <c r="X33" s="253" t="s">
        <v>33</v>
      </c>
      <c r="Y33" s="253" t="s">
        <v>33</v>
      </c>
      <c r="Z33" s="253" t="s">
        <v>33</v>
      </c>
      <c r="AA33" s="253" t="s">
        <v>33</v>
      </c>
      <c r="AB33" s="253" t="s">
        <v>33</v>
      </c>
      <c r="AC33" s="253" t="s">
        <v>33</v>
      </c>
      <c r="AD33" s="253" t="s">
        <v>33</v>
      </c>
      <c r="AE33" s="253" t="s">
        <v>33</v>
      </c>
      <c r="AF33" s="253" t="s">
        <v>33</v>
      </c>
      <c r="AG33" s="253" t="s">
        <v>33</v>
      </c>
      <c r="AH33" s="253" t="s">
        <v>33</v>
      </c>
      <c r="AI33" s="253" t="s">
        <v>33</v>
      </c>
      <c r="AJ33" s="253" t="s">
        <v>34</v>
      </c>
      <c r="AK33" s="253" t="s">
        <v>33</v>
      </c>
      <c r="AL33" s="253" t="s">
        <v>33</v>
      </c>
      <c r="AM33" s="253" t="s">
        <v>33</v>
      </c>
      <c r="AN33" s="253" t="s">
        <v>33</v>
      </c>
      <c r="AO33" s="253" t="s">
        <v>33</v>
      </c>
      <c r="AP33" s="253" t="s">
        <v>33</v>
      </c>
      <c r="AQ33" s="253" t="s">
        <v>33</v>
      </c>
      <c r="AR33" s="253" t="s">
        <v>33</v>
      </c>
      <c r="AS33" s="253" t="s">
        <v>34</v>
      </c>
      <c r="AT33" s="253" t="s">
        <v>34</v>
      </c>
      <c r="AU33" s="253" t="s">
        <v>33</v>
      </c>
      <c r="AV33" s="253" t="s">
        <v>33</v>
      </c>
      <c r="AW33" s="253" t="s">
        <v>34</v>
      </c>
      <c r="AX33" s="253" t="s">
        <v>33</v>
      </c>
      <c r="AY33" s="253" t="s">
        <v>33</v>
      </c>
      <c r="AZ33" s="253" t="s">
        <v>33</v>
      </c>
      <c r="BA33" s="253" t="s">
        <v>33</v>
      </c>
      <c r="BB33" s="253" t="s">
        <v>33</v>
      </c>
      <c r="BC33" s="343" t="s">
        <v>33</v>
      </c>
      <c r="BD33" s="343" t="s">
        <v>33</v>
      </c>
      <c r="BE33" s="343" t="s">
        <v>33</v>
      </c>
      <c r="BF33" s="344" t="s">
        <v>33</v>
      </c>
      <c r="BG33" s="345"/>
      <c r="BH33" s="346" t="str">
        <f>Data[[#This Row],[Tipo de Muestra]]</f>
        <v>Critica</v>
      </c>
      <c r="BI33" s="345"/>
      <c r="BJ33" s="347"/>
      <c r="BK33" s="348">
        <f>IF(OR(J33="Si",J33="N/A"),1,0)</f>
        <v>1</v>
      </c>
      <c r="BL33" s="348">
        <f>IF(OR(K33="Si",K33="N/A"),1,0)</f>
        <v>1</v>
      </c>
      <c r="BM33" s="348">
        <f>IF(OR(L33="Si",L33="N/A"),1,0)</f>
        <v>1</v>
      </c>
      <c r="BN33" s="348">
        <f>IF(OR(M33="Si",M33="N/A"),1,0)</f>
        <v>1</v>
      </c>
      <c r="BO33" s="348">
        <f>IF(OR(N33="Si",N33="N/A"),1,0)</f>
        <v>1</v>
      </c>
      <c r="BP33" s="348">
        <f>IF(OR(O33="Si",O33="N/A"),1,0)</f>
        <v>1</v>
      </c>
      <c r="BQ33" s="348">
        <f>IF(OR(P33="Si",P33="N/A"),1,0)</f>
        <v>1</v>
      </c>
      <c r="BR33" s="348">
        <f>IF(OR(Q33="Si",Q33="N/A"),1,0)</f>
        <v>1</v>
      </c>
      <c r="BS33" s="348">
        <f>IF(OR(R33="Si",R33="N/A"),1,0)</f>
        <v>1</v>
      </c>
      <c r="BT33" s="348">
        <f>IF(OR(S33="Si",S33="N/A"),1,0)</f>
        <v>1</v>
      </c>
      <c r="BU33" s="348">
        <f>IF(OR(T33="Si",T33="N/A"),1,0)</f>
        <v>1</v>
      </c>
      <c r="BV33" s="348">
        <f>IF(OR(U33="Si",U33="N/A"),1,0)</f>
        <v>1</v>
      </c>
      <c r="BW33" s="348">
        <f>IF(OR(V33="Si",V33="N/A"),1,0)</f>
        <v>1</v>
      </c>
      <c r="BX33" s="348">
        <f>IF(OR(W33="Si",W33="N/A"),1,0)</f>
        <v>1</v>
      </c>
      <c r="BY33" s="348">
        <f>IF(OR(X33="Sí",X33="N/A"),1,0)</f>
        <v>0</v>
      </c>
      <c r="BZ33" s="348">
        <f>IF(OR(Y33="Sí",Y33="N/A"),1,0)</f>
        <v>0</v>
      </c>
      <c r="CA33" s="348">
        <f>IF(OR(Z33="Sí",Z33="N/A"),1,0)</f>
        <v>0</v>
      </c>
      <c r="CB33" s="348">
        <f>IF(OR(AA33="Sí",AA33="N/A"),1,0)</f>
        <v>0</v>
      </c>
      <c r="CC33" s="348">
        <f>IF(OR(AB33="Sí",AB33="N/A"),1,0)</f>
        <v>0</v>
      </c>
      <c r="CD33" s="348">
        <f>IF(OR(AC33="Sí",AC33="N/A"),1,0)</f>
        <v>0</v>
      </c>
      <c r="CE33" s="348">
        <f>IF(OR(AD33="Sí",AD33="N/A"),1,0)</f>
        <v>0</v>
      </c>
      <c r="CF33" s="348">
        <f>IF(OR(AE33="Sí",AE33="N/A"),1,0)</f>
        <v>0</v>
      </c>
      <c r="CG33" s="348">
        <f>IF(OR(AF33="Sí",AF33="N/A"),1,0)</f>
        <v>0</v>
      </c>
      <c r="CH33" s="348">
        <f>IF(OR(AG33="Sí",AG33="N/A"),1,0)</f>
        <v>0</v>
      </c>
      <c r="CI33" s="348">
        <f>IF(OR(AH33="Sí",AH33="N/A"),1,0)</f>
        <v>0</v>
      </c>
      <c r="CJ33" s="348">
        <f>IF(OR(AI33="Sí",AI33="N/A"),1,0)</f>
        <v>0</v>
      </c>
      <c r="CK33" s="348">
        <f>IF(OR(AJ33="Sí",AJ33="N/A"),1,0)</f>
        <v>0</v>
      </c>
      <c r="CL33" s="348">
        <f>IF(OR(AK33="Sí",AK33="N/A"),1,0)</f>
        <v>0</v>
      </c>
      <c r="CM33" s="348">
        <f>IF(OR(AL33="Sí",AL33="N/A"),1,0)</f>
        <v>0</v>
      </c>
      <c r="CN33" s="348">
        <f>IF(OR(AM33="Sí",AM33="N/A"),1,0)</f>
        <v>0</v>
      </c>
      <c r="CO33" s="348">
        <f>IF(OR(AN33="Sí",AN33="N/A"),1,0)</f>
        <v>0</v>
      </c>
      <c r="CP33" s="348">
        <f>IF(OR(AO33="Sí",AO33="N/A"),1,0)</f>
        <v>0</v>
      </c>
      <c r="CQ33" s="348">
        <f>IF(OR(AP33="Sí",AP33="N/A"),1,0)</f>
        <v>0</v>
      </c>
      <c r="CR33" s="348">
        <f>IF(OR(AQ33="Sí",AQ33="N/A"),1,0)</f>
        <v>0</v>
      </c>
      <c r="CS33" s="348">
        <f>IF(OR(AR33="Sí",AR33="N/A"),1,0)</f>
        <v>0</v>
      </c>
      <c r="CT33" s="348">
        <f>IF(OR(AS33="Sí",AS33="N/A"),1,0)</f>
        <v>0</v>
      </c>
      <c r="CU33" s="348">
        <f>IF(OR(AT33="Sí",AT33="N/A"),1,0)</f>
        <v>0</v>
      </c>
      <c r="CV33" s="348">
        <f>IF(OR(AU33="Sí",AU33="N/A"),1,0)</f>
        <v>0</v>
      </c>
      <c r="CW33" s="348">
        <f>IF(OR(AV33="Sí",AV33="N/A"),1,0)</f>
        <v>0</v>
      </c>
      <c r="CX33" s="348">
        <f>IF(OR(AW33="Sí",AW33="N/A"),1,0)</f>
        <v>0</v>
      </c>
      <c r="CY33" s="348">
        <f>IF(OR(AX33="Sí",AX33="N/A"),1,0)</f>
        <v>0</v>
      </c>
      <c r="CZ33" s="348">
        <f>IF(OR(AY33="Sí",AY33="N/A"),1,0)</f>
        <v>0</v>
      </c>
      <c r="DA33" s="348">
        <f>IF(OR(AZ33="Sí",AZ33="N/A"),1,0)</f>
        <v>0</v>
      </c>
      <c r="DB33" s="348">
        <f>IF(OR(BA33="Sí",BA33="N/A"),1,0)</f>
        <v>0</v>
      </c>
      <c r="DC33" s="348">
        <f>IF(OR(BB33="Sí",BB33="N/A"),1,0)</f>
        <v>0</v>
      </c>
      <c r="DD33" s="349">
        <f>IF(OR(BC33="Sí",BC33="N/A"),1,0)</f>
        <v>0</v>
      </c>
      <c r="DE33" s="349">
        <f>IF(OR(BD33="Sí",BD33="N/A"),1,0)</f>
        <v>0</v>
      </c>
      <c r="DF33" s="349">
        <f>IF(OR(BE33="Sí",BE33="N/A"),1,0)</f>
        <v>0</v>
      </c>
      <c r="DG33" s="349">
        <f>IF(OR(BF33="Si",BF33="N/A"),1,0)</f>
        <v>1</v>
      </c>
      <c r="DH33" s="350">
        <f>IF((J33="No"),0,$DH$2)</f>
        <v>0.15</v>
      </c>
      <c r="DI33" s="350">
        <f>IF((K33="No"),0,$DH$2)</f>
        <v>0.15</v>
      </c>
      <c r="DJ33" s="350">
        <f>IF((L33="No"),0,$DH$2)</f>
        <v>0.15</v>
      </c>
      <c r="DK33" s="350">
        <f>IF(MIN(Data[[#This Row],[¿El agente cumple con la identificación formal y profesional?3]:[¿El agente realiza despedida corporativa?5]])=0,0,15%)</f>
        <v>0.15</v>
      </c>
      <c r="DL33" s="350">
        <f>IF((M33="No"),0,$DL$2)</f>
        <v>0.3</v>
      </c>
      <c r="DM33" s="350">
        <f>IF((N33="No"),0,$DL$2)</f>
        <v>0.3</v>
      </c>
      <c r="DN33" s="350">
        <f>IF((O33="No"),0,$DL$2)</f>
        <v>0.3</v>
      </c>
      <c r="DO33" s="350">
        <f>IF((P33="No"),0,$DL$2)</f>
        <v>0.3</v>
      </c>
      <c r="DP33" s="350">
        <f>IF(MIN(Data[[#This Row],[¿El agente demuestra escucha activa durante la gestión?6]:[¿El agente parafrasea para confirmar entendimiento?9]])=0,0,30%)</f>
        <v>0.3</v>
      </c>
      <c r="DQ33" s="350">
        <f>IF((Q33="No"),0,$DQ$2)</f>
        <v>0.3</v>
      </c>
      <c r="DR33" s="350">
        <f>IF((R33="No"),0,$DQ$2)</f>
        <v>0.3</v>
      </c>
      <c r="DS33" s="350">
        <f>IF((S33="No"),0,$DQ$2)</f>
        <v>0.3</v>
      </c>
      <c r="DT33" s="350">
        <f>IF((T33="No"),0,$DQ$2)</f>
        <v>0.3</v>
      </c>
      <c r="DU33" s="351">
        <f>IF(MIN(Data[[#This Row],[¿El agente adapta su comunicación al cliente?11]:[¿El agente utiliza el plural corporativo correctamente?14]])=0,0,30%)</f>
        <v>0.3</v>
      </c>
      <c r="DV33" s="350">
        <f>IF((U33="No"),0,$DV$2)</f>
        <v>0.25</v>
      </c>
      <c r="DW33" s="350">
        <f>IF(MIN(DV33)=0,0,25%)</f>
        <v>0.25</v>
      </c>
      <c r="DX33" s="350">
        <f>IF(SUM(DK33,DP33,DU33,DW33)&gt;335%,100%,SUM(DK33,DP33,DU33,DW33)/100%)</f>
        <v>1</v>
      </c>
      <c r="DY33" s="350">
        <f>IF((W33="No"),0,$DY$2)</f>
        <v>1</v>
      </c>
      <c r="DZ33" s="350">
        <f>IF((X33="No"),0,$DY$2)</f>
        <v>1</v>
      </c>
      <c r="EA33" s="350">
        <f>IF((Y33="No"),0,$DY$2)</f>
        <v>1</v>
      </c>
      <c r="EB33" s="350">
        <f>IF((Z33="No"),0,$DY$2)</f>
        <v>1</v>
      </c>
      <c r="EC33" s="352">
        <f>IF(SUM(Data[[#This Row],[¿El agente informa correctamente sobre los centros de pago?19]:[¿El agente explica el ciclo de facturación adecuadamente?22]])=400%,100%,0%)</f>
        <v>1</v>
      </c>
      <c r="ED33" s="350">
        <f>IF((AA33="No"),0,$DY$2)</f>
        <v>1</v>
      </c>
      <c r="EE33" s="350">
        <f>IF((AB33="No"),0,$DY$2)</f>
        <v>1</v>
      </c>
      <c r="EF33" s="352">
        <f>IF(SUM(Data[[#This Row],[¿El agente presenta correctamente los beneficios del producto?23]:[¿El agente comunica beneficios emocionales al cliente?24]])=200%,100%,0%)</f>
        <v>1</v>
      </c>
      <c r="EG33" s="350">
        <f>IF((AC33="No"),0,$DY$2)</f>
        <v>1</v>
      </c>
      <c r="EH33" s="350">
        <f>IF((AD33="No"),0,$DY$2)</f>
        <v>1</v>
      </c>
      <c r="EI33" s="350">
        <f>IF((AE33="No"),0,$DY$2)</f>
        <v>1</v>
      </c>
      <c r="EJ33" s="352">
        <f>IF(SUM(Data[[#This Row],[¿El agente realiza un resumen comercial adecuado?25]:[¿El agente formaliza correctamente el acuerdo de venta?27]])=300%,100%,0%)</f>
        <v>1</v>
      </c>
      <c r="EK33" s="350">
        <f>IF((AF33="No"),0,$DY$2)</f>
        <v>1</v>
      </c>
      <c r="EL33" s="352">
        <f>+Data[[#This Row],[¿El agente explica los términos y condiciones del servicio?28]]</f>
        <v>1</v>
      </c>
      <c r="EM33" s="350">
        <f>IF((AG33="No"),0,$DY$2)</f>
        <v>1</v>
      </c>
      <c r="EN33" s="352">
        <f>+Data[[#This Row],[¿El agente identifica correctamente la solicitud del cliente?29]]</f>
        <v>1</v>
      </c>
      <c r="EO33" s="350">
        <f>IF((AH33="No"),0,$DY$2)</f>
        <v>1</v>
      </c>
      <c r="EP33" s="350">
        <f>IF((AI33="No"),0,$DY$2)</f>
        <v>1</v>
      </c>
      <c r="EQ33" s="350">
        <f>IF((AJ33="No"),0,$DY$2)</f>
        <v>0</v>
      </c>
      <c r="ER33" s="352">
        <f>IF(SUM(Data[[#This Row],[¿El agente evita activar un servicio diferente al solicitado?30]:[¿El agente configura adecuadamente el producto contratado?32]])=300%,100%,0%)</f>
        <v>0</v>
      </c>
      <c r="ES33" s="350">
        <f>IF((AK33="No"),0,$DY$2)</f>
        <v>1</v>
      </c>
      <c r="ET33" s="350">
        <f>IF((AL33="No"),0,$DY$2)</f>
        <v>1</v>
      </c>
      <c r="EU33" s="352">
        <f>IF(SUM(Data[[#This Row],[¿El agente mantiene respeto y cordialidad en toda la interacción?33]:[¿El agente utiliza un lenguaje adecuado y profesional?34]])=200%,100%,0%)</f>
        <v>1</v>
      </c>
      <c r="EV33" s="350">
        <f>IF((AM33="No"),0,$DY$2)</f>
        <v>1</v>
      </c>
      <c r="EW33" s="350">
        <f>IF((AN33="No"),0,$DY$2)</f>
        <v>1</v>
      </c>
      <c r="EX33" s="350">
        <f>IF((AO33="No"),0,$DY$2)</f>
        <v>1</v>
      </c>
      <c r="EY33" s="350">
        <f>IF((AP33="No"),0,$DY$2)</f>
        <v>1</v>
      </c>
      <c r="EZ33" s="350">
        <f>IF((AQ33="No"),0,$DY$2)</f>
        <v>1</v>
      </c>
      <c r="FA33" s="350">
        <f>IF((AR33="No"),0,$DY$2)</f>
        <v>1</v>
      </c>
      <c r="FB33" s="352">
        <f>IF(SUM(Data[[#This Row],[¿El agente verifica correctamente la cobertura?35]:[¿El agente agenda citas o gestiones cuando es necesario?41]])=600%,100%,0%)</f>
        <v>1</v>
      </c>
      <c r="FC33" s="350">
        <f>IF(SUM(EC33,EF33,EL33,EJ33,EN33,ER33,EU33,FB33)=800%,100%,0%)</f>
        <v>0</v>
      </c>
      <c r="FD33" s="350">
        <f>IF((AR33="No"),0,$DY$2)</f>
        <v>1</v>
      </c>
      <c r="FE33" s="350">
        <f>IF((AS33="No"),0,$DY$2)</f>
        <v>0</v>
      </c>
      <c r="FF33" s="350">
        <f>IF((AT33="No"),0,$DY$2)</f>
        <v>0</v>
      </c>
      <c r="FG33" s="350">
        <f>IF((AU33="No"),0,$DY$2)</f>
        <v>1</v>
      </c>
      <c r="FH33" s="350">
        <f>IF((AV33="No"),0,$DY$2)</f>
        <v>1</v>
      </c>
      <c r="FI33" s="350">
        <f>IF((AW33="No"),0,$DY$2)</f>
        <v>0</v>
      </c>
      <c r="FJ33" s="350">
        <f>IF(SUM(Data[[#This Row],[¿El agente ofrece adecuadamente un producto adicional?42]:[¿El agente maneja correctamente las objeciones del cliente?47]])=600%,100%,)</f>
        <v>0</v>
      </c>
      <c r="FK33" s="350">
        <f>IF((AX33="No"),0,$DY$2)</f>
        <v>1</v>
      </c>
      <c r="FL33" s="350">
        <f>+Data[[#This Row],[¿El agente gestiona la oferta según la campaña vigente?48]]</f>
        <v>1</v>
      </c>
      <c r="FM33" s="350">
        <f>IF((AY33="No"),0,$DY$2)</f>
        <v>1</v>
      </c>
      <c r="FN33" s="350">
        <f>IF((AZ33="No"),0,$DY$2)</f>
        <v>1</v>
      </c>
      <c r="FO33" s="350">
        <f>IF((BA33="No"),0,$DY$2)</f>
        <v>1</v>
      </c>
      <c r="FP33" s="350">
        <f>IF(SUM(Data[[#This Row],[¿El agente solicita coordenadas cuando es necesario?49]:[¿El agente maneja adecuadamente llamadas en conferencia?51]])=300%,100%,)</f>
        <v>1</v>
      </c>
      <c r="FQ33" s="350">
        <f>IF((BB33="No"),0,$DY$2)</f>
        <v>1</v>
      </c>
      <c r="FR33" s="350">
        <f>+Data[[#This Row],[¿El agente registra correctamente todas las interacciones?52]]</f>
        <v>1</v>
      </c>
      <c r="FS33" s="350">
        <f>IF(SUM(FJ33,FL33,FP33,FR33)=400%,100%,0)</f>
        <v>0</v>
      </c>
      <c r="FT33" s="349">
        <f>IF((BC33="No"),0,$DY$2)</f>
        <v>1</v>
      </c>
      <c r="FU33" s="352">
        <f>+Data[[#This Row],[¿El agente confirma la titularidad del cliente adecuadamente?53]]</f>
        <v>1</v>
      </c>
      <c r="FV33" s="349">
        <f>IF((BD33="No"),0,$DY$2)</f>
        <v>1</v>
      </c>
      <c r="FW33" s="349">
        <f>IF((BE33="No"),0,$DY$2)</f>
        <v>1</v>
      </c>
      <c r="FX33" s="352">
        <f>IF(SUM(Data[[#This Row],[¿El agente evita la omisión de alertas importantes?54]]:Data[[#This Row],[¿El agente mantiene conducta ética durante la interacción?55]])=200%,100%,)</f>
        <v>1</v>
      </c>
      <c r="FY33" s="349">
        <f>IF((BF33="No"),0,$DY$2)</f>
        <v>1</v>
      </c>
      <c r="FZ33" s="352">
        <f>+Data[[#This Row],[¿El agente evita compartir información sensible?56]]</f>
        <v>1</v>
      </c>
      <c r="GA33" s="350">
        <f>IF(SUM(FU33,FX33,FZ33)=300%,100%,)</f>
        <v>1</v>
      </c>
      <c r="GB33" s="351">
        <f>$GB$2*DX33</f>
        <v>0.1</v>
      </c>
      <c r="GC33" s="351">
        <f>$GC$2*FC33</f>
        <v>0</v>
      </c>
      <c r="GD33" s="353">
        <f>$GD$2*FS33</f>
        <v>0</v>
      </c>
      <c r="GE33" s="353">
        <f>$GE$2*GA33</f>
        <v>0.3</v>
      </c>
      <c r="GF33" s="350">
        <f>SUM(Data[[#This Row],[PESO PENC]:[PESO PECCUM]])</f>
        <v>0.4</v>
      </c>
      <c r="GG33" s="354">
        <f>1</f>
        <v>1</v>
      </c>
      <c r="GH33" s="354">
        <f>IF((BH33="Critica"),1,0)</f>
        <v>1</v>
      </c>
      <c r="GI33" s="348" t="str">
        <f>IF(J33="No",J$3,"")</f>
        <v/>
      </c>
      <c r="GJ33" s="348" t="str">
        <f>IF(K33="No",K$3,"")</f>
        <v/>
      </c>
      <c r="GK33" s="348" t="str">
        <f>IF(L33="No",L$3,"")</f>
        <v/>
      </c>
      <c r="GL33" s="355"/>
      <c r="GM33" s="355"/>
      <c r="GN33" s="348" t="str">
        <f>IF(O33="No",O$3,"")</f>
        <v/>
      </c>
      <c r="GO33" s="348" t="str">
        <f>IF(P33="No",P$3,"")</f>
        <v/>
      </c>
      <c r="GP33" s="348" t="str">
        <f>IF(Q33="No",Q$3,"")</f>
        <v/>
      </c>
      <c r="GQ33" s="348" t="str">
        <f>IF(R33="No",R$3,"")</f>
        <v/>
      </c>
      <c r="GR33" s="348" t="str">
        <f>IF(S33="No",S$3,"")</f>
        <v/>
      </c>
      <c r="GS33" s="348" t="str">
        <f>IF(T33="No",T$3,"")</f>
        <v/>
      </c>
      <c r="GT33" s="348" t="str">
        <f>IF(U33="No",U$3,"")</f>
        <v/>
      </c>
      <c r="GU33" s="348" t="e">
        <f>IF(#REF!="No",#REF!,"")</f>
        <v>#REF!</v>
      </c>
      <c r="GV33" s="348" t="str">
        <f>IF(V33="No",V$3,"")</f>
        <v/>
      </c>
      <c r="GW33" s="348" t="str">
        <f>IF(W33="No",W$3,"")</f>
        <v/>
      </c>
      <c r="GX33" s="348" t="str">
        <f>IF(X33="No",X$3,"")</f>
        <v/>
      </c>
      <c r="GY33" s="348" t="str">
        <f>IF(Y33="No",Y$3,"")</f>
        <v/>
      </c>
      <c r="GZ33" s="348" t="str">
        <f>IF(Z33="No",Z$3,"")</f>
        <v/>
      </c>
      <c r="HA33" s="348" t="str">
        <f>IF(AA33="No",AA$3,"")</f>
        <v/>
      </c>
      <c r="HB33" s="348" t="str">
        <f>IF(AB33="No",AB$3,"")</f>
        <v/>
      </c>
      <c r="HC33" s="348" t="str">
        <f>IF(AC33="No",AC$3,"")</f>
        <v/>
      </c>
      <c r="HD33" s="348" t="str">
        <f>IF(AD33="No",AD$3,"")</f>
        <v/>
      </c>
      <c r="HE33" s="348" t="str">
        <f>IF(AE33="No",AE$3,"")</f>
        <v/>
      </c>
      <c r="HF33" s="348" t="str">
        <f>IF(AF33="No",AF$3,"")</f>
        <v/>
      </c>
      <c r="HG33" s="348" t="str">
        <f>IF(AG33="No",AG$3,"")</f>
        <v/>
      </c>
      <c r="HH33" s="348" t="str">
        <f>IF(AH33="No",AH$3,"")</f>
        <v/>
      </c>
      <c r="HI33" s="348" t="str">
        <f>IF(AI33="No",AI$3,"")</f>
        <v/>
      </c>
      <c r="HJ33" s="348" t="str">
        <f>IF(AJ33="No",AJ$3,"")</f>
        <v xml:space="preserve">¿El agente utiliza un lenguaje adecuado y profesional? </v>
      </c>
      <c r="HK33" s="348" t="str">
        <f>IF(AK33="No",AK$3,"")</f>
        <v/>
      </c>
      <c r="HL33" s="348" t="str">
        <f>IF(AL33="No",AL$3,"")</f>
        <v/>
      </c>
      <c r="HM33" s="348" t="str">
        <f>IF(AM33="No",AM$3,"")</f>
        <v/>
      </c>
      <c r="HN33" s="348" t="str">
        <f>IF(AN33="No",AN$3,"")</f>
        <v/>
      </c>
      <c r="HO33" s="348" t="str">
        <f>IF(AO33="No",AO$3,"")</f>
        <v/>
      </c>
      <c r="HP33" s="348" t="str">
        <f>IF(AP33="No",AP$3,"")</f>
        <v/>
      </c>
      <c r="HQ33" s="348" t="str">
        <f>IF(AQ33="No",AQ$3,"")</f>
        <v/>
      </c>
      <c r="HR33" s="348" t="e">
        <f>IF(#REF!="No",#REF!,"")</f>
        <v>#REF!</v>
      </c>
      <c r="HS33" s="356" t="str">
        <f>IF(AR33="No",AR$3,"")</f>
        <v/>
      </c>
      <c r="HT33" s="356" t="str">
        <f>IF(AS33="No",AS$3,"")</f>
        <v xml:space="preserve">¿El agente realiza venta cruzada cuando corresponde? </v>
      </c>
      <c r="HU33" s="356" t="str">
        <f>IF(AT33="No",AT$3,"")</f>
        <v xml:space="preserve">¿El agente indaga o sondea adecuadamente las necesidades del cliente? </v>
      </c>
      <c r="HV33" s="356" t="str">
        <f>IF(AU33="No",AU$3,"")</f>
        <v/>
      </c>
      <c r="HW33" s="356" t="str">
        <f>IF(AV33="No",AV$3,"")</f>
        <v/>
      </c>
      <c r="HX33" s="356" t="str">
        <f>IF(AW33="No",AW$3,"")</f>
        <v xml:space="preserve">¿El agente maneja correctamente las objeciones del cliente? </v>
      </c>
      <c r="HY33" s="356" t="str">
        <f>IF(AX33="No",AX$3,"")</f>
        <v/>
      </c>
      <c r="HZ33" s="356" t="str">
        <f>IF(AY33="No",AY$3,"")</f>
        <v/>
      </c>
      <c r="IA33" s="356" t="str">
        <f>IF(AZ33="No",AZ$3,"")</f>
        <v/>
      </c>
      <c r="IB33" s="356" t="str">
        <f>IF(BA33="No",BA$3,"")</f>
        <v/>
      </c>
      <c r="IC33" s="356" t="str">
        <f>IF(BB33="No",BB$3,"")</f>
        <v/>
      </c>
      <c r="ID33" s="349" t="str">
        <f>IF(BC33="No",BC$3,"")</f>
        <v/>
      </c>
      <c r="IE33" s="349" t="str">
        <f>IF(BD33="No",BD$3,"")</f>
        <v/>
      </c>
      <c r="IF33" s="349" t="str">
        <f>IF(BE33="No",BE$3,"")</f>
        <v/>
      </c>
      <c r="IG33" s="349" t="str">
        <f>IF(BF33="No",BF$3,"")</f>
        <v/>
      </c>
      <c r="IH33" s="347" t="str">
        <f>A33&amp;" "&amp;F33&amp;" "&amp;Data[[#This Row],[mes]]</f>
        <v>Abdiel Hernández Outbound jul-26</v>
      </c>
      <c r="II33" s="357">
        <f>COUNTIF($IH33:$IH66,IH33)</f>
        <v>2</v>
      </c>
      <c r="IJ33" s="241">
        <f>IF(COUNTIF($IH$4:IH33,IH33)=1,1,0)</f>
        <v>1</v>
      </c>
      <c r="IK33" s="358">
        <f>IF(Data[[#This Row],[Muestra Critica]]&gt;0,Data[[#This Row],[Muestra Critica]],"")</f>
        <v>1</v>
      </c>
      <c r="IL33" s="354">
        <f>IF(IK33="","",COUNTIF($IK$4:$IK65,IK33))</f>
        <v>26</v>
      </c>
      <c r="IM33" s="359">
        <f>IF(IL33=1,1,0)</f>
        <v>0</v>
      </c>
      <c r="IN33" s="347" t="str">
        <f t="shared" si="150"/>
        <v>jul-26</v>
      </c>
      <c r="IO33" s="345"/>
      <c r="IP33" s="345"/>
      <c r="IQ33" s="345"/>
      <c r="IR33" s="345"/>
      <c r="IS33" s="347" t="str">
        <f ca="1">IFERROR(_xlfn.XLOOKUP(A:A,HC!B:B,HC!E:E,,0),0)</f>
        <v>1 a 30 dias</v>
      </c>
    </row>
    <row r="34" spans="1:253" ht="15.5" x14ac:dyDescent="0.35">
      <c r="A34" s="340" t="s">
        <v>436</v>
      </c>
      <c r="B34" s="340">
        <v>63456239</v>
      </c>
      <c r="C34" s="360">
        <v>46216</v>
      </c>
      <c r="D34" s="340" t="s">
        <v>440</v>
      </c>
      <c r="E34" s="341" t="s">
        <v>439</v>
      </c>
      <c r="F34" s="340" t="s">
        <v>32</v>
      </c>
      <c r="G34" s="232" t="s">
        <v>402</v>
      </c>
      <c r="H34" s="232" t="s">
        <v>441</v>
      </c>
      <c r="I34" s="342" t="s">
        <v>412</v>
      </c>
      <c r="J34" s="252" t="s">
        <v>33</v>
      </c>
      <c r="K34" s="252" t="s">
        <v>33</v>
      </c>
      <c r="L34" s="252" t="s">
        <v>33</v>
      </c>
      <c r="M34" s="252" t="s">
        <v>33</v>
      </c>
      <c r="N34" s="252" t="s">
        <v>33</v>
      </c>
      <c r="O34" s="252" t="s">
        <v>33</v>
      </c>
      <c r="P34" s="252" t="s">
        <v>33</v>
      </c>
      <c r="Q34" s="252" t="s">
        <v>33</v>
      </c>
      <c r="R34" s="252" t="s">
        <v>33</v>
      </c>
      <c r="S34" s="252" t="s">
        <v>33</v>
      </c>
      <c r="T34" s="252" t="s">
        <v>33</v>
      </c>
      <c r="U34" s="252" t="s">
        <v>33</v>
      </c>
      <c r="V34" s="253" t="s">
        <v>33</v>
      </c>
      <c r="W34" s="253" t="s">
        <v>33</v>
      </c>
      <c r="X34" s="253" t="s">
        <v>33</v>
      </c>
      <c r="Y34" s="253" t="s">
        <v>33</v>
      </c>
      <c r="Z34" s="253" t="s">
        <v>33</v>
      </c>
      <c r="AA34" s="253" t="s">
        <v>33</v>
      </c>
      <c r="AB34" s="253" t="s">
        <v>33</v>
      </c>
      <c r="AC34" s="253" t="s">
        <v>33</v>
      </c>
      <c r="AD34" s="253" t="s">
        <v>33</v>
      </c>
      <c r="AE34" s="253" t="s">
        <v>33</v>
      </c>
      <c r="AF34" s="253" t="s">
        <v>33</v>
      </c>
      <c r="AG34" s="253" t="s">
        <v>33</v>
      </c>
      <c r="AH34" s="253" t="s">
        <v>33</v>
      </c>
      <c r="AI34" s="253" t="s">
        <v>33</v>
      </c>
      <c r="AJ34" s="253" t="s">
        <v>33</v>
      </c>
      <c r="AK34" s="253" t="s">
        <v>34</v>
      </c>
      <c r="AL34" s="253" t="s">
        <v>33</v>
      </c>
      <c r="AM34" s="253" t="s">
        <v>33</v>
      </c>
      <c r="AN34" s="253" t="s">
        <v>33</v>
      </c>
      <c r="AO34" s="253" t="s">
        <v>33</v>
      </c>
      <c r="AP34" s="253" t="s">
        <v>33</v>
      </c>
      <c r="AQ34" s="253" t="s">
        <v>33</v>
      </c>
      <c r="AR34" s="253" t="s">
        <v>33</v>
      </c>
      <c r="AS34" s="253" t="s">
        <v>33</v>
      </c>
      <c r="AT34" s="253" t="s">
        <v>33</v>
      </c>
      <c r="AU34" s="253" t="s">
        <v>33</v>
      </c>
      <c r="AV34" s="253" t="s">
        <v>33</v>
      </c>
      <c r="AW34" s="253" t="s">
        <v>34</v>
      </c>
      <c r="AX34" s="253" t="s">
        <v>33</v>
      </c>
      <c r="AY34" s="253" t="s">
        <v>33</v>
      </c>
      <c r="AZ34" s="253" t="s">
        <v>33</v>
      </c>
      <c r="BA34" s="253" t="s">
        <v>33</v>
      </c>
      <c r="BB34" s="253" t="s">
        <v>33</v>
      </c>
      <c r="BC34" s="343" t="s">
        <v>33</v>
      </c>
      <c r="BD34" s="343" t="s">
        <v>33</v>
      </c>
      <c r="BE34" s="343" t="s">
        <v>33</v>
      </c>
      <c r="BF34" s="344" t="s">
        <v>33</v>
      </c>
      <c r="BG34" s="345"/>
      <c r="BH34" s="346" t="str">
        <f>Data[[#This Row],[Tipo de Muestra]]</f>
        <v>Critica</v>
      </c>
      <c r="BI34" s="345"/>
      <c r="BJ34" s="347"/>
      <c r="BK34" s="348">
        <f>IF(OR(J34="Si",J34="N/A"),1,0)</f>
        <v>1</v>
      </c>
      <c r="BL34" s="348">
        <f>IF(OR(K34="Si",K34="N/A"),1,0)</f>
        <v>1</v>
      </c>
      <c r="BM34" s="348">
        <f>IF(OR(L34="Si",L34="N/A"),1,0)</f>
        <v>1</v>
      </c>
      <c r="BN34" s="348">
        <f>IF(OR(M34="Si",M34="N/A"),1,0)</f>
        <v>1</v>
      </c>
      <c r="BO34" s="348">
        <f>IF(OR(N34="Si",N34="N/A"),1,0)</f>
        <v>1</v>
      </c>
      <c r="BP34" s="348">
        <f>IF(OR(O34="Si",O34="N/A"),1,0)</f>
        <v>1</v>
      </c>
      <c r="BQ34" s="348">
        <f>IF(OR(P34="Si",P34="N/A"),1,0)</f>
        <v>1</v>
      </c>
      <c r="BR34" s="348">
        <f>IF(OR(Q34="Si",Q34="N/A"),1,0)</f>
        <v>1</v>
      </c>
      <c r="BS34" s="348">
        <f>IF(OR(R34="Si",R34="N/A"),1,0)</f>
        <v>1</v>
      </c>
      <c r="BT34" s="348">
        <f>IF(OR(S34="Si",S34="N/A"),1,0)</f>
        <v>1</v>
      </c>
      <c r="BU34" s="348">
        <f>IF(OR(T34="Si",T34="N/A"),1,0)</f>
        <v>1</v>
      </c>
      <c r="BV34" s="348">
        <f>IF(OR(U34="Si",U34="N/A"),1,0)</f>
        <v>1</v>
      </c>
      <c r="BW34" s="348">
        <f>IF(OR(V34="Si",V34="N/A"),1,0)</f>
        <v>1</v>
      </c>
      <c r="BX34" s="348">
        <f>IF(OR(W34="Si",W34="N/A"),1,0)</f>
        <v>1</v>
      </c>
      <c r="BY34" s="348">
        <f>IF(OR(X34="Sí",X34="N/A"),1,0)</f>
        <v>0</v>
      </c>
      <c r="BZ34" s="348">
        <f>IF(OR(Y34="Sí",Y34="N/A"),1,0)</f>
        <v>0</v>
      </c>
      <c r="CA34" s="348">
        <f>IF(OR(Z34="Sí",Z34="N/A"),1,0)</f>
        <v>0</v>
      </c>
      <c r="CB34" s="348">
        <f>IF(OR(AA34="Sí",AA34="N/A"),1,0)</f>
        <v>0</v>
      </c>
      <c r="CC34" s="348">
        <f>IF(OR(AB34="Sí",AB34="N/A"),1,0)</f>
        <v>0</v>
      </c>
      <c r="CD34" s="348">
        <f>IF(OR(AC34="Sí",AC34="N/A"),1,0)</f>
        <v>0</v>
      </c>
      <c r="CE34" s="348">
        <f>IF(OR(AD34="Sí",AD34="N/A"),1,0)</f>
        <v>0</v>
      </c>
      <c r="CF34" s="348">
        <f>IF(OR(AE34="Sí",AE34="N/A"),1,0)</f>
        <v>0</v>
      </c>
      <c r="CG34" s="348">
        <f>IF(OR(AF34="Sí",AF34="N/A"),1,0)</f>
        <v>0</v>
      </c>
      <c r="CH34" s="348">
        <f>IF(OR(AG34="Sí",AG34="N/A"),1,0)</f>
        <v>0</v>
      </c>
      <c r="CI34" s="348">
        <f>IF(OR(AH34="Sí",AH34="N/A"),1,0)</f>
        <v>0</v>
      </c>
      <c r="CJ34" s="348">
        <f>IF(OR(AI34="Sí",AI34="N/A"),1,0)</f>
        <v>0</v>
      </c>
      <c r="CK34" s="348">
        <f>IF(OR(AJ34="Sí",AJ34="N/A"),1,0)</f>
        <v>0</v>
      </c>
      <c r="CL34" s="348">
        <f>IF(OR(AK34="Sí",AK34="N/A"),1,0)</f>
        <v>0</v>
      </c>
      <c r="CM34" s="348">
        <f>IF(OR(AL34="Sí",AL34="N/A"),1,0)</f>
        <v>0</v>
      </c>
      <c r="CN34" s="348">
        <f>IF(OR(AM34="Sí",AM34="N/A"),1,0)</f>
        <v>0</v>
      </c>
      <c r="CO34" s="348">
        <f>IF(OR(AN34="Sí",AN34="N/A"),1,0)</f>
        <v>0</v>
      </c>
      <c r="CP34" s="348">
        <f>IF(OR(AO34="Sí",AO34="N/A"),1,0)</f>
        <v>0</v>
      </c>
      <c r="CQ34" s="348">
        <f>IF(OR(AP34="Sí",AP34="N/A"),1,0)</f>
        <v>0</v>
      </c>
      <c r="CR34" s="348">
        <f>IF(OR(AQ34="Sí",AQ34="N/A"),1,0)</f>
        <v>0</v>
      </c>
      <c r="CS34" s="348">
        <f>IF(OR(AR34="Sí",AR34="N/A"),1,0)</f>
        <v>0</v>
      </c>
      <c r="CT34" s="348">
        <f>IF(OR(AS34="Sí",AS34="N/A"),1,0)</f>
        <v>0</v>
      </c>
      <c r="CU34" s="348">
        <f>IF(OR(AT34="Sí",AT34="N/A"),1,0)</f>
        <v>0</v>
      </c>
      <c r="CV34" s="348">
        <f>IF(OR(AU34="Sí",AU34="N/A"),1,0)</f>
        <v>0</v>
      </c>
      <c r="CW34" s="348">
        <f>IF(OR(AV34="Sí",AV34="N/A"),1,0)</f>
        <v>0</v>
      </c>
      <c r="CX34" s="348">
        <f>IF(OR(AW34="Sí",AW34="N/A"),1,0)</f>
        <v>0</v>
      </c>
      <c r="CY34" s="348">
        <f>IF(OR(AX34="Sí",AX34="N/A"),1,0)</f>
        <v>0</v>
      </c>
      <c r="CZ34" s="348">
        <f>IF(OR(AY34="Sí",AY34="N/A"),1,0)</f>
        <v>0</v>
      </c>
      <c r="DA34" s="348">
        <f>IF(OR(AZ34="Sí",AZ34="N/A"),1,0)</f>
        <v>0</v>
      </c>
      <c r="DB34" s="348">
        <f>IF(OR(BA34="Sí",BA34="N/A"),1,0)</f>
        <v>0</v>
      </c>
      <c r="DC34" s="348">
        <f>IF(OR(BB34="Sí",BB34="N/A"),1,0)</f>
        <v>0</v>
      </c>
      <c r="DD34" s="349">
        <f>IF(OR(BC34="Sí",BC34="N/A"),1,0)</f>
        <v>0</v>
      </c>
      <c r="DE34" s="349">
        <f>IF(OR(BD34="Sí",BD34="N/A"),1,0)</f>
        <v>0</v>
      </c>
      <c r="DF34" s="349">
        <f>IF(OR(BE34="Sí",BE34="N/A"),1,0)</f>
        <v>0</v>
      </c>
      <c r="DG34" s="349">
        <f>IF(OR(BF34="Si",BF34="N/A"),1,0)</f>
        <v>1</v>
      </c>
      <c r="DH34" s="350">
        <f>IF((J34="No"),0,$DH$2)</f>
        <v>0.15</v>
      </c>
      <c r="DI34" s="350">
        <f>IF((K34="No"),0,$DH$2)</f>
        <v>0.15</v>
      </c>
      <c r="DJ34" s="350">
        <f>IF((L34="No"),0,$DH$2)</f>
        <v>0.15</v>
      </c>
      <c r="DK34" s="350">
        <f>IF(MIN(Data[[#This Row],[¿El agente cumple con la identificación formal y profesional?3]:[¿El agente realiza despedida corporativa?5]])=0,0,15%)</f>
        <v>0.15</v>
      </c>
      <c r="DL34" s="350">
        <f>IF((M34="No"),0,$DL$2)</f>
        <v>0.3</v>
      </c>
      <c r="DM34" s="350">
        <f>IF((N34="No"),0,$DL$2)</f>
        <v>0.3</v>
      </c>
      <c r="DN34" s="350">
        <f>IF((O34="No"),0,$DL$2)</f>
        <v>0.3</v>
      </c>
      <c r="DO34" s="350">
        <f>IF((P34="No"),0,$DL$2)</f>
        <v>0.3</v>
      </c>
      <c r="DP34" s="350">
        <f>IF(MIN(Data[[#This Row],[¿El agente demuestra escucha activa durante la gestión?6]:[¿El agente parafrasea para confirmar entendimiento?9]])=0,0,30%)</f>
        <v>0.3</v>
      </c>
      <c r="DQ34" s="350">
        <f>IF((Q34="No"),0,$DQ$2)</f>
        <v>0.3</v>
      </c>
      <c r="DR34" s="350">
        <f>IF((R34="No"),0,$DQ$2)</f>
        <v>0.3</v>
      </c>
      <c r="DS34" s="350">
        <f>IF((S34="No"),0,$DQ$2)</f>
        <v>0.3</v>
      </c>
      <c r="DT34" s="350">
        <f>IF((T34="No"),0,$DQ$2)</f>
        <v>0.3</v>
      </c>
      <c r="DU34" s="351">
        <f>IF(MIN(Data[[#This Row],[¿El agente adapta su comunicación al cliente?11]:[¿El agente utiliza el plural corporativo correctamente?14]])=0,0,30%)</f>
        <v>0.3</v>
      </c>
      <c r="DV34" s="350">
        <f>IF((U34="No"),0,$DV$2)</f>
        <v>0.25</v>
      </c>
      <c r="DW34" s="350">
        <f>IF(MIN(DV34)=0,0,25%)</f>
        <v>0.25</v>
      </c>
      <c r="DX34" s="350">
        <f>IF(SUM(DK34,DP34,DU34,DW34)&gt;335%,100%,SUM(DK34,DP34,DU34,DW34)/100%)</f>
        <v>1</v>
      </c>
      <c r="DY34" s="350">
        <f>IF((W34="No"),0,$DY$2)</f>
        <v>1</v>
      </c>
      <c r="DZ34" s="350">
        <f>IF((X34="No"),0,$DY$2)</f>
        <v>1</v>
      </c>
      <c r="EA34" s="350">
        <f>IF((Y34="No"),0,$DY$2)</f>
        <v>1</v>
      </c>
      <c r="EB34" s="350">
        <f>IF((Z34="No"),0,$DY$2)</f>
        <v>1</v>
      </c>
      <c r="EC34" s="352">
        <f>IF(SUM(Data[[#This Row],[¿El agente informa correctamente sobre los centros de pago?19]:[¿El agente explica el ciclo de facturación adecuadamente?22]])=400%,100%,0%)</f>
        <v>1</v>
      </c>
      <c r="ED34" s="350">
        <f>IF((AA34="No"),0,$DY$2)</f>
        <v>1</v>
      </c>
      <c r="EE34" s="350">
        <f>IF((AB34="No"),0,$DY$2)</f>
        <v>1</v>
      </c>
      <c r="EF34" s="352">
        <f>IF(SUM(Data[[#This Row],[¿El agente presenta correctamente los beneficios del producto?23]:[¿El agente comunica beneficios emocionales al cliente?24]])=200%,100%,0%)</f>
        <v>1</v>
      </c>
      <c r="EG34" s="350">
        <f>IF((AC34="No"),0,$DY$2)</f>
        <v>1</v>
      </c>
      <c r="EH34" s="350">
        <f>IF((AD34="No"),0,$DY$2)</f>
        <v>1</v>
      </c>
      <c r="EI34" s="350">
        <f>IF((AE34="No"),0,$DY$2)</f>
        <v>1</v>
      </c>
      <c r="EJ34" s="352">
        <f>IF(SUM(Data[[#This Row],[¿El agente realiza un resumen comercial adecuado?25]:[¿El agente formaliza correctamente el acuerdo de venta?27]])=300%,100%,0%)</f>
        <v>1</v>
      </c>
      <c r="EK34" s="350">
        <f>IF((AF34="No"),0,$DY$2)</f>
        <v>1</v>
      </c>
      <c r="EL34" s="352">
        <f>+Data[[#This Row],[¿El agente explica los términos y condiciones del servicio?28]]</f>
        <v>1</v>
      </c>
      <c r="EM34" s="350">
        <f>IF((AG34="No"),0,$DY$2)</f>
        <v>1</v>
      </c>
      <c r="EN34" s="352">
        <f>+Data[[#This Row],[¿El agente identifica correctamente la solicitud del cliente?29]]</f>
        <v>1</v>
      </c>
      <c r="EO34" s="350">
        <f>IF((AH34="No"),0,$DY$2)</f>
        <v>1</v>
      </c>
      <c r="EP34" s="350">
        <f>IF((AI34="No"),0,$DY$2)</f>
        <v>1</v>
      </c>
      <c r="EQ34" s="350">
        <f>IF((AJ34="No"),0,$DY$2)</f>
        <v>1</v>
      </c>
      <c r="ER34" s="352">
        <f>IF(SUM(Data[[#This Row],[¿El agente evita activar un servicio diferente al solicitado?30]:[¿El agente configura adecuadamente el producto contratado?32]])=300%,100%,0%)</f>
        <v>1</v>
      </c>
      <c r="ES34" s="350">
        <f>IF((AK34="No"),0,$DY$2)</f>
        <v>0</v>
      </c>
      <c r="ET34" s="350">
        <f>IF((AL34="No"),0,$DY$2)</f>
        <v>1</v>
      </c>
      <c r="EU34" s="352">
        <f>IF(SUM(Data[[#This Row],[¿El agente mantiene respeto y cordialidad en toda la interacción?33]:[¿El agente utiliza un lenguaje adecuado y profesional?34]])=200%,100%,0%)</f>
        <v>0</v>
      </c>
      <c r="EV34" s="350">
        <f>IF((AM34="No"),0,$DY$2)</f>
        <v>1</v>
      </c>
      <c r="EW34" s="350">
        <f>IF((AN34="No"),0,$DY$2)</f>
        <v>1</v>
      </c>
      <c r="EX34" s="350">
        <f>IF((AO34="No"),0,$DY$2)</f>
        <v>1</v>
      </c>
      <c r="EY34" s="350">
        <f>IF((AP34="No"),0,$DY$2)</f>
        <v>1</v>
      </c>
      <c r="EZ34" s="350">
        <f>IF((AQ34="No"),0,$DY$2)</f>
        <v>1</v>
      </c>
      <c r="FA34" s="350">
        <f>IF((AR34="No"),0,$DY$2)</f>
        <v>1</v>
      </c>
      <c r="FB34" s="352">
        <f>IF(SUM(Data[[#This Row],[¿El agente verifica correctamente la cobertura?35]:[¿El agente agenda citas o gestiones cuando es necesario?41]])=600%,100%,0%)</f>
        <v>1</v>
      </c>
      <c r="FC34" s="350">
        <f>IF(SUM(EC34,EF34,EL34,EJ34,EN34,ER34,EU34,FB34)=800%,100%,0%)</f>
        <v>0</v>
      </c>
      <c r="FD34" s="350">
        <f>IF((AR34="No"),0,$DY$2)</f>
        <v>1</v>
      </c>
      <c r="FE34" s="350">
        <f>IF((AS34="No"),0,$DY$2)</f>
        <v>1</v>
      </c>
      <c r="FF34" s="350">
        <f>IF((AT34="No"),0,$DY$2)</f>
        <v>1</v>
      </c>
      <c r="FG34" s="350">
        <f>IF((AU34="No"),0,$DY$2)</f>
        <v>1</v>
      </c>
      <c r="FH34" s="350">
        <f>IF((AV34="No"),0,$DY$2)</f>
        <v>1</v>
      </c>
      <c r="FI34" s="350">
        <f>IF((AW34="No"),0,$DY$2)</f>
        <v>0</v>
      </c>
      <c r="FJ34" s="350">
        <f>IF(SUM(Data[[#This Row],[¿El agente ofrece adecuadamente un producto adicional?42]:[¿El agente maneja correctamente las objeciones del cliente?47]])=600%,100%,)</f>
        <v>0</v>
      </c>
      <c r="FK34" s="350">
        <f>IF((AX34="No"),0,$DY$2)</f>
        <v>1</v>
      </c>
      <c r="FL34" s="350">
        <f>+Data[[#This Row],[¿El agente gestiona la oferta según la campaña vigente?48]]</f>
        <v>1</v>
      </c>
      <c r="FM34" s="350">
        <f>IF((AY34="No"),0,$DY$2)</f>
        <v>1</v>
      </c>
      <c r="FN34" s="350">
        <f>IF((AZ34="No"),0,$DY$2)</f>
        <v>1</v>
      </c>
      <c r="FO34" s="350">
        <f>IF((BA34="No"),0,$DY$2)</f>
        <v>1</v>
      </c>
      <c r="FP34" s="350">
        <f>IF(SUM(Data[[#This Row],[¿El agente solicita coordenadas cuando es necesario?49]:[¿El agente maneja adecuadamente llamadas en conferencia?51]])=300%,100%,)</f>
        <v>1</v>
      </c>
      <c r="FQ34" s="350">
        <f>IF((BB34="No"),0,$DY$2)</f>
        <v>1</v>
      </c>
      <c r="FR34" s="350">
        <f>+Data[[#This Row],[¿El agente registra correctamente todas las interacciones?52]]</f>
        <v>1</v>
      </c>
      <c r="FS34" s="350">
        <f>IF(SUM(FJ34,FL34,FP34,FR34)=400%,100%,0)</f>
        <v>0</v>
      </c>
      <c r="FT34" s="349">
        <f>IF((BC34="No"),0,$DY$2)</f>
        <v>1</v>
      </c>
      <c r="FU34" s="352">
        <f>+Data[[#This Row],[¿El agente confirma la titularidad del cliente adecuadamente?53]]</f>
        <v>1</v>
      </c>
      <c r="FV34" s="349">
        <f>IF((BD34="No"),0,$DY$2)</f>
        <v>1</v>
      </c>
      <c r="FW34" s="349">
        <f>IF((BE34="No"),0,$DY$2)</f>
        <v>1</v>
      </c>
      <c r="FX34" s="352">
        <f>IF(SUM(Data[[#This Row],[¿El agente evita la omisión de alertas importantes?54]]:Data[[#This Row],[¿El agente mantiene conducta ética durante la interacción?55]])=200%,100%,)</f>
        <v>1</v>
      </c>
      <c r="FY34" s="349">
        <f>IF((BF34="No"),0,$DY$2)</f>
        <v>1</v>
      </c>
      <c r="FZ34" s="352">
        <f>+Data[[#This Row],[¿El agente evita compartir información sensible?56]]</f>
        <v>1</v>
      </c>
      <c r="GA34" s="350">
        <f>IF(SUM(FU34,FX34,FZ34)=300%,100%,)</f>
        <v>1</v>
      </c>
      <c r="GB34" s="351">
        <f>$GB$2*DX34</f>
        <v>0.1</v>
      </c>
      <c r="GC34" s="351">
        <f>$GC$2*FC34</f>
        <v>0</v>
      </c>
      <c r="GD34" s="353">
        <f>$GD$2*FS34</f>
        <v>0</v>
      </c>
      <c r="GE34" s="353">
        <f>$GE$2*GA34</f>
        <v>0.3</v>
      </c>
      <c r="GF34" s="350">
        <f>SUM(Data[[#This Row],[PESO PENC]:[PESO PECCUM]])</f>
        <v>0.4</v>
      </c>
      <c r="GG34" s="354">
        <f>1</f>
        <v>1</v>
      </c>
      <c r="GH34" s="354">
        <f>IF((BH34="Critica"),1,0)</f>
        <v>1</v>
      </c>
      <c r="GI34" s="348" t="str">
        <f>IF(J34="No",J$3,"")</f>
        <v/>
      </c>
      <c r="GJ34" s="348" t="str">
        <f>IF(K34="No",K$3,"")</f>
        <v/>
      </c>
      <c r="GK34" s="348" t="str">
        <f>IF(L34="No",L$3,"")</f>
        <v/>
      </c>
      <c r="GL34" s="355"/>
      <c r="GM34" s="355"/>
      <c r="GN34" s="348" t="str">
        <f>IF(O34="No",O$3,"")</f>
        <v/>
      </c>
      <c r="GO34" s="348" t="str">
        <f>IF(P34="No",P$3,"")</f>
        <v/>
      </c>
      <c r="GP34" s="348" t="str">
        <f>IF(Q34="No",Q$3,"")</f>
        <v/>
      </c>
      <c r="GQ34" s="348" t="str">
        <f>IF(R34="No",R$3,"")</f>
        <v/>
      </c>
      <c r="GR34" s="348" t="str">
        <f>IF(S34="No",S$3,"")</f>
        <v/>
      </c>
      <c r="GS34" s="348" t="str">
        <f>IF(T34="No",T$3,"")</f>
        <v/>
      </c>
      <c r="GT34" s="348" t="str">
        <f>IF(U34="No",U$3,"")</f>
        <v/>
      </c>
      <c r="GU34" s="348" t="e">
        <f>IF(#REF!="No",#REF!,"")</f>
        <v>#REF!</v>
      </c>
      <c r="GV34" s="348" t="str">
        <f>IF(V34="No",V$3,"")</f>
        <v/>
      </c>
      <c r="GW34" s="348" t="str">
        <f>IF(W34="No",W$3,"")</f>
        <v/>
      </c>
      <c r="GX34" s="348" t="str">
        <f>IF(X34="No",X$3,"")</f>
        <v/>
      </c>
      <c r="GY34" s="348" t="str">
        <f>IF(Y34="No",Y$3,"")</f>
        <v/>
      </c>
      <c r="GZ34" s="348" t="str">
        <f>IF(Z34="No",Z$3,"")</f>
        <v/>
      </c>
      <c r="HA34" s="348" t="str">
        <f>IF(AA34="No",AA$3,"")</f>
        <v/>
      </c>
      <c r="HB34" s="348" t="str">
        <f>IF(AB34="No",AB$3,"")</f>
        <v/>
      </c>
      <c r="HC34" s="348" t="str">
        <f>IF(AC34="No",AC$3,"")</f>
        <v/>
      </c>
      <c r="HD34" s="348" t="str">
        <f>IF(AD34="No",AD$3,"")</f>
        <v/>
      </c>
      <c r="HE34" s="348" t="str">
        <f>IF(AE34="No",AE$3,"")</f>
        <v/>
      </c>
      <c r="HF34" s="348" t="str">
        <f>IF(AF34="No",AF$3,"")</f>
        <v/>
      </c>
      <c r="HG34" s="348" t="str">
        <f>IF(AG34="No",AG$3,"")</f>
        <v/>
      </c>
      <c r="HH34" s="348" t="str">
        <f>IF(AH34="No",AH$3,"")</f>
        <v/>
      </c>
      <c r="HI34" s="348" t="str">
        <f>IF(AI34="No",AI$3,"")</f>
        <v/>
      </c>
      <c r="HJ34" s="348" t="str">
        <f>IF(AJ34="No",AJ$3,"")</f>
        <v/>
      </c>
      <c r="HK34" s="348" t="str">
        <f>IF(AK34="No",AK$3,"")</f>
        <v xml:space="preserve">¿El agente verifica correctamente la cobertura? </v>
      </c>
      <c r="HL34" s="348" t="str">
        <f>IF(AL34="No",AL$3,"")</f>
        <v/>
      </c>
      <c r="HM34" s="348" t="str">
        <f>IF(AM34="No",AM$3,"")</f>
        <v/>
      </c>
      <c r="HN34" s="348" t="str">
        <f>IF(AN34="No",AN$3,"")</f>
        <v/>
      </c>
      <c r="HO34" s="348" t="str">
        <f>IF(AO34="No",AO$3,"")</f>
        <v/>
      </c>
      <c r="HP34" s="348" t="str">
        <f>IF(AP34="No",AP$3,"")</f>
        <v/>
      </c>
      <c r="HQ34" s="348" t="str">
        <f>IF(AQ34="No",AQ$3,"")</f>
        <v/>
      </c>
      <c r="HR34" s="348" t="e">
        <f>IF(#REF!="No",#REF!,"")</f>
        <v>#REF!</v>
      </c>
      <c r="HS34" s="356" t="str">
        <f>IF(AR34="No",AR$3,"")</f>
        <v/>
      </c>
      <c r="HT34" s="356" t="str">
        <f>IF(AS34="No",AS$3,"")</f>
        <v/>
      </c>
      <c r="HU34" s="356" t="str">
        <f>IF(AT34="No",AT$3,"")</f>
        <v/>
      </c>
      <c r="HV34" s="356" t="str">
        <f>IF(AU34="No",AU$3,"")</f>
        <v/>
      </c>
      <c r="HW34" s="356" t="str">
        <f>IF(AV34="No",AV$3,"")</f>
        <v/>
      </c>
      <c r="HX34" s="356" t="str">
        <f>IF(AW34="No",AW$3,"")</f>
        <v xml:space="preserve">¿El agente maneja correctamente las objeciones del cliente? </v>
      </c>
      <c r="HY34" s="356" t="str">
        <f>IF(AX34="No",AX$3,"")</f>
        <v/>
      </c>
      <c r="HZ34" s="356" t="str">
        <f>IF(AY34="No",AY$3,"")</f>
        <v/>
      </c>
      <c r="IA34" s="356" t="str">
        <f>IF(AZ34="No",AZ$3,"")</f>
        <v/>
      </c>
      <c r="IB34" s="356" t="str">
        <f>IF(BA34="No",BA$3,"")</f>
        <v/>
      </c>
      <c r="IC34" s="356" t="str">
        <f>IF(BB34="No",BB$3,"")</f>
        <v/>
      </c>
      <c r="ID34" s="349" t="str">
        <f>IF(BC34="No",BC$3,"")</f>
        <v/>
      </c>
      <c r="IE34" s="349" t="str">
        <f>IF(BD34="No",BD$3,"")</f>
        <v/>
      </c>
      <c r="IF34" s="349" t="str">
        <f>IF(BE34="No",BE$3,"")</f>
        <v/>
      </c>
      <c r="IG34" s="349" t="str">
        <f>IF(BF34="No",BF$3,"")</f>
        <v/>
      </c>
      <c r="IH34" s="347" t="str">
        <f>A34&amp;" "&amp;F34&amp;" "&amp;Data[[#This Row],[mes]]</f>
        <v>Abdiel Hernández Outbound jul-26</v>
      </c>
      <c r="II34" s="357">
        <f>COUNTIF($IH34:$IH67,IH34)</f>
        <v>1</v>
      </c>
      <c r="IJ34" s="241">
        <f>IF(COUNTIF($IH$4:IH34,IH34)=1,1,0)</f>
        <v>0</v>
      </c>
      <c r="IK34" s="358">
        <f>IF(Data[[#This Row],[Muestra Critica]]&gt;0,Data[[#This Row],[Muestra Critica]],"")</f>
        <v>1</v>
      </c>
      <c r="IL34" s="354">
        <f>IF(IK34="","",COUNTIF($IK$4:$IK66,IK34))</f>
        <v>26</v>
      </c>
      <c r="IM34" s="359">
        <f>IF(IL34=1,1,0)</f>
        <v>0</v>
      </c>
      <c r="IN34" s="347" t="str">
        <f t="shared" si="150"/>
        <v>jul-26</v>
      </c>
      <c r="IO34" s="345"/>
      <c r="IP34" s="345"/>
      <c r="IQ34" s="345"/>
      <c r="IR34" s="345"/>
      <c r="IS34" s="347" t="str">
        <f ca="1">IFERROR(_xlfn.XLOOKUP(A:A,HC!B:B,HC!E:E,,0),0)</f>
        <v>1 a 30 dias</v>
      </c>
    </row>
    <row r="35" spans="1:253" ht="15.5" x14ac:dyDescent="0.35">
      <c r="A35" s="340" t="s">
        <v>437</v>
      </c>
      <c r="B35" s="340">
        <v>61518256</v>
      </c>
      <c r="C35" s="360">
        <v>46216</v>
      </c>
      <c r="D35" s="340" t="s">
        <v>440</v>
      </c>
      <c r="E35" s="341" t="s">
        <v>439</v>
      </c>
      <c r="F35" s="340" t="s">
        <v>32</v>
      </c>
      <c r="G35" s="232" t="s">
        <v>402</v>
      </c>
      <c r="H35" s="232" t="s">
        <v>441</v>
      </c>
      <c r="I35" s="342" t="s">
        <v>412</v>
      </c>
      <c r="J35" s="252" t="s">
        <v>33</v>
      </c>
      <c r="K35" s="252" t="s">
        <v>33</v>
      </c>
      <c r="L35" s="252" t="s">
        <v>33</v>
      </c>
      <c r="M35" s="252" t="s">
        <v>33</v>
      </c>
      <c r="N35" s="252" t="s">
        <v>33</v>
      </c>
      <c r="O35" s="252" t="s">
        <v>33</v>
      </c>
      <c r="P35" s="252" t="s">
        <v>33</v>
      </c>
      <c r="Q35" s="252" t="s">
        <v>33</v>
      </c>
      <c r="R35" s="252" t="s">
        <v>33</v>
      </c>
      <c r="S35" s="252" t="s">
        <v>33</v>
      </c>
      <c r="T35" s="252" t="s">
        <v>33</v>
      </c>
      <c r="U35" s="252" t="s">
        <v>33</v>
      </c>
      <c r="V35" s="253" t="s">
        <v>33</v>
      </c>
      <c r="W35" s="253" t="s">
        <v>33</v>
      </c>
      <c r="X35" s="253" t="s">
        <v>33</v>
      </c>
      <c r="Y35" s="253" t="s">
        <v>33</v>
      </c>
      <c r="Z35" s="253" t="s">
        <v>34</v>
      </c>
      <c r="AA35" s="253" t="s">
        <v>33</v>
      </c>
      <c r="AB35" s="253" t="s">
        <v>33</v>
      </c>
      <c r="AC35" s="253" t="s">
        <v>33</v>
      </c>
      <c r="AD35" s="253" t="s">
        <v>33</v>
      </c>
      <c r="AE35" s="253" t="s">
        <v>33</v>
      </c>
      <c r="AF35" s="253" t="s">
        <v>33</v>
      </c>
      <c r="AG35" s="253" t="s">
        <v>33</v>
      </c>
      <c r="AH35" s="253" t="s">
        <v>33</v>
      </c>
      <c r="AI35" s="253" t="s">
        <v>33</v>
      </c>
      <c r="AJ35" s="253" t="s">
        <v>33</v>
      </c>
      <c r="AK35" s="253" t="s">
        <v>33</v>
      </c>
      <c r="AL35" s="253" t="s">
        <v>33</v>
      </c>
      <c r="AM35" s="253" t="s">
        <v>33</v>
      </c>
      <c r="AN35" s="253" t="s">
        <v>33</v>
      </c>
      <c r="AO35" s="253" t="s">
        <v>33</v>
      </c>
      <c r="AP35" s="253" t="s">
        <v>33</v>
      </c>
      <c r="AQ35" s="253" t="s">
        <v>33</v>
      </c>
      <c r="AR35" s="253" t="s">
        <v>33</v>
      </c>
      <c r="AS35" s="253" t="s">
        <v>33</v>
      </c>
      <c r="AT35" s="253" t="s">
        <v>34</v>
      </c>
      <c r="AU35" s="253" t="s">
        <v>33</v>
      </c>
      <c r="AV35" s="253" t="s">
        <v>34</v>
      </c>
      <c r="AW35" s="253" t="s">
        <v>34</v>
      </c>
      <c r="AX35" s="253" t="s">
        <v>33</v>
      </c>
      <c r="AY35" s="253" t="s">
        <v>33</v>
      </c>
      <c r="AZ35" s="253" t="s">
        <v>33</v>
      </c>
      <c r="BA35" s="253" t="s">
        <v>33</v>
      </c>
      <c r="BB35" s="253" t="s">
        <v>33</v>
      </c>
      <c r="BC35" s="343" t="s">
        <v>33</v>
      </c>
      <c r="BD35" s="343" t="s">
        <v>33</v>
      </c>
      <c r="BE35" s="343" t="s">
        <v>33</v>
      </c>
      <c r="BF35" s="344" t="s">
        <v>33</v>
      </c>
      <c r="BG35" s="345"/>
      <c r="BH35" s="346" t="str">
        <f>Data[[#This Row],[Tipo de Muestra]]</f>
        <v>Critica</v>
      </c>
      <c r="BI35" s="345"/>
      <c r="BJ35" s="347"/>
      <c r="BK35" s="348">
        <f>IF(OR(J35="Si",J35="N/A"),1,0)</f>
        <v>1</v>
      </c>
      <c r="BL35" s="348">
        <f>IF(OR(K35="Si",K35="N/A"),1,0)</f>
        <v>1</v>
      </c>
      <c r="BM35" s="348">
        <f>IF(OR(L35="Si",L35="N/A"),1,0)</f>
        <v>1</v>
      </c>
      <c r="BN35" s="348">
        <f>IF(OR(M35="Si",M35="N/A"),1,0)</f>
        <v>1</v>
      </c>
      <c r="BO35" s="348">
        <f>IF(OR(N35="Si",N35="N/A"),1,0)</f>
        <v>1</v>
      </c>
      <c r="BP35" s="348">
        <f>IF(OR(O35="Si",O35="N/A"),1,0)</f>
        <v>1</v>
      </c>
      <c r="BQ35" s="348">
        <f>IF(OR(P35="Si",P35="N/A"),1,0)</f>
        <v>1</v>
      </c>
      <c r="BR35" s="348">
        <f>IF(OR(Q35="Si",Q35="N/A"),1,0)</f>
        <v>1</v>
      </c>
      <c r="BS35" s="348">
        <f>IF(OR(R35="Si",R35="N/A"),1,0)</f>
        <v>1</v>
      </c>
      <c r="BT35" s="348">
        <f>IF(OR(S35="Si",S35="N/A"),1,0)</f>
        <v>1</v>
      </c>
      <c r="BU35" s="348">
        <f>IF(OR(T35="Si",T35="N/A"),1,0)</f>
        <v>1</v>
      </c>
      <c r="BV35" s="348">
        <f>IF(OR(U35="Si",U35="N/A"),1,0)</f>
        <v>1</v>
      </c>
      <c r="BW35" s="348">
        <f>IF(OR(V35="Si",V35="N/A"),1,0)</f>
        <v>1</v>
      </c>
      <c r="BX35" s="348">
        <f>IF(OR(W35="Si",W35="N/A"),1,0)</f>
        <v>1</v>
      </c>
      <c r="BY35" s="348">
        <f>IF(OR(X35="Sí",X35="N/A"),1,0)</f>
        <v>0</v>
      </c>
      <c r="BZ35" s="348">
        <f>IF(OR(Y35="Sí",Y35="N/A"),1,0)</f>
        <v>0</v>
      </c>
      <c r="CA35" s="348">
        <f>IF(OR(Z35="Sí",Z35="N/A"),1,0)</f>
        <v>0</v>
      </c>
      <c r="CB35" s="348">
        <f>IF(OR(AA35="Sí",AA35="N/A"),1,0)</f>
        <v>0</v>
      </c>
      <c r="CC35" s="348">
        <f>IF(OR(AB35="Sí",AB35="N/A"),1,0)</f>
        <v>0</v>
      </c>
      <c r="CD35" s="348">
        <f>IF(OR(AC35="Sí",AC35="N/A"),1,0)</f>
        <v>0</v>
      </c>
      <c r="CE35" s="348">
        <f>IF(OR(AD35="Sí",AD35="N/A"),1,0)</f>
        <v>0</v>
      </c>
      <c r="CF35" s="348">
        <f>IF(OR(AE35="Sí",AE35="N/A"),1,0)</f>
        <v>0</v>
      </c>
      <c r="CG35" s="348">
        <f>IF(OR(AF35="Sí",AF35="N/A"),1,0)</f>
        <v>0</v>
      </c>
      <c r="CH35" s="348">
        <f>IF(OR(AG35="Sí",AG35="N/A"),1,0)</f>
        <v>0</v>
      </c>
      <c r="CI35" s="348">
        <f>IF(OR(AH35="Sí",AH35="N/A"),1,0)</f>
        <v>0</v>
      </c>
      <c r="CJ35" s="348">
        <f>IF(OR(AI35="Sí",AI35="N/A"),1,0)</f>
        <v>0</v>
      </c>
      <c r="CK35" s="348">
        <f>IF(OR(AJ35="Sí",AJ35="N/A"),1,0)</f>
        <v>0</v>
      </c>
      <c r="CL35" s="348">
        <f>IF(OR(AK35="Sí",AK35="N/A"),1,0)</f>
        <v>0</v>
      </c>
      <c r="CM35" s="348">
        <f>IF(OR(AL35="Sí",AL35="N/A"),1,0)</f>
        <v>0</v>
      </c>
      <c r="CN35" s="348">
        <f>IF(OR(AM35="Sí",AM35="N/A"),1,0)</f>
        <v>0</v>
      </c>
      <c r="CO35" s="348">
        <f>IF(OR(AN35="Sí",AN35="N/A"),1,0)</f>
        <v>0</v>
      </c>
      <c r="CP35" s="348">
        <f>IF(OR(AO35="Sí",AO35="N/A"),1,0)</f>
        <v>0</v>
      </c>
      <c r="CQ35" s="348">
        <f>IF(OR(AP35="Sí",AP35="N/A"),1,0)</f>
        <v>0</v>
      </c>
      <c r="CR35" s="348">
        <f>IF(OR(AQ35="Sí",AQ35="N/A"),1,0)</f>
        <v>0</v>
      </c>
      <c r="CS35" s="348">
        <f>IF(OR(AR35="Sí",AR35="N/A"),1,0)</f>
        <v>0</v>
      </c>
      <c r="CT35" s="348">
        <f>IF(OR(AS35="Sí",AS35="N/A"),1,0)</f>
        <v>0</v>
      </c>
      <c r="CU35" s="348">
        <f>IF(OR(AT35="Sí",AT35="N/A"),1,0)</f>
        <v>0</v>
      </c>
      <c r="CV35" s="348">
        <f>IF(OR(AU35="Sí",AU35="N/A"),1,0)</f>
        <v>0</v>
      </c>
      <c r="CW35" s="348">
        <f>IF(OR(AV35="Sí",AV35="N/A"),1,0)</f>
        <v>0</v>
      </c>
      <c r="CX35" s="348">
        <f>IF(OR(AW35="Sí",AW35="N/A"),1,0)</f>
        <v>0</v>
      </c>
      <c r="CY35" s="348">
        <f>IF(OR(AX35="Sí",AX35="N/A"),1,0)</f>
        <v>0</v>
      </c>
      <c r="CZ35" s="348">
        <f>IF(OR(AY35="Sí",AY35="N/A"),1,0)</f>
        <v>0</v>
      </c>
      <c r="DA35" s="348">
        <f>IF(OR(AZ35="Sí",AZ35="N/A"),1,0)</f>
        <v>0</v>
      </c>
      <c r="DB35" s="348">
        <f>IF(OR(BA35="Sí",BA35="N/A"),1,0)</f>
        <v>0</v>
      </c>
      <c r="DC35" s="348">
        <f>IF(OR(BB35="Sí",BB35="N/A"),1,0)</f>
        <v>0</v>
      </c>
      <c r="DD35" s="349">
        <f>IF(OR(BC35="Sí",BC35="N/A"),1,0)</f>
        <v>0</v>
      </c>
      <c r="DE35" s="349">
        <f>IF(OR(BD35="Sí",BD35="N/A"),1,0)</f>
        <v>0</v>
      </c>
      <c r="DF35" s="349">
        <f>IF(OR(BE35="Sí",BE35="N/A"),1,0)</f>
        <v>0</v>
      </c>
      <c r="DG35" s="349">
        <f>IF(OR(BF35="Si",BF35="N/A"),1,0)</f>
        <v>1</v>
      </c>
      <c r="DH35" s="350">
        <f>IF((J35="No"),0,$DH$2)</f>
        <v>0.15</v>
      </c>
      <c r="DI35" s="350">
        <f>IF((K35="No"),0,$DH$2)</f>
        <v>0.15</v>
      </c>
      <c r="DJ35" s="350">
        <f>IF((L35="No"),0,$DH$2)</f>
        <v>0.15</v>
      </c>
      <c r="DK35" s="350">
        <f>IF(MIN(Data[[#This Row],[¿El agente cumple con la identificación formal y profesional?3]:[¿El agente realiza despedida corporativa?5]])=0,0,15%)</f>
        <v>0.15</v>
      </c>
      <c r="DL35" s="350">
        <f>IF((M35="No"),0,$DL$2)</f>
        <v>0.3</v>
      </c>
      <c r="DM35" s="350">
        <f>IF((N35="No"),0,$DL$2)</f>
        <v>0.3</v>
      </c>
      <c r="DN35" s="350">
        <f>IF((O35="No"),0,$DL$2)</f>
        <v>0.3</v>
      </c>
      <c r="DO35" s="350">
        <f>IF((P35="No"),0,$DL$2)</f>
        <v>0.3</v>
      </c>
      <c r="DP35" s="350">
        <f>IF(MIN(Data[[#This Row],[¿El agente demuestra escucha activa durante la gestión?6]:[¿El agente parafrasea para confirmar entendimiento?9]])=0,0,30%)</f>
        <v>0.3</v>
      </c>
      <c r="DQ35" s="350">
        <f>IF((Q35="No"),0,$DQ$2)</f>
        <v>0.3</v>
      </c>
      <c r="DR35" s="350">
        <f>IF((R35="No"),0,$DQ$2)</f>
        <v>0.3</v>
      </c>
      <c r="DS35" s="350">
        <f>IF((S35="No"),0,$DQ$2)</f>
        <v>0.3</v>
      </c>
      <c r="DT35" s="350">
        <f>IF((T35="No"),0,$DQ$2)</f>
        <v>0.3</v>
      </c>
      <c r="DU35" s="351">
        <f>IF(MIN(Data[[#This Row],[¿El agente adapta su comunicación al cliente?11]:[¿El agente utiliza el plural corporativo correctamente?14]])=0,0,30%)</f>
        <v>0.3</v>
      </c>
      <c r="DV35" s="350">
        <f>IF((U35="No"),0,$DV$2)</f>
        <v>0.25</v>
      </c>
      <c r="DW35" s="350">
        <f>IF(MIN(DV35)=0,0,25%)</f>
        <v>0.25</v>
      </c>
      <c r="DX35" s="350">
        <f>IF(SUM(DK35,DP35,DU35,DW35)&gt;335%,100%,SUM(DK35,DP35,DU35,DW35)/100%)</f>
        <v>1</v>
      </c>
      <c r="DY35" s="350">
        <f>IF((W35="No"),0,$DY$2)</f>
        <v>1</v>
      </c>
      <c r="DZ35" s="350">
        <f>IF((X35="No"),0,$DY$2)</f>
        <v>1</v>
      </c>
      <c r="EA35" s="350">
        <f>IF((Y35="No"),0,$DY$2)</f>
        <v>1</v>
      </c>
      <c r="EB35" s="350">
        <f>IF((Z35="No"),0,$DY$2)</f>
        <v>0</v>
      </c>
      <c r="EC35" s="352">
        <f>IF(SUM(Data[[#This Row],[¿El agente informa correctamente sobre los centros de pago?19]:[¿El agente explica el ciclo de facturación adecuadamente?22]])=400%,100%,0%)</f>
        <v>0</v>
      </c>
      <c r="ED35" s="350">
        <f>IF((AA35="No"),0,$DY$2)</f>
        <v>1</v>
      </c>
      <c r="EE35" s="350">
        <f>IF((AB35="No"),0,$DY$2)</f>
        <v>1</v>
      </c>
      <c r="EF35" s="352">
        <f>IF(SUM(Data[[#This Row],[¿El agente presenta correctamente los beneficios del producto?23]:[¿El agente comunica beneficios emocionales al cliente?24]])=200%,100%,0%)</f>
        <v>1</v>
      </c>
      <c r="EG35" s="350">
        <f>IF((AC35="No"),0,$DY$2)</f>
        <v>1</v>
      </c>
      <c r="EH35" s="350">
        <f>IF((AD35="No"),0,$DY$2)</f>
        <v>1</v>
      </c>
      <c r="EI35" s="350">
        <f>IF((AE35="No"),0,$DY$2)</f>
        <v>1</v>
      </c>
      <c r="EJ35" s="352">
        <f>IF(SUM(Data[[#This Row],[¿El agente realiza un resumen comercial adecuado?25]:[¿El agente formaliza correctamente el acuerdo de venta?27]])=300%,100%,0%)</f>
        <v>1</v>
      </c>
      <c r="EK35" s="350">
        <f>IF((AF35="No"),0,$DY$2)</f>
        <v>1</v>
      </c>
      <c r="EL35" s="352">
        <f>+Data[[#This Row],[¿El agente explica los términos y condiciones del servicio?28]]</f>
        <v>1</v>
      </c>
      <c r="EM35" s="350">
        <f>IF((AG35="No"),0,$DY$2)</f>
        <v>1</v>
      </c>
      <c r="EN35" s="352">
        <f>+Data[[#This Row],[¿El agente identifica correctamente la solicitud del cliente?29]]</f>
        <v>1</v>
      </c>
      <c r="EO35" s="350">
        <f>IF((AH35="No"),0,$DY$2)</f>
        <v>1</v>
      </c>
      <c r="EP35" s="350">
        <f>IF((AI35="No"),0,$DY$2)</f>
        <v>1</v>
      </c>
      <c r="EQ35" s="350">
        <f>IF((AJ35="No"),0,$DY$2)</f>
        <v>1</v>
      </c>
      <c r="ER35" s="352">
        <f>IF(SUM(Data[[#This Row],[¿El agente evita activar un servicio diferente al solicitado?30]:[¿El agente configura adecuadamente el producto contratado?32]])=300%,100%,0%)</f>
        <v>1</v>
      </c>
      <c r="ES35" s="350">
        <f>IF((AK35="No"),0,$DY$2)</f>
        <v>1</v>
      </c>
      <c r="ET35" s="350">
        <f>IF((AL35="No"),0,$DY$2)</f>
        <v>1</v>
      </c>
      <c r="EU35" s="352">
        <f>IF(SUM(Data[[#This Row],[¿El agente mantiene respeto y cordialidad en toda la interacción?33]:[¿El agente utiliza un lenguaje adecuado y profesional?34]])=200%,100%,0%)</f>
        <v>1</v>
      </c>
      <c r="EV35" s="350">
        <f>IF((AM35="No"),0,$DY$2)</f>
        <v>1</v>
      </c>
      <c r="EW35" s="350">
        <f>IF((AN35="No"),0,$DY$2)</f>
        <v>1</v>
      </c>
      <c r="EX35" s="350">
        <f>IF((AO35="No"),0,$DY$2)</f>
        <v>1</v>
      </c>
      <c r="EY35" s="350">
        <f>IF((AP35="No"),0,$DY$2)</f>
        <v>1</v>
      </c>
      <c r="EZ35" s="350">
        <f>IF((AQ35="No"),0,$DY$2)</f>
        <v>1</v>
      </c>
      <c r="FA35" s="350">
        <f>IF((AR35="No"),0,$DY$2)</f>
        <v>1</v>
      </c>
      <c r="FB35" s="352">
        <f>IF(SUM(Data[[#This Row],[¿El agente verifica correctamente la cobertura?35]:[¿El agente agenda citas o gestiones cuando es necesario?41]])=600%,100%,0%)</f>
        <v>1</v>
      </c>
      <c r="FC35" s="350">
        <f>IF(SUM(EC35,EF35,EL35,EJ35,EN35,ER35,EU35,FB35)=800%,100%,0%)</f>
        <v>0</v>
      </c>
      <c r="FD35" s="350">
        <f>IF((AR35="No"),0,$DY$2)</f>
        <v>1</v>
      </c>
      <c r="FE35" s="350">
        <f>IF((AS35="No"),0,$DY$2)</f>
        <v>1</v>
      </c>
      <c r="FF35" s="350">
        <f>IF((AT35="No"),0,$DY$2)</f>
        <v>0</v>
      </c>
      <c r="FG35" s="350">
        <f>IF((AU35="No"),0,$DY$2)</f>
        <v>1</v>
      </c>
      <c r="FH35" s="350">
        <f>IF((AV35="No"),0,$DY$2)</f>
        <v>0</v>
      </c>
      <c r="FI35" s="350">
        <f>IF((AW35="No"),0,$DY$2)</f>
        <v>0</v>
      </c>
      <c r="FJ35" s="350">
        <f>IF(SUM(Data[[#This Row],[¿El agente ofrece adecuadamente un producto adicional?42]:[¿El agente maneja correctamente las objeciones del cliente?47]])=600%,100%,)</f>
        <v>0</v>
      </c>
      <c r="FK35" s="350">
        <f>IF((AX35="No"),0,$DY$2)</f>
        <v>1</v>
      </c>
      <c r="FL35" s="350">
        <f>+Data[[#This Row],[¿El agente gestiona la oferta según la campaña vigente?48]]</f>
        <v>1</v>
      </c>
      <c r="FM35" s="350">
        <f>IF((AY35="No"),0,$DY$2)</f>
        <v>1</v>
      </c>
      <c r="FN35" s="350">
        <f>IF((AZ35="No"),0,$DY$2)</f>
        <v>1</v>
      </c>
      <c r="FO35" s="350">
        <f>IF((BA35="No"),0,$DY$2)</f>
        <v>1</v>
      </c>
      <c r="FP35" s="350">
        <f>IF(SUM(Data[[#This Row],[¿El agente solicita coordenadas cuando es necesario?49]:[¿El agente maneja adecuadamente llamadas en conferencia?51]])=300%,100%,)</f>
        <v>1</v>
      </c>
      <c r="FQ35" s="350">
        <f>IF((BB35="No"),0,$DY$2)</f>
        <v>1</v>
      </c>
      <c r="FR35" s="350">
        <f>+Data[[#This Row],[¿El agente registra correctamente todas las interacciones?52]]</f>
        <v>1</v>
      </c>
      <c r="FS35" s="350">
        <f>IF(SUM(FJ35,FL35,FP35,FR35)=400%,100%,0)</f>
        <v>0</v>
      </c>
      <c r="FT35" s="349">
        <f>IF((BC35="No"),0,$DY$2)</f>
        <v>1</v>
      </c>
      <c r="FU35" s="352">
        <f>+Data[[#This Row],[¿El agente confirma la titularidad del cliente adecuadamente?53]]</f>
        <v>1</v>
      </c>
      <c r="FV35" s="349">
        <f>IF((BD35="No"),0,$DY$2)</f>
        <v>1</v>
      </c>
      <c r="FW35" s="349">
        <f>IF((BE35="No"),0,$DY$2)</f>
        <v>1</v>
      </c>
      <c r="FX35" s="352">
        <f>IF(SUM(Data[[#This Row],[¿El agente evita la omisión de alertas importantes?54]]:Data[[#This Row],[¿El agente mantiene conducta ética durante la interacción?55]])=200%,100%,)</f>
        <v>1</v>
      </c>
      <c r="FY35" s="349">
        <f>IF((BF35="No"),0,$DY$2)</f>
        <v>1</v>
      </c>
      <c r="FZ35" s="352">
        <f>+Data[[#This Row],[¿El agente evita compartir información sensible?56]]</f>
        <v>1</v>
      </c>
      <c r="GA35" s="350">
        <f>IF(SUM(FU35,FX35,FZ35)=300%,100%,)</f>
        <v>1</v>
      </c>
      <c r="GB35" s="351">
        <f>$GB$2*DX35</f>
        <v>0.1</v>
      </c>
      <c r="GC35" s="351">
        <f>$GC$2*FC35</f>
        <v>0</v>
      </c>
      <c r="GD35" s="353">
        <f>$GD$2*FS35</f>
        <v>0</v>
      </c>
      <c r="GE35" s="353">
        <f>$GE$2*GA35</f>
        <v>0.3</v>
      </c>
      <c r="GF35" s="350">
        <f>SUM(Data[[#This Row],[PESO PENC]:[PESO PECCUM]])</f>
        <v>0.4</v>
      </c>
      <c r="GG35" s="354">
        <f>1</f>
        <v>1</v>
      </c>
      <c r="GH35" s="354">
        <f>IF((BH35="Critica"),1,0)</f>
        <v>1</v>
      </c>
      <c r="GI35" s="348" t="str">
        <f>IF(J35="No",J$3,"")</f>
        <v/>
      </c>
      <c r="GJ35" s="348" t="str">
        <f>IF(K35="No",K$3,"")</f>
        <v/>
      </c>
      <c r="GK35" s="348" t="str">
        <f>IF(L35="No",L$3,"")</f>
        <v/>
      </c>
      <c r="GL35" s="355"/>
      <c r="GM35" s="355"/>
      <c r="GN35" s="348" t="str">
        <f>IF(O35="No",O$3,"")</f>
        <v/>
      </c>
      <c r="GO35" s="348" t="str">
        <f>IF(P35="No",P$3,"")</f>
        <v/>
      </c>
      <c r="GP35" s="348" t="str">
        <f>IF(Q35="No",Q$3,"")</f>
        <v/>
      </c>
      <c r="GQ35" s="348" t="str">
        <f>IF(R35="No",R$3,"")</f>
        <v/>
      </c>
      <c r="GR35" s="348" t="str">
        <f>IF(S35="No",S$3,"")</f>
        <v/>
      </c>
      <c r="GS35" s="348" t="str">
        <f>IF(T35="No",T$3,"")</f>
        <v/>
      </c>
      <c r="GT35" s="348" t="str">
        <f>IF(U35="No",U$3,"")</f>
        <v/>
      </c>
      <c r="GU35" s="348" t="e">
        <f>IF(#REF!="No",#REF!,"")</f>
        <v>#REF!</v>
      </c>
      <c r="GV35" s="348" t="str">
        <f>IF(V35="No",V$3,"")</f>
        <v/>
      </c>
      <c r="GW35" s="348" t="str">
        <f>IF(W35="No",W$3,"")</f>
        <v/>
      </c>
      <c r="GX35" s="348" t="str">
        <f>IF(X35="No",X$3,"")</f>
        <v/>
      </c>
      <c r="GY35" s="348" t="str">
        <f>IF(Y35="No",Y$3,"")</f>
        <v/>
      </c>
      <c r="GZ35" s="348" t="str">
        <f>IF(Z35="No",Z$3,"")</f>
        <v xml:space="preserve">¿El agente presenta correctamente los beneficios del producto? </v>
      </c>
      <c r="HA35" s="348" t="str">
        <f>IF(AA35="No",AA$3,"")</f>
        <v/>
      </c>
      <c r="HB35" s="348" t="str">
        <f>IF(AB35="No",AB$3,"")</f>
        <v/>
      </c>
      <c r="HC35" s="348" t="str">
        <f>IF(AC35="No",AC$3,"")</f>
        <v/>
      </c>
      <c r="HD35" s="348" t="str">
        <f>IF(AD35="No",AD$3,"")</f>
        <v/>
      </c>
      <c r="HE35" s="348" t="str">
        <f>IF(AE35="No",AE$3,"")</f>
        <v/>
      </c>
      <c r="HF35" s="348" t="str">
        <f>IF(AF35="No",AF$3,"")</f>
        <v/>
      </c>
      <c r="HG35" s="348" t="str">
        <f>IF(AG35="No",AG$3,"")</f>
        <v/>
      </c>
      <c r="HH35" s="348" t="str">
        <f>IF(AH35="No",AH$3,"")</f>
        <v/>
      </c>
      <c r="HI35" s="348" t="str">
        <f>IF(AI35="No",AI$3,"")</f>
        <v/>
      </c>
      <c r="HJ35" s="348" t="str">
        <f>IF(AJ35="No",AJ$3,"")</f>
        <v/>
      </c>
      <c r="HK35" s="348" t="str">
        <f>IF(AK35="No",AK$3,"")</f>
        <v/>
      </c>
      <c r="HL35" s="348" t="str">
        <f>IF(AL35="No",AL$3,"")</f>
        <v/>
      </c>
      <c r="HM35" s="348" t="str">
        <f>IF(AM35="No",AM$3,"")</f>
        <v/>
      </c>
      <c r="HN35" s="348" t="str">
        <f>IF(AN35="No",AN$3,"")</f>
        <v/>
      </c>
      <c r="HO35" s="348" t="str">
        <f>IF(AO35="No",AO$3,"")</f>
        <v/>
      </c>
      <c r="HP35" s="348" t="str">
        <f>IF(AP35="No",AP$3,"")</f>
        <v/>
      </c>
      <c r="HQ35" s="348" t="str">
        <f>IF(AQ35="No",AQ$3,"")</f>
        <v/>
      </c>
      <c r="HR35" s="348" t="e">
        <f>IF(#REF!="No",#REF!,"")</f>
        <v>#REF!</v>
      </c>
      <c r="HS35" s="356" t="str">
        <f>IF(AR35="No",AR$3,"")</f>
        <v/>
      </c>
      <c r="HT35" s="356" t="str">
        <f>IF(AS35="No",AS$3,"")</f>
        <v/>
      </c>
      <c r="HU35" s="356" t="str">
        <f>IF(AT35="No",AT$3,"")</f>
        <v xml:space="preserve">¿El agente indaga o sondea adecuadamente las necesidades del cliente? </v>
      </c>
      <c r="HV35" s="356" t="str">
        <f>IF(AU35="No",AU$3,"")</f>
        <v/>
      </c>
      <c r="HW35" s="356" t="str">
        <f>IF(AV35="No",AV$3,"")</f>
        <v xml:space="preserve">¿El agente realiza seguimiento adecuado al caso o solicitud? </v>
      </c>
      <c r="HX35" s="356" t="str">
        <f>IF(AW35="No",AW$3,"")</f>
        <v xml:space="preserve">¿El agente maneja correctamente las objeciones del cliente? </v>
      </c>
      <c r="HY35" s="356" t="str">
        <f>IF(AX35="No",AX$3,"")</f>
        <v/>
      </c>
      <c r="HZ35" s="356" t="str">
        <f>IF(AY35="No",AY$3,"")</f>
        <v/>
      </c>
      <c r="IA35" s="356" t="str">
        <f>IF(AZ35="No",AZ$3,"")</f>
        <v/>
      </c>
      <c r="IB35" s="356" t="str">
        <f>IF(BA35="No",BA$3,"")</f>
        <v/>
      </c>
      <c r="IC35" s="356" t="str">
        <f>IF(BB35="No",BB$3,"")</f>
        <v/>
      </c>
      <c r="ID35" s="349" t="str">
        <f>IF(BC35="No",BC$3,"")</f>
        <v/>
      </c>
      <c r="IE35" s="349" t="str">
        <f>IF(BD35="No",BD$3,"")</f>
        <v/>
      </c>
      <c r="IF35" s="349" t="str">
        <f>IF(BE35="No",BE$3,"")</f>
        <v/>
      </c>
      <c r="IG35" s="349" t="str">
        <f>IF(BF35="No",BF$3,"")</f>
        <v/>
      </c>
      <c r="IH35" s="347" t="str">
        <f>A35&amp;" "&amp;F35&amp;" "&amp;Data[[#This Row],[mes]]</f>
        <v>Edgar Alberto Marín Reyes Outbound jul-26</v>
      </c>
      <c r="II35" s="357">
        <f>COUNTIF($IH35:$IH68,IH35)</f>
        <v>2</v>
      </c>
      <c r="IJ35" s="241">
        <f>IF(COUNTIF($IH$4:IH35,IH35)=1,1,0)</f>
        <v>1</v>
      </c>
      <c r="IK35" s="358">
        <f>IF(Data[[#This Row],[Muestra Critica]]&gt;0,Data[[#This Row],[Muestra Critica]],"")</f>
        <v>1</v>
      </c>
      <c r="IL35" s="354">
        <f>IF(IK35="","",COUNTIF($IK$4:$IK67,IK35))</f>
        <v>26</v>
      </c>
      <c r="IM35" s="359">
        <f>IF(IL35=1,1,0)</f>
        <v>0</v>
      </c>
      <c r="IN35" s="347" t="str">
        <f t="shared" si="150"/>
        <v>jul-26</v>
      </c>
      <c r="IO35" s="345"/>
      <c r="IP35" s="345"/>
      <c r="IQ35" s="345"/>
      <c r="IR35" s="345"/>
      <c r="IS35" s="347" t="str">
        <f ca="1">IFERROR(_xlfn.XLOOKUP(A:A,HC!B:B,HC!E:E,,0),0)</f>
        <v>1 a 30 dias</v>
      </c>
    </row>
    <row r="36" spans="1:253" ht="15.5" x14ac:dyDescent="0.35">
      <c r="A36" s="340" t="s">
        <v>437</v>
      </c>
      <c r="B36" s="340">
        <v>65247182</v>
      </c>
      <c r="C36" s="360">
        <v>46216</v>
      </c>
      <c r="D36" s="340" t="s">
        <v>440</v>
      </c>
      <c r="E36" s="341" t="s">
        <v>439</v>
      </c>
      <c r="F36" s="340" t="s">
        <v>32</v>
      </c>
      <c r="G36" s="232" t="s">
        <v>402</v>
      </c>
      <c r="H36" s="232" t="s">
        <v>441</v>
      </c>
      <c r="I36" s="342" t="s">
        <v>412</v>
      </c>
      <c r="J36" s="252" t="s">
        <v>33</v>
      </c>
      <c r="K36" s="252" t="s">
        <v>33</v>
      </c>
      <c r="L36" s="252" t="s">
        <v>33</v>
      </c>
      <c r="M36" s="252" t="s">
        <v>33</v>
      </c>
      <c r="N36" s="252" t="s">
        <v>33</v>
      </c>
      <c r="O36" s="252" t="s">
        <v>33</v>
      </c>
      <c r="P36" s="252" t="s">
        <v>33</v>
      </c>
      <c r="Q36" s="252" t="s">
        <v>33</v>
      </c>
      <c r="R36" s="252" t="s">
        <v>33</v>
      </c>
      <c r="S36" s="252" t="s">
        <v>33</v>
      </c>
      <c r="T36" s="252" t="s">
        <v>33</v>
      </c>
      <c r="U36" s="252" t="s">
        <v>33</v>
      </c>
      <c r="V36" s="253" t="s">
        <v>33</v>
      </c>
      <c r="W36" s="253" t="s">
        <v>33</v>
      </c>
      <c r="X36" s="253" t="s">
        <v>33</v>
      </c>
      <c r="Y36" s="253" t="s">
        <v>33</v>
      </c>
      <c r="Z36" s="253" t="s">
        <v>34</v>
      </c>
      <c r="AA36" s="253" t="s">
        <v>33</v>
      </c>
      <c r="AB36" s="253" t="s">
        <v>33</v>
      </c>
      <c r="AC36" s="253" t="s">
        <v>33</v>
      </c>
      <c r="AD36" s="253" t="s">
        <v>33</v>
      </c>
      <c r="AE36" s="253" t="s">
        <v>33</v>
      </c>
      <c r="AF36" s="253" t="s">
        <v>33</v>
      </c>
      <c r="AG36" s="253" t="s">
        <v>33</v>
      </c>
      <c r="AH36" s="253" t="s">
        <v>33</v>
      </c>
      <c r="AI36" s="253" t="s">
        <v>33</v>
      </c>
      <c r="AJ36" s="253" t="s">
        <v>33</v>
      </c>
      <c r="AK36" s="253" t="s">
        <v>33</v>
      </c>
      <c r="AL36" s="253" t="s">
        <v>33</v>
      </c>
      <c r="AM36" s="253" t="s">
        <v>33</v>
      </c>
      <c r="AN36" s="253" t="s">
        <v>33</v>
      </c>
      <c r="AO36" s="253" t="s">
        <v>33</v>
      </c>
      <c r="AP36" s="253" t="s">
        <v>33</v>
      </c>
      <c r="AQ36" s="253" t="s">
        <v>33</v>
      </c>
      <c r="AR36" s="253" t="s">
        <v>33</v>
      </c>
      <c r="AS36" s="253" t="s">
        <v>33</v>
      </c>
      <c r="AT36" s="253" t="s">
        <v>34</v>
      </c>
      <c r="AU36" s="253" t="s">
        <v>33</v>
      </c>
      <c r="AV36" s="253" t="s">
        <v>34</v>
      </c>
      <c r="AW36" s="253" t="s">
        <v>34</v>
      </c>
      <c r="AX36" s="253" t="s">
        <v>33</v>
      </c>
      <c r="AY36" s="253" t="s">
        <v>33</v>
      </c>
      <c r="AZ36" s="253" t="s">
        <v>33</v>
      </c>
      <c r="BA36" s="253" t="s">
        <v>33</v>
      </c>
      <c r="BB36" s="253" t="s">
        <v>33</v>
      </c>
      <c r="BC36" s="343" t="s">
        <v>33</v>
      </c>
      <c r="BD36" s="343" t="s">
        <v>33</v>
      </c>
      <c r="BE36" s="343" t="s">
        <v>33</v>
      </c>
      <c r="BF36" s="344" t="s">
        <v>33</v>
      </c>
      <c r="BG36" s="345"/>
      <c r="BH36" s="346" t="str">
        <f>Data[[#This Row],[Tipo de Muestra]]</f>
        <v>Critica</v>
      </c>
      <c r="BI36" s="345"/>
      <c r="BJ36" s="347"/>
      <c r="BK36" s="348">
        <f>IF(OR(J36="Si",J36="N/A"),1,0)</f>
        <v>1</v>
      </c>
      <c r="BL36" s="348">
        <f>IF(OR(K36="Si",K36="N/A"),1,0)</f>
        <v>1</v>
      </c>
      <c r="BM36" s="348">
        <f>IF(OR(L36="Si",L36="N/A"),1,0)</f>
        <v>1</v>
      </c>
      <c r="BN36" s="348">
        <f>IF(OR(M36="Si",M36="N/A"),1,0)</f>
        <v>1</v>
      </c>
      <c r="BO36" s="348">
        <f>IF(OR(N36="Si",N36="N/A"),1,0)</f>
        <v>1</v>
      </c>
      <c r="BP36" s="348">
        <f>IF(OR(O36="Si",O36="N/A"),1,0)</f>
        <v>1</v>
      </c>
      <c r="BQ36" s="348">
        <f>IF(OR(P36="Si",P36="N/A"),1,0)</f>
        <v>1</v>
      </c>
      <c r="BR36" s="348">
        <f>IF(OR(Q36="Si",Q36="N/A"),1,0)</f>
        <v>1</v>
      </c>
      <c r="BS36" s="348">
        <f>IF(OR(R36="Si",R36="N/A"),1,0)</f>
        <v>1</v>
      </c>
      <c r="BT36" s="348">
        <f>IF(OR(S36="Si",S36="N/A"),1,0)</f>
        <v>1</v>
      </c>
      <c r="BU36" s="348">
        <f>IF(OR(T36="Si",T36="N/A"),1,0)</f>
        <v>1</v>
      </c>
      <c r="BV36" s="348">
        <f>IF(OR(U36="Si",U36="N/A"),1,0)</f>
        <v>1</v>
      </c>
      <c r="BW36" s="348">
        <f>IF(OR(V36="Si",V36="N/A"),1,0)</f>
        <v>1</v>
      </c>
      <c r="BX36" s="348">
        <f>IF(OR(W36="Si",W36="N/A"),1,0)</f>
        <v>1</v>
      </c>
      <c r="BY36" s="348">
        <f>IF(OR(X36="Sí",X36="N/A"),1,0)</f>
        <v>0</v>
      </c>
      <c r="BZ36" s="348">
        <f>IF(OR(Y36="Sí",Y36="N/A"),1,0)</f>
        <v>0</v>
      </c>
      <c r="CA36" s="348">
        <f>IF(OR(Z36="Sí",Z36="N/A"),1,0)</f>
        <v>0</v>
      </c>
      <c r="CB36" s="348">
        <f>IF(OR(AA36="Sí",AA36="N/A"),1,0)</f>
        <v>0</v>
      </c>
      <c r="CC36" s="348">
        <f>IF(OR(AB36="Sí",AB36="N/A"),1,0)</f>
        <v>0</v>
      </c>
      <c r="CD36" s="348">
        <f>IF(OR(AC36="Sí",AC36="N/A"),1,0)</f>
        <v>0</v>
      </c>
      <c r="CE36" s="348">
        <f>IF(OR(AD36="Sí",AD36="N/A"),1,0)</f>
        <v>0</v>
      </c>
      <c r="CF36" s="348">
        <f>IF(OR(AE36="Sí",AE36="N/A"),1,0)</f>
        <v>0</v>
      </c>
      <c r="CG36" s="348">
        <f>IF(OR(AF36="Sí",AF36="N/A"),1,0)</f>
        <v>0</v>
      </c>
      <c r="CH36" s="348">
        <f>IF(OR(AG36="Sí",AG36="N/A"),1,0)</f>
        <v>0</v>
      </c>
      <c r="CI36" s="348">
        <f>IF(OR(AH36="Sí",AH36="N/A"),1,0)</f>
        <v>0</v>
      </c>
      <c r="CJ36" s="348">
        <f>IF(OR(AI36="Sí",AI36="N/A"),1,0)</f>
        <v>0</v>
      </c>
      <c r="CK36" s="348">
        <f>IF(OR(AJ36="Sí",AJ36="N/A"),1,0)</f>
        <v>0</v>
      </c>
      <c r="CL36" s="348">
        <f>IF(OR(AK36="Sí",AK36="N/A"),1,0)</f>
        <v>0</v>
      </c>
      <c r="CM36" s="348">
        <f>IF(OR(AL36="Sí",AL36="N/A"),1,0)</f>
        <v>0</v>
      </c>
      <c r="CN36" s="348">
        <f>IF(OR(AM36="Sí",AM36="N/A"),1,0)</f>
        <v>0</v>
      </c>
      <c r="CO36" s="348">
        <f>IF(OR(AN36="Sí",AN36="N/A"),1,0)</f>
        <v>0</v>
      </c>
      <c r="CP36" s="348">
        <f>IF(OR(AO36="Sí",AO36="N/A"),1,0)</f>
        <v>0</v>
      </c>
      <c r="CQ36" s="348">
        <f>IF(OR(AP36="Sí",AP36="N/A"),1,0)</f>
        <v>0</v>
      </c>
      <c r="CR36" s="348">
        <f>IF(OR(AQ36="Sí",AQ36="N/A"),1,0)</f>
        <v>0</v>
      </c>
      <c r="CS36" s="348">
        <f>IF(OR(AR36="Sí",AR36="N/A"),1,0)</f>
        <v>0</v>
      </c>
      <c r="CT36" s="348">
        <f>IF(OR(AS36="Sí",AS36="N/A"),1,0)</f>
        <v>0</v>
      </c>
      <c r="CU36" s="348">
        <f>IF(OR(AT36="Sí",AT36="N/A"),1,0)</f>
        <v>0</v>
      </c>
      <c r="CV36" s="348">
        <f>IF(OR(AU36="Sí",AU36="N/A"),1,0)</f>
        <v>0</v>
      </c>
      <c r="CW36" s="348">
        <f>IF(OR(AV36="Sí",AV36="N/A"),1,0)</f>
        <v>0</v>
      </c>
      <c r="CX36" s="348">
        <f>IF(OR(AW36="Sí",AW36="N/A"),1,0)</f>
        <v>0</v>
      </c>
      <c r="CY36" s="348">
        <f>IF(OR(AX36="Sí",AX36="N/A"),1,0)</f>
        <v>0</v>
      </c>
      <c r="CZ36" s="348">
        <f>IF(OR(AY36="Sí",AY36="N/A"),1,0)</f>
        <v>0</v>
      </c>
      <c r="DA36" s="348">
        <f>IF(OR(AZ36="Sí",AZ36="N/A"),1,0)</f>
        <v>0</v>
      </c>
      <c r="DB36" s="348">
        <f>IF(OR(BA36="Sí",BA36="N/A"),1,0)</f>
        <v>0</v>
      </c>
      <c r="DC36" s="348">
        <f>IF(OR(BB36="Sí",BB36="N/A"),1,0)</f>
        <v>0</v>
      </c>
      <c r="DD36" s="349">
        <f>IF(OR(BC36="Sí",BC36="N/A"),1,0)</f>
        <v>0</v>
      </c>
      <c r="DE36" s="349">
        <f>IF(OR(BD36="Sí",BD36="N/A"),1,0)</f>
        <v>0</v>
      </c>
      <c r="DF36" s="349">
        <f>IF(OR(BE36="Sí",BE36="N/A"),1,0)</f>
        <v>0</v>
      </c>
      <c r="DG36" s="349">
        <f>IF(OR(BF36="Si",BF36="N/A"),1,0)</f>
        <v>1</v>
      </c>
      <c r="DH36" s="350">
        <f>IF((J36="No"),0,$DH$2)</f>
        <v>0.15</v>
      </c>
      <c r="DI36" s="350">
        <f>IF((K36="No"),0,$DH$2)</f>
        <v>0.15</v>
      </c>
      <c r="DJ36" s="350">
        <f>IF((L36="No"),0,$DH$2)</f>
        <v>0.15</v>
      </c>
      <c r="DK36" s="350">
        <f>IF(MIN(Data[[#This Row],[¿El agente cumple con la identificación formal y profesional?3]:[¿El agente realiza despedida corporativa?5]])=0,0,15%)</f>
        <v>0.15</v>
      </c>
      <c r="DL36" s="350">
        <f>IF((M36="No"),0,$DL$2)</f>
        <v>0.3</v>
      </c>
      <c r="DM36" s="350">
        <f>IF((N36="No"),0,$DL$2)</f>
        <v>0.3</v>
      </c>
      <c r="DN36" s="350">
        <f>IF((O36="No"),0,$DL$2)</f>
        <v>0.3</v>
      </c>
      <c r="DO36" s="350">
        <f>IF((P36="No"),0,$DL$2)</f>
        <v>0.3</v>
      </c>
      <c r="DP36" s="350">
        <f>IF(MIN(Data[[#This Row],[¿El agente demuestra escucha activa durante la gestión?6]:[¿El agente parafrasea para confirmar entendimiento?9]])=0,0,30%)</f>
        <v>0.3</v>
      </c>
      <c r="DQ36" s="350">
        <f>IF((Q36="No"),0,$DQ$2)</f>
        <v>0.3</v>
      </c>
      <c r="DR36" s="350">
        <f>IF((R36="No"),0,$DQ$2)</f>
        <v>0.3</v>
      </c>
      <c r="DS36" s="350">
        <f>IF((S36="No"),0,$DQ$2)</f>
        <v>0.3</v>
      </c>
      <c r="DT36" s="350">
        <f>IF((T36="No"),0,$DQ$2)</f>
        <v>0.3</v>
      </c>
      <c r="DU36" s="351">
        <f>IF(MIN(Data[[#This Row],[¿El agente adapta su comunicación al cliente?11]:[¿El agente utiliza el plural corporativo correctamente?14]])=0,0,30%)</f>
        <v>0.3</v>
      </c>
      <c r="DV36" s="350">
        <f>IF((U36="No"),0,$DV$2)</f>
        <v>0.25</v>
      </c>
      <c r="DW36" s="350">
        <f>IF(MIN(DV36)=0,0,25%)</f>
        <v>0.25</v>
      </c>
      <c r="DX36" s="350">
        <f>IF(SUM(DK36,DP36,DU36,DW36)&gt;335%,100%,SUM(DK36,DP36,DU36,DW36)/100%)</f>
        <v>1</v>
      </c>
      <c r="DY36" s="350">
        <f>IF((W36="No"),0,$DY$2)</f>
        <v>1</v>
      </c>
      <c r="DZ36" s="350">
        <f>IF((X36="No"),0,$DY$2)</f>
        <v>1</v>
      </c>
      <c r="EA36" s="350">
        <f>IF((Y36="No"),0,$DY$2)</f>
        <v>1</v>
      </c>
      <c r="EB36" s="350">
        <f>IF((Z36="No"),0,$DY$2)</f>
        <v>0</v>
      </c>
      <c r="EC36" s="352">
        <f>IF(SUM(Data[[#This Row],[¿El agente informa correctamente sobre los centros de pago?19]:[¿El agente explica el ciclo de facturación adecuadamente?22]])=400%,100%,0%)</f>
        <v>0</v>
      </c>
      <c r="ED36" s="350">
        <f>IF((AA36="No"),0,$DY$2)</f>
        <v>1</v>
      </c>
      <c r="EE36" s="350">
        <f>IF((AB36="No"),0,$DY$2)</f>
        <v>1</v>
      </c>
      <c r="EF36" s="352">
        <f>IF(SUM(Data[[#This Row],[¿El agente presenta correctamente los beneficios del producto?23]:[¿El agente comunica beneficios emocionales al cliente?24]])=200%,100%,0%)</f>
        <v>1</v>
      </c>
      <c r="EG36" s="350">
        <f>IF((AC36="No"),0,$DY$2)</f>
        <v>1</v>
      </c>
      <c r="EH36" s="350">
        <f>IF((AD36="No"),0,$DY$2)</f>
        <v>1</v>
      </c>
      <c r="EI36" s="350">
        <f>IF((AE36="No"),0,$DY$2)</f>
        <v>1</v>
      </c>
      <c r="EJ36" s="352">
        <f>IF(SUM(Data[[#This Row],[¿El agente realiza un resumen comercial adecuado?25]:[¿El agente formaliza correctamente el acuerdo de venta?27]])=300%,100%,0%)</f>
        <v>1</v>
      </c>
      <c r="EK36" s="350">
        <f>IF((AF36="No"),0,$DY$2)</f>
        <v>1</v>
      </c>
      <c r="EL36" s="352">
        <f>+Data[[#This Row],[¿El agente explica los términos y condiciones del servicio?28]]</f>
        <v>1</v>
      </c>
      <c r="EM36" s="350">
        <f>IF((AG36="No"),0,$DY$2)</f>
        <v>1</v>
      </c>
      <c r="EN36" s="352">
        <f>+Data[[#This Row],[¿El agente identifica correctamente la solicitud del cliente?29]]</f>
        <v>1</v>
      </c>
      <c r="EO36" s="350">
        <f>IF((AH36="No"),0,$DY$2)</f>
        <v>1</v>
      </c>
      <c r="EP36" s="350">
        <f>IF((AI36="No"),0,$DY$2)</f>
        <v>1</v>
      </c>
      <c r="EQ36" s="350">
        <f>IF((AJ36="No"),0,$DY$2)</f>
        <v>1</v>
      </c>
      <c r="ER36" s="352">
        <f>IF(SUM(Data[[#This Row],[¿El agente evita activar un servicio diferente al solicitado?30]:[¿El agente configura adecuadamente el producto contratado?32]])=300%,100%,0%)</f>
        <v>1</v>
      </c>
      <c r="ES36" s="350">
        <f>IF((AK36="No"),0,$DY$2)</f>
        <v>1</v>
      </c>
      <c r="ET36" s="350">
        <f>IF((AL36="No"),0,$DY$2)</f>
        <v>1</v>
      </c>
      <c r="EU36" s="352">
        <f>IF(SUM(Data[[#This Row],[¿El agente mantiene respeto y cordialidad en toda la interacción?33]:[¿El agente utiliza un lenguaje adecuado y profesional?34]])=200%,100%,0%)</f>
        <v>1</v>
      </c>
      <c r="EV36" s="350">
        <f>IF((AM36="No"),0,$DY$2)</f>
        <v>1</v>
      </c>
      <c r="EW36" s="350">
        <f>IF((AN36="No"),0,$DY$2)</f>
        <v>1</v>
      </c>
      <c r="EX36" s="350">
        <f>IF((AO36="No"),0,$DY$2)</f>
        <v>1</v>
      </c>
      <c r="EY36" s="350">
        <f>IF((AP36="No"),0,$DY$2)</f>
        <v>1</v>
      </c>
      <c r="EZ36" s="350">
        <f>IF((AQ36="No"),0,$DY$2)</f>
        <v>1</v>
      </c>
      <c r="FA36" s="350">
        <f>IF((AR36="No"),0,$DY$2)</f>
        <v>1</v>
      </c>
      <c r="FB36" s="352">
        <f>IF(SUM(Data[[#This Row],[¿El agente verifica correctamente la cobertura?35]:[¿El agente agenda citas o gestiones cuando es necesario?41]])=600%,100%,0%)</f>
        <v>1</v>
      </c>
      <c r="FC36" s="350">
        <f>IF(SUM(EC36,EF36,EL36,EJ36,EN36,ER36,EU36,FB36)=800%,100%,0%)</f>
        <v>0</v>
      </c>
      <c r="FD36" s="350">
        <f>IF((AR36="No"),0,$DY$2)</f>
        <v>1</v>
      </c>
      <c r="FE36" s="350">
        <f>IF((AS36="No"),0,$DY$2)</f>
        <v>1</v>
      </c>
      <c r="FF36" s="350">
        <f>IF((AT36="No"),0,$DY$2)</f>
        <v>0</v>
      </c>
      <c r="FG36" s="350">
        <f>IF((AU36="No"),0,$DY$2)</f>
        <v>1</v>
      </c>
      <c r="FH36" s="350">
        <f>IF((AV36="No"),0,$DY$2)</f>
        <v>0</v>
      </c>
      <c r="FI36" s="350">
        <f>IF((AW36="No"),0,$DY$2)</f>
        <v>0</v>
      </c>
      <c r="FJ36" s="350">
        <f>IF(SUM(Data[[#This Row],[¿El agente ofrece adecuadamente un producto adicional?42]:[¿El agente maneja correctamente las objeciones del cliente?47]])=600%,100%,)</f>
        <v>0</v>
      </c>
      <c r="FK36" s="350">
        <f>IF((AX36="No"),0,$DY$2)</f>
        <v>1</v>
      </c>
      <c r="FL36" s="350">
        <f>+Data[[#This Row],[¿El agente gestiona la oferta según la campaña vigente?48]]</f>
        <v>1</v>
      </c>
      <c r="FM36" s="350">
        <f>IF((AY36="No"),0,$DY$2)</f>
        <v>1</v>
      </c>
      <c r="FN36" s="350">
        <f>IF((AZ36="No"),0,$DY$2)</f>
        <v>1</v>
      </c>
      <c r="FO36" s="350">
        <f>IF((BA36="No"),0,$DY$2)</f>
        <v>1</v>
      </c>
      <c r="FP36" s="350">
        <f>IF(SUM(Data[[#This Row],[¿El agente solicita coordenadas cuando es necesario?49]:[¿El agente maneja adecuadamente llamadas en conferencia?51]])=300%,100%,)</f>
        <v>1</v>
      </c>
      <c r="FQ36" s="350">
        <f>IF((BB36="No"),0,$DY$2)</f>
        <v>1</v>
      </c>
      <c r="FR36" s="350">
        <f>+Data[[#This Row],[¿El agente registra correctamente todas las interacciones?52]]</f>
        <v>1</v>
      </c>
      <c r="FS36" s="350">
        <f>IF(SUM(FJ36,FL36,FP36,FR36)=400%,100%,0)</f>
        <v>0</v>
      </c>
      <c r="FT36" s="349">
        <f>IF((BC36="No"),0,$DY$2)</f>
        <v>1</v>
      </c>
      <c r="FU36" s="352">
        <f>+Data[[#This Row],[¿El agente confirma la titularidad del cliente adecuadamente?53]]</f>
        <v>1</v>
      </c>
      <c r="FV36" s="349">
        <f>IF((BD36="No"),0,$DY$2)</f>
        <v>1</v>
      </c>
      <c r="FW36" s="349">
        <f>IF((BE36="No"),0,$DY$2)</f>
        <v>1</v>
      </c>
      <c r="FX36" s="352">
        <f>IF(SUM(Data[[#This Row],[¿El agente evita la omisión de alertas importantes?54]]:Data[[#This Row],[¿El agente mantiene conducta ética durante la interacción?55]])=200%,100%,)</f>
        <v>1</v>
      </c>
      <c r="FY36" s="349">
        <f>IF((BF36="No"),0,$DY$2)</f>
        <v>1</v>
      </c>
      <c r="FZ36" s="352">
        <f>+Data[[#This Row],[¿El agente evita compartir información sensible?56]]</f>
        <v>1</v>
      </c>
      <c r="GA36" s="350">
        <f>IF(SUM(FU36,FX36,FZ36)=300%,100%,)</f>
        <v>1</v>
      </c>
      <c r="GB36" s="351">
        <f>$GB$2*DX36</f>
        <v>0.1</v>
      </c>
      <c r="GC36" s="351">
        <f>$GC$2*FC36</f>
        <v>0</v>
      </c>
      <c r="GD36" s="353">
        <f>$GD$2*FS36</f>
        <v>0</v>
      </c>
      <c r="GE36" s="353">
        <f>$GE$2*GA36</f>
        <v>0.3</v>
      </c>
      <c r="GF36" s="350">
        <f>SUM(Data[[#This Row],[PESO PENC]:[PESO PECCUM]])</f>
        <v>0.4</v>
      </c>
      <c r="GG36" s="354">
        <f>1</f>
        <v>1</v>
      </c>
      <c r="GH36" s="354">
        <f>IF((BH36="Critica"),1,0)</f>
        <v>1</v>
      </c>
      <c r="GI36" s="348" t="str">
        <f>IF(J36="No",J$3,"")</f>
        <v/>
      </c>
      <c r="GJ36" s="348" t="str">
        <f>IF(K36="No",K$3,"")</f>
        <v/>
      </c>
      <c r="GK36" s="348" t="str">
        <f>IF(L36="No",L$3,"")</f>
        <v/>
      </c>
      <c r="GL36" s="355"/>
      <c r="GM36" s="355"/>
      <c r="GN36" s="348" t="str">
        <f>IF(O36="No",O$3,"")</f>
        <v/>
      </c>
      <c r="GO36" s="348" t="str">
        <f>IF(P36="No",P$3,"")</f>
        <v/>
      </c>
      <c r="GP36" s="348" t="str">
        <f>IF(Q36="No",Q$3,"")</f>
        <v/>
      </c>
      <c r="GQ36" s="348" t="str">
        <f>IF(R36="No",R$3,"")</f>
        <v/>
      </c>
      <c r="GR36" s="348" t="str">
        <f>IF(S36="No",S$3,"")</f>
        <v/>
      </c>
      <c r="GS36" s="348" t="str">
        <f>IF(T36="No",T$3,"")</f>
        <v/>
      </c>
      <c r="GT36" s="348" t="str">
        <f>IF(U36="No",U$3,"")</f>
        <v/>
      </c>
      <c r="GU36" s="348" t="e">
        <f>IF(#REF!="No",#REF!,"")</f>
        <v>#REF!</v>
      </c>
      <c r="GV36" s="348" t="str">
        <f>IF(V36="No",V$3,"")</f>
        <v/>
      </c>
      <c r="GW36" s="348" t="str">
        <f>IF(W36="No",W$3,"")</f>
        <v/>
      </c>
      <c r="GX36" s="348" t="str">
        <f>IF(X36="No",X$3,"")</f>
        <v/>
      </c>
      <c r="GY36" s="348" t="str">
        <f>IF(Y36="No",Y$3,"")</f>
        <v/>
      </c>
      <c r="GZ36" s="348" t="str">
        <f>IF(Z36="No",Z$3,"")</f>
        <v xml:space="preserve">¿El agente presenta correctamente los beneficios del producto? </v>
      </c>
      <c r="HA36" s="348" t="str">
        <f>IF(AA36="No",AA$3,"")</f>
        <v/>
      </c>
      <c r="HB36" s="348" t="str">
        <f>IF(AB36="No",AB$3,"")</f>
        <v/>
      </c>
      <c r="HC36" s="348" t="str">
        <f>IF(AC36="No",AC$3,"")</f>
        <v/>
      </c>
      <c r="HD36" s="348" t="str">
        <f>IF(AD36="No",AD$3,"")</f>
        <v/>
      </c>
      <c r="HE36" s="348" t="str">
        <f>IF(AE36="No",AE$3,"")</f>
        <v/>
      </c>
      <c r="HF36" s="348" t="str">
        <f>IF(AF36="No",AF$3,"")</f>
        <v/>
      </c>
      <c r="HG36" s="348" t="str">
        <f>IF(AG36="No",AG$3,"")</f>
        <v/>
      </c>
      <c r="HH36" s="348" t="str">
        <f>IF(AH36="No",AH$3,"")</f>
        <v/>
      </c>
      <c r="HI36" s="348" t="str">
        <f>IF(AI36="No",AI$3,"")</f>
        <v/>
      </c>
      <c r="HJ36" s="348" t="str">
        <f>IF(AJ36="No",AJ$3,"")</f>
        <v/>
      </c>
      <c r="HK36" s="348" t="str">
        <f>IF(AK36="No",AK$3,"")</f>
        <v/>
      </c>
      <c r="HL36" s="348" t="str">
        <f>IF(AL36="No",AL$3,"")</f>
        <v/>
      </c>
      <c r="HM36" s="348" t="str">
        <f>IF(AM36="No",AM$3,"")</f>
        <v/>
      </c>
      <c r="HN36" s="348" t="str">
        <f>IF(AN36="No",AN$3,"")</f>
        <v/>
      </c>
      <c r="HO36" s="348" t="str">
        <f>IF(AO36="No",AO$3,"")</f>
        <v/>
      </c>
      <c r="HP36" s="348" t="str">
        <f>IF(AP36="No",AP$3,"")</f>
        <v/>
      </c>
      <c r="HQ36" s="348" t="str">
        <f>IF(AQ36="No",AQ$3,"")</f>
        <v/>
      </c>
      <c r="HR36" s="348" t="e">
        <f>IF(#REF!="No",#REF!,"")</f>
        <v>#REF!</v>
      </c>
      <c r="HS36" s="356" t="str">
        <f>IF(AR36="No",AR$3,"")</f>
        <v/>
      </c>
      <c r="HT36" s="356" t="str">
        <f>IF(AS36="No",AS$3,"")</f>
        <v/>
      </c>
      <c r="HU36" s="356" t="str">
        <f>IF(AT36="No",AT$3,"")</f>
        <v xml:space="preserve">¿El agente indaga o sondea adecuadamente las necesidades del cliente? </v>
      </c>
      <c r="HV36" s="356" t="str">
        <f>IF(AU36="No",AU$3,"")</f>
        <v/>
      </c>
      <c r="HW36" s="356" t="str">
        <f>IF(AV36="No",AV$3,"")</f>
        <v xml:space="preserve">¿El agente realiza seguimiento adecuado al caso o solicitud? </v>
      </c>
      <c r="HX36" s="356" t="str">
        <f>IF(AW36="No",AW$3,"")</f>
        <v xml:space="preserve">¿El agente maneja correctamente las objeciones del cliente? </v>
      </c>
      <c r="HY36" s="356" t="str">
        <f>IF(AX36="No",AX$3,"")</f>
        <v/>
      </c>
      <c r="HZ36" s="356" t="str">
        <f>IF(AY36="No",AY$3,"")</f>
        <v/>
      </c>
      <c r="IA36" s="356" t="str">
        <f>IF(AZ36="No",AZ$3,"")</f>
        <v/>
      </c>
      <c r="IB36" s="356" t="str">
        <f>IF(BA36="No",BA$3,"")</f>
        <v/>
      </c>
      <c r="IC36" s="356" t="str">
        <f>IF(BB36="No",BB$3,"")</f>
        <v/>
      </c>
      <c r="ID36" s="349" t="str">
        <f>IF(BC36="No",BC$3,"")</f>
        <v/>
      </c>
      <c r="IE36" s="349" t="str">
        <f>IF(BD36="No",BD$3,"")</f>
        <v/>
      </c>
      <c r="IF36" s="349" t="str">
        <f>IF(BE36="No",BE$3,"")</f>
        <v/>
      </c>
      <c r="IG36" s="349" t="str">
        <f>IF(BF36="No",BF$3,"")</f>
        <v/>
      </c>
      <c r="IH36" s="347" t="str">
        <f>A36&amp;" "&amp;F36&amp;" "&amp;Data[[#This Row],[mes]]</f>
        <v>Edgar Alberto Marín Reyes Outbound jul-26</v>
      </c>
      <c r="II36" s="357">
        <f>COUNTIF($IH36:$IH69,IH36)</f>
        <v>1</v>
      </c>
      <c r="IJ36" s="241">
        <f>IF(COUNTIF($IH$4:IH36,IH36)=1,1,0)</f>
        <v>0</v>
      </c>
      <c r="IK36" s="358">
        <f>IF(Data[[#This Row],[Muestra Critica]]&gt;0,Data[[#This Row],[Muestra Critica]],"")</f>
        <v>1</v>
      </c>
      <c r="IL36" s="354">
        <f>IF(IK36="","",COUNTIF($IK$4:$IK68,IK36))</f>
        <v>26</v>
      </c>
      <c r="IM36" s="359">
        <f>IF(IL36=1,1,0)</f>
        <v>0</v>
      </c>
      <c r="IN36" s="347" t="str">
        <f t="shared" si="150"/>
        <v>jul-26</v>
      </c>
      <c r="IO36" s="345"/>
      <c r="IP36" s="345"/>
      <c r="IQ36" s="345"/>
      <c r="IR36" s="345"/>
      <c r="IS36" s="347" t="str">
        <f ca="1">IFERROR(_xlfn.XLOOKUP(A:A,HC!B:B,HC!E:E,,0),0)</f>
        <v>1 a 30 dias</v>
      </c>
    </row>
    <row r="37" spans="1:253" x14ac:dyDescent="0.35">
      <c r="I37" s="52"/>
      <c r="J37"/>
      <c r="K37"/>
      <c r="L37"/>
      <c r="M37"/>
      <c r="N37"/>
    </row>
    <row r="38" spans="1:253" x14ac:dyDescent="0.35">
      <c r="I38" s="52"/>
      <c r="J38"/>
      <c r="K38"/>
      <c r="L38"/>
      <c r="M38"/>
      <c r="N38"/>
    </row>
    <row r="39" spans="1:253" x14ac:dyDescent="0.35">
      <c r="I39" s="52"/>
      <c r="J39"/>
      <c r="K39"/>
      <c r="L39"/>
      <c r="M39"/>
      <c r="N39"/>
    </row>
    <row r="40" spans="1:253" x14ac:dyDescent="0.35">
      <c r="I40" s="52"/>
      <c r="J40"/>
      <c r="K40"/>
      <c r="L40"/>
      <c r="M40"/>
      <c r="N40"/>
    </row>
    <row r="43" spans="1:253" x14ac:dyDescent="0.35">
      <c r="L43" s="216"/>
      <c r="M43" s="217"/>
    </row>
    <row r="44" spans="1:253" ht="15.5" x14ac:dyDescent="0.35">
      <c r="J44" s="218"/>
      <c r="K44" s="312"/>
      <c r="L44" s="219"/>
      <c r="M44" s="220"/>
    </row>
    <row r="45" spans="1:253" ht="15.5" x14ac:dyDescent="0.35">
      <c r="J45" s="218"/>
      <c r="K45" s="312"/>
      <c r="L45" s="219"/>
      <c r="M45" s="220"/>
    </row>
    <row r="46" spans="1:253" ht="15.5" x14ac:dyDescent="0.35">
      <c r="J46" s="218"/>
      <c r="K46" s="312"/>
      <c r="L46" s="219"/>
      <c r="M46" s="220"/>
    </row>
    <row r="47" spans="1:253" ht="15.5" x14ac:dyDescent="0.35">
      <c r="J47" s="218"/>
      <c r="K47" s="312"/>
      <c r="L47" s="219"/>
      <c r="M47" s="220"/>
    </row>
    <row r="48" spans="1:253" ht="15.5" x14ac:dyDescent="0.35">
      <c r="J48" s="218"/>
      <c r="K48" s="312"/>
      <c r="M48" s="220"/>
    </row>
    <row r="49" spans="10:15" ht="15.5" x14ac:dyDescent="0.35">
      <c r="J49" s="218"/>
      <c r="K49" s="312"/>
      <c r="L49" s="219"/>
      <c r="M49" s="220"/>
    </row>
    <row r="50" spans="10:15" ht="15.5" x14ac:dyDescent="0.35">
      <c r="J50" s="218"/>
      <c r="K50" s="312"/>
      <c r="L50" s="219"/>
      <c r="M50" s="220"/>
    </row>
    <row r="51" spans="10:15" ht="15.5" x14ac:dyDescent="0.35">
      <c r="J51" s="218"/>
      <c r="K51" s="312"/>
      <c r="L51" s="219"/>
      <c r="M51" s="220"/>
    </row>
    <row r="52" spans="10:15" ht="15.5" x14ac:dyDescent="0.35">
      <c r="J52" s="218"/>
      <c r="K52" s="312"/>
      <c r="L52" s="219"/>
      <c r="M52" s="220"/>
    </row>
    <row r="53" spans="10:15" ht="15" customHeight="1" x14ac:dyDescent="0.35">
      <c r="J53" s="218"/>
      <c r="K53" s="312"/>
      <c r="L53" s="219"/>
      <c r="M53" s="220"/>
    </row>
    <row r="54" spans="10:15" ht="14.5" customHeight="1" x14ac:dyDescent="0.35">
      <c r="J54" s="218"/>
      <c r="K54" s="312"/>
      <c r="L54" s="219"/>
      <c r="M54" s="220"/>
    </row>
    <row r="55" spans="10:15" ht="14.5" customHeight="1" x14ac:dyDescent="0.35">
      <c r="J55" s="218"/>
      <c r="K55" s="312"/>
      <c r="L55" s="219"/>
      <c r="M55" s="221"/>
      <c r="O55">
        <v>25</v>
      </c>
    </row>
    <row r="56" spans="10:15" ht="14.5" customHeight="1" x14ac:dyDescent="0.35">
      <c r="J56" s="218"/>
      <c r="K56" s="312"/>
      <c r="L56" s="222"/>
      <c r="M56" s="221"/>
    </row>
    <row r="57" spans="10:15" ht="15" customHeight="1" x14ac:dyDescent="0.35">
      <c r="J57" s="218"/>
      <c r="K57" s="312"/>
      <c r="L57" s="222"/>
      <c r="M57" s="221"/>
    </row>
    <row r="58" spans="10:15" ht="15.5" x14ac:dyDescent="0.35">
      <c r="J58" s="218"/>
      <c r="K58" s="312"/>
      <c r="L58" s="222"/>
      <c r="M58" s="221"/>
    </row>
    <row r="59" spans="10:15" ht="15.5" x14ac:dyDescent="0.35">
      <c r="J59" s="218"/>
      <c r="K59" s="312"/>
      <c r="L59" s="222"/>
      <c r="M59" s="221"/>
    </row>
    <row r="60" spans="10:15" ht="15.5" x14ac:dyDescent="0.35">
      <c r="J60" s="218"/>
      <c r="K60" s="312"/>
      <c r="L60" s="222"/>
      <c r="M60" s="221"/>
    </row>
    <row r="61" spans="10:15" ht="14.5" customHeight="1" x14ac:dyDescent="0.35">
      <c r="J61" s="218"/>
      <c r="K61" s="312"/>
      <c r="L61" s="222"/>
      <c r="M61" s="221"/>
    </row>
    <row r="62" spans="10:15" ht="14.5" customHeight="1" x14ac:dyDescent="0.35">
      <c r="J62" s="218"/>
      <c r="K62" s="312"/>
      <c r="L62" s="222"/>
      <c r="M62" s="221"/>
    </row>
    <row r="63" spans="10:15" ht="15" customHeight="1" x14ac:dyDescent="0.35">
      <c r="J63" s="218"/>
      <c r="K63" s="312"/>
      <c r="L63" s="222"/>
      <c r="M63" s="221"/>
    </row>
    <row r="64" spans="10:15" ht="15.5" x14ac:dyDescent="0.35">
      <c r="J64" s="218"/>
      <c r="K64" s="312"/>
      <c r="L64" s="223"/>
      <c r="M64" s="221"/>
    </row>
    <row r="65" spans="10:13" ht="15.5" x14ac:dyDescent="0.35">
      <c r="J65" s="218"/>
      <c r="K65" s="312"/>
      <c r="L65" s="223"/>
      <c r="M65" s="221"/>
    </row>
    <row r="66" spans="10:13" ht="15.5" x14ac:dyDescent="0.35">
      <c r="J66" s="218"/>
      <c r="K66" s="312"/>
      <c r="L66" s="222"/>
      <c r="M66" s="221"/>
    </row>
    <row r="67" spans="10:13" ht="15.5" x14ac:dyDescent="0.35">
      <c r="J67" s="218"/>
      <c r="K67" s="312"/>
      <c r="L67" s="222"/>
      <c r="M67" s="221"/>
    </row>
    <row r="68" spans="10:13" ht="15.5" x14ac:dyDescent="0.35">
      <c r="J68" s="218"/>
      <c r="K68" s="312"/>
      <c r="L68" s="222"/>
      <c r="M68" s="221"/>
    </row>
    <row r="69" spans="10:13" ht="14.5" customHeight="1" x14ac:dyDescent="0.35">
      <c r="J69" s="218"/>
      <c r="K69" s="312"/>
      <c r="L69" s="222"/>
      <c r="M69" s="221"/>
    </row>
    <row r="70" spans="10:13" ht="15" customHeight="1" x14ac:dyDescent="0.35">
      <c r="J70" s="218"/>
      <c r="K70" s="312"/>
      <c r="L70" s="222"/>
      <c r="M70" s="221"/>
    </row>
    <row r="71" spans="10:13" ht="15.5" x14ac:dyDescent="0.35">
      <c r="J71" s="218"/>
      <c r="K71" s="312"/>
      <c r="L71" s="222"/>
      <c r="M71" s="221"/>
    </row>
    <row r="72" spans="10:13" ht="15.5" x14ac:dyDescent="0.35">
      <c r="J72" s="218"/>
      <c r="K72" s="312"/>
      <c r="L72" s="222"/>
      <c r="M72" s="221"/>
    </row>
    <row r="73" spans="10:13" ht="15.5" x14ac:dyDescent="0.35">
      <c r="J73" s="218"/>
      <c r="K73" s="312"/>
      <c r="L73" s="222"/>
      <c r="M73" s="221"/>
    </row>
    <row r="74" spans="10:13" ht="15.5" x14ac:dyDescent="0.35">
      <c r="J74" s="218"/>
      <c r="K74" s="312"/>
      <c r="L74" s="222"/>
      <c r="M74" s="221"/>
    </row>
    <row r="75" spans="10:13" ht="15.5" x14ac:dyDescent="0.35">
      <c r="J75" s="218"/>
      <c r="K75" s="312"/>
      <c r="L75" s="222"/>
      <c r="M75" s="221"/>
    </row>
    <row r="76" spans="10:13" ht="15.5" x14ac:dyDescent="0.35">
      <c r="J76" s="218"/>
      <c r="K76" s="312"/>
      <c r="L76" s="222"/>
      <c r="M76" s="221"/>
    </row>
    <row r="77" spans="10:13" ht="15.5" x14ac:dyDescent="0.35">
      <c r="J77" s="218"/>
      <c r="K77" s="312"/>
      <c r="L77" s="222"/>
      <c r="M77" s="221"/>
    </row>
    <row r="78" spans="10:13" ht="15.5" x14ac:dyDescent="0.35">
      <c r="J78" s="218"/>
      <c r="K78" s="312"/>
      <c r="L78" s="222"/>
      <c r="M78" s="221"/>
    </row>
    <row r="79" spans="10:13" ht="15.5" x14ac:dyDescent="0.35">
      <c r="J79" s="218"/>
      <c r="K79" s="312"/>
      <c r="L79" s="222"/>
      <c r="M79" s="221"/>
    </row>
    <row r="80" spans="10:13" ht="15.5" x14ac:dyDescent="0.35">
      <c r="J80" s="218"/>
      <c r="K80" s="312"/>
      <c r="L80" s="222"/>
      <c r="M80" s="221"/>
    </row>
    <row r="81" spans="10:14" ht="15.5" x14ac:dyDescent="0.35">
      <c r="J81" s="218"/>
      <c r="K81" s="312"/>
      <c r="L81" s="222"/>
      <c r="M81" s="221"/>
    </row>
    <row r="82" spans="10:14" ht="15.5" x14ac:dyDescent="0.35">
      <c r="J82" s="218"/>
      <c r="K82" s="312"/>
      <c r="L82" s="222"/>
      <c r="M82" s="221"/>
    </row>
    <row r="83" spans="10:14" ht="15.5" x14ac:dyDescent="0.35">
      <c r="J83" s="218"/>
      <c r="K83" s="312"/>
      <c r="L83" s="222"/>
      <c r="M83" s="221"/>
    </row>
    <row r="84" spans="10:14" ht="15.5" x14ac:dyDescent="0.35">
      <c r="J84" s="218"/>
      <c r="K84" s="312"/>
      <c r="L84" s="223"/>
      <c r="M84" s="221"/>
    </row>
    <row r="85" spans="10:14" ht="15.5" x14ac:dyDescent="0.35">
      <c r="J85" s="218"/>
      <c r="K85" s="312"/>
      <c r="L85" s="222"/>
      <c r="M85" s="221"/>
    </row>
    <row r="86" spans="10:14" ht="15.5" x14ac:dyDescent="0.35">
      <c r="J86" s="218"/>
      <c r="K86" s="312"/>
      <c r="L86" s="222"/>
      <c r="M86" s="221"/>
    </row>
    <row r="87" spans="10:14" ht="15.5" x14ac:dyDescent="0.35">
      <c r="J87" s="218"/>
      <c r="K87" s="312"/>
      <c r="L87" s="222"/>
      <c r="M87" s="221"/>
    </row>
    <row r="88" spans="10:14" ht="15.5" x14ac:dyDescent="0.35">
      <c r="J88" s="218"/>
      <c r="K88" s="312"/>
      <c r="L88" s="223"/>
      <c r="M88" s="221"/>
    </row>
    <row r="89" spans="10:14" ht="15.5" x14ac:dyDescent="0.35">
      <c r="J89" s="218"/>
      <c r="K89" s="312"/>
      <c r="L89" s="223"/>
      <c r="M89" s="221"/>
    </row>
    <row r="90" spans="10:14" ht="15.5" x14ac:dyDescent="0.35">
      <c r="J90" s="218"/>
      <c r="K90" s="312"/>
      <c r="L90" s="222"/>
      <c r="M90" s="221"/>
    </row>
    <row r="91" spans="10:14" ht="15.5" x14ac:dyDescent="0.35">
      <c r="J91" s="224"/>
      <c r="K91" s="312"/>
      <c r="L91" s="222"/>
      <c r="M91" s="221"/>
    </row>
    <row r="92" spans="10:14" ht="15.5" x14ac:dyDescent="0.35">
      <c r="J92" s="224"/>
      <c r="K92" s="312"/>
      <c r="L92" s="223"/>
      <c r="M92" s="225"/>
    </row>
    <row r="93" spans="10:14" x14ac:dyDescent="0.35">
      <c r="J93" s="224"/>
    </row>
    <row r="94" spans="10:14" x14ac:dyDescent="0.35">
      <c r="J94" s="224"/>
    </row>
    <row r="95" spans="10:14" x14ac:dyDescent="0.35">
      <c r="N95" s="226"/>
    </row>
    <row r="96" spans="10:14" x14ac:dyDescent="0.35">
      <c r="L96" s="227"/>
      <c r="N96" s="226"/>
    </row>
    <row r="97" spans="12:14" x14ac:dyDescent="0.35">
      <c r="N97" s="226"/>
    </row>
    <row r="98" spans="12:14" x14ac:dyDescent="0.35">
      <c r="L98" s="227"/>
      <c r="N98" s="226"/>
    </row>
    <row r="99" spans="12:14" x14ac:dyDescent="0.35">
      <c r="N99" s="226"/>
    </row>
    <row r="100" spans="12:14" x14ac:dyDescent="0.35">
      <c r="N100" s="226"/>
    </row>
    <row r="101" spans="12:14" x14ac:dyDescent="0.35">
      <c r="N101" s="226"/>
    </row>
    <row r="102" spans="12:14" x14ac:dyDescent="0.35">
      <c r="L102" s="227"/>
      <c r="N102" s="226"/>
    </row>
    <row r="103" spans="12:14" x14ac:dyDescent="0.35">
      <c r="N103" s="226"/>
    </row>
    <row r="104" spans="12:14" x14ac:dyDescent="0.35">
      <c r="L104" s="227"/>
      <c r="N104" s="226"/>
    </row>
    <row r="105" spans="12:14" x14ac:dyDescent="0.35">
      <c r="N105" s="226"/>
    </row>
    <row r="106" spans="12:14" x14ac:dyDescent="0.35">
      <c r="L106" s="227"/>
      <c r="N106" s="226"/>
    </row>
    <row r="107" spans="12:14" x14ac:dyDescent="0.35">
      <c r="N107" s="226"/>
    </row>
    <row r="108" spans="12:14" x14ac:dyDescent="0.35">
      <c r="N108" s="226"/>
    </row>
    <row r="109" spans="12:14" x14ac:dyDescent="0.35">
      <c r="L109" s="227"/>
      <c r="N109" s="226"/>
    </row>
    <row r="110" spans="12:14" x14ac:dyDescent="0.35">
      <c r="N110" s="226"/>
    </row>
    <row r="111" spans="12:14" x14ac:dyDescent="0.35">
      <c r="N111" s="226"/>
    </row>
    <row r="112" spans="12:14" x14ac:dyDescent="0.35">
      <c r="N112" s="226"/>
    </row>
  </sheetData>
  <mergeCells count="27">
    <mergeCell ref="AR1:AW1"/>
    <mergeCell ref="AY1:BA1"/>
    <mergeCell ref="AR2:AW2"/>
    <mergeCell ref="AY2:BA2"/>
    <mergeCell ref="BD1:BE1"/>
    <mergeCell ref="AL2:AQ2"/>
    <mergeCell ref="V1:Y1"/>
    <mergeCell ref="Z1:AA1"/>
    <mergeCell ref="AB1:AD1"/>
    <mergeCell ref="AG1:AI1"/>
    <mergeCell ref="AJ1:AK1"/>
    <mergeCell ref="AL1:AQ1"/>
    <mergeCell ref="V2:Y2"/>
    <mergeCell ref="Z2:AA2"/>
    <mergeCell ref="AB2:AD2"/>
    <mergeCell ref="AG2:AI2"/>
    <mergeCell ref="AJ2:AK2"/>
    <mergeCell ref="M1:P1"/>
    <mergeCell ref="Q1:T1"/>
    <mergeCell ref="J2:L2"/>
    <mergeCell ref="M2:P2"/>
    <mergeCell ref="Q2:T2"/>
    <mergeCell ref="K44:K55"/>
    <mergeCell ref="K56:K77"/>
    <mergeCell ref="K78:K88"/>
    <mergeCell ref="K89:K92"/>
    <mergeCell ref="J1:L1"/>
  </mergeCells>
  <phoneticPr fontId="36" type="noConversion"/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7C9F13-F0D1-4C9D-91B4-997551179C70}">
  <sheetPr codeName="Hoja3">
    <tabColor rgb="FFFFC000"/>
  </sheetPr>
  <dimension ref="B2:F71"/>
  <sheetViews>
    <sheetView showGridLines="0" zoomScale="71" workbookViewId="0">
      <selection activeCell="B36" sqref="B36:B38"/>
    </sheetView>
  </sheetViews>
  <sheetFormatPr baseColWidth="10" defaultColWidth="10.81640625" defaultRowHeight="14.5" x14ac:dyDescent="0.35"/>
  <cols>
    <col min="2" max="2" width="41.453125" style="156" customWidth="1"/>
    <col min="3" max="3" width="71" bestFit="1" customWidth="1"/>
    <col min="5" max="5" width="47.1796875" customWidth="1"/>
    <col min="6" max="6" width="45.453125" customWidth="1"/>
  </cols>
  <sheetData>
    <row r="2" spans="2:6" ht="15" thickBot="1" x14ac:dyDescent="0.4"/>
    <row r="3" spans="2:6" ht="15" thickBot="1" x14ac:dyDescent="0.4">
      <c r="B3" s="174" t="s">
        <v>339</v>
      </c>
      <c r="C3" s="175" t="s">
        <v>405</v>
      </c>
      <c r="E3" s="97" t="s">
        <v>339</v>
      </c>
      <c r="F3" s="98" t="s">
        <v>340</v>
      </c>
    </row>
    <row r="4" spans="2:6" ht="15.5" x14ac:dyDescent="0.35">
      <c r="B4" s="323" t="s">
        <v>212</v>
      </c>
      <c r="C4" s="160" t="s">
        <v>213</v>
      </c>
      <c r="E4" s="327" t="s">
        <v>35</v>
      </c>
      <c r="F4" s="106" t="s">
        <v>347</v>
      </c>
    </row>
    <row r="5" spans="2:6" ht="15.5" x14ac:dyDescent="0.35">
      <c r="B5" s="324"/>
      <c r="C5" s="161" t="s">
        <v>214</v>
      </c>
      <c r="E5" s="328"/>
      <c r="F5" s="1" t="s">
        <v>348</v>
      </c>
    </row>
    <row r="6" spans="2:6" ht="16" thickBot="1" x14ac:dyDescent="0.4">
      <c r="B6" s="325"/>
      <c r="C6" s="162" t="s">
        <v>215</v>
      </c>
      <c r="E6" s="330"/>
      <c r="F6" s="113" t="s">
        <v>349</v>
      </c>
    </row>
    <row r="7" spans="2:6" ht="15" thickBot="1" x14ac:dyDescent="0.4">
      <c r="E7" s="71"/>
    </row>
    <row r="8" spans="2:6" ht="15.5" x14ac:dyDescent="0.35">
      <c r="B8" s="323" t="s">
        <v>216</v>
      </c>
      <c r="C8" s="160" t="s">
        <v>217</v>
      </c>
      <c r="E8" s="327" t="s">
        <v>36</v>
      </c>
      <c r="F8" s="106" t="s">
        <v>350</v>
      </c>
    </row>
    <row r="9" spans="2:6" ht="15.5" x14ac:dyDescent="0.35">
      <c r="B9" s="324"/>
      <c r="C9" s="161" t="s">
        <v>218</v>
      </c>
      <c r="E9" s="328"/>
      <c r="F9" s="1" t="s">
        <v>351</v>
      </c>
    </row>
    <row r="10" spans="2:6" ht="15.5" x14ac:dyDescent="0.35">
      <c r="B10" s="324"/>
      <c r="C10" s="161" t="s">
        <v>219</v>
      </c>
      <c r="E10" s="328"/>
      <c r="F10" s="1" t="s">
        <v>352</v>
      </c>
    </row>
    <row r="11" spans="2:6" ht="16" thickBot="1" x14ac:dyDescent="0.4">
      <c r="B11" s="325"/>
      <c r="C11" s="162" t="s">
        <v>220</v>
      </c>
      <c r="E11" s="330"/>
      <c r="F11" s="113" t="s">
        <v>353</v>
      </c>
    </row>
    <row r="12" spans="2:6" ht="15" thickBot="1" x14ac:dyDescent="0.4">
      <c r="E12" s="71"/>
    </row>
    <row r="13" spans="2:6" ht="15.5" x14ac:dyDescent="0.35">
      <c r="B13" s="323" t="s">
        <v>221</v>
      </c>
      <c r="C13" s="160" t="s">
        <v>223</v>
      </c>
      <c r="E13" s="327" t="s">
        <v>37</v>
      </c>
      <c r="F13" s="106" t="s">
        <v>354</v>
      </c>
    </row>
    <row r="14" spans="2:6" ht="15.5" x14ac:dyDescent="0.35">
      <c r="B14" s="324"/>
      <c r="C14" s="161" t="s">
        <v>222</v>
      </c>
      <c r="E14" s="328"/>
      <c r="F14" s="1" t="s">
        <v>355</v>
      </c>
    </row>
    <row r="15" spans="2:6" ht="15.5" x14ac:dyDescent="0.35">
      <c r="B15" s="324"/>
      <c r="C15" s="161" t="s">
        <v>224</v>
      </c>
      <c r="E15" s="328"/>
      <c r="F15" s="1" t="s">
        <v>356</v>
      </c>
    </row>
    <row r="16" spans="2:6" ht="16" thickBot="1" x14ac:dyDescent="0.4">
      <c r="B16" s="325"/>
      <c r="C16" s="162" t="s">
        <v>225</v>
      </c>
      <c r="E16" s="330"/>
      <c r="F16" s="113" t="s">
        <v>357</v>
      </c>
    </row>
    <row r="17" spans="2:6" ht="16" thickBot="1" x14ac:dyDescent="0.4">
      <c r="C17" s="84"/>
      <c r="E17" s="71"/>
    </row>
    <row r="18" spans="2:6" ht="15.5" x14ac:dyDescent="0.35">
      <c r="B18" s="323" t="s">
        <v>226</v>
      </c>
      <c r="C18" s="182"/>
      <c r="E18" s="327" t="s">
        <v>38</v>
      </c>
      <c r="F18" s="106"/>
    </row>
    <row r="19" spans="2:6" ht="16" thickBot="1" x14ac:dyDescent="0.4">
      <c r="B19" s="325"/>
      <c r="C19" s="164" t="s">
        <v>228</v>
      </c>
      <c r="E19" s="330"/>
      <c r="F19" s="113" t="s">
        <v>358</v>
      </c>
    </row>
    <row r="20" spans="2:6" ht="15" thickBot="1" x14ac:dyDescent="0.4">
      <c r="E20" s="71"/>
    </row>
    <row r="21" spans="2:6" ht="15.5" x14ac:dyDescent="0.35">
      <c r="B21" s="321" t="s">
        <v>306</v>
      </c>
      <c r="C21" s="163" t="s">
        <v>229</v>
      </c>
      <c r="E21" s="327" t="s">
        <v>39</v>
      </c>
      <c r="F21" s="106" t="s">
        <v>359</v>
      </c>
    </row>
    <row r="22" spans="2:6" ht="15.5" x14ac:dyDescent="0.35">
      <c r="B22" s="326"/>
      <c r="C22" s="165" t="s">
        <v>230</v>
      </c>
      <c r="E22" s="328"/>
      <c r="F22" s="1" t="s">
        <v>360</v>
      </c>
    </row>
    <row r="23" spans="2:6" ht="15.5" x14ac:dyDescent="0.35">
      <c r="B23" s="326"/>
      <c r="C23" s="165" t="s">
        <v>231</v>
      </c>
      <c r="E23" s="328"/>
      <c r="F23" s="1" t="s">
        <v>361</v>
      </c>
    </row>
    <row r="24" spans="2:6" ht="16" thickBot="1" x14ac:dyDescent="0.4">
      <c r="B24" s="322"/>
      <c r="C24" s="164" t="s">
        <v>232</v>
      </c>
      <c r="E24" s="330"/>
      <c r="F24" s="113" t="s">
        <v>362</v>
      </c>
    </row>
    <row r="25" spans="2:6" ht="15" thickBot="1" x14ac:dyDescent="0.4">
      <c r="E25" s="71"/>
    </row>
    <row r="26" spans="2:6" ht="15.5" x14ac:dyDescent="0.35">
      <c r="B26" s="321" t="s">
        <v>307</v>
      </c>
      <c r="C26" s="163" t="s">
        <v>233</v>
      </c>
      <c r="E26" s="327" t="s">
        <v>40</v>
      </c>
      <c r="F26" s="106" t="s">
        <v>363</v>
      </c>
    </row>
    <row r="27" spans="2:6" ht="16" thickBot="1" x14ac:dyDescent="0.4">
      <c r="B27" s="322"/>
      <c r="C27" s="164" t="s">
        <v>234</v>
      </c>
      <c r="E27" s="330"/>
      <c r="F27" s="113" t="s">
        <v>364</v>
      </c>
    </row>
    <row r="28" spans="2:6" ht="15" thickBot="1" x14ac:dyDescent="0.4">
      <c r="E28" s="71"/>
    </row>
    <row r="29" spans="2:6" ht="15.5" x14ac:dyDescent="0.35">
      <c r="B29" s="321" t="s">
        <v>308</v>
      </c>
      <c r="C29" s="163" t="s">
        <v>235</v>
      </c>
      <c r="E29" s="327" t="s">
        <v>41</v>
      </c>
      <c r="F29" s="106" t="s">
        <v>365</v>
      </c>
    </row>
    <row r="30" spans="2:6" ht="15.5" x14ac:dyDescent="0.35">
      <c r="B30" s="326"/>
      <c r="C30" s="165" t="s">
        <v>236</v>
      </c>
      <c r="E30" s="328"/>
      <c r="F30" s="1" t="s">
        <v>366</v>
      </c>
    </row>
    <row r="31" spans="2:6" ht="15" thickBot="1" x14ac:dyDescent="0.4">
      <c r="E31" s="71"/>
    </row>
    <row r="32" spans="2:6" ht="16" thickBot="1" x14ac:dyDescent="0.4">
      <c r="B32" s="166" t="s">
        <v>309</v>
      </c>
      <c r="C32" s="167" t="s">
        <v>238</v>
      </c>
      <c r="E32" s="170" t="s">
        <v>42</v>
      </c>
      <c r="F32" s="106" t="s">
        <v>367</v>
      </c>
    </row>
    <row r="33" spans="2:6" ht="15" thickBot="1" x14ac:dyDescent="0.4">
      <c r="E33" s="71"/>
    </row>
    <row r="34" spans="2:6" ht="16" thickBot="1" x14ac:dyDescent="0.4">
      <c r="B34" s="166" t="s">
        <v>310</v>
      </c>
      <c r="C34" s="167" t="s">
        <v>239</v>
      </c>
      <c r="E34" s="171" t="s">
        <v>43</v>
      </c>
      <c r="F34" s="1" t="s">
        <v>368</v>
      </c>
    </row>
    <row r="35" spans="2:6" ht="15" thickBot="1" x14ac:dyDescent="0.4">
      <c r="E35" s="71"/>
    </row>
    <row r="36" spans="2:6" ht="15.5" x14ac:dyDescent="0.35">
      <c r="B36" s="321" t="s">
        <v>311</v>
      </c>
      <c r="C36" s="163" t="s">
        <v>240</v>
      </c>
      <c r="E36" s="329" t="s">
        <v>44</v>
      </c>
      <c r="F36" s="1" t="s">
        <v>369</v>
      </c>
    </row>
    <row r="37" spans="2:6" ht="15.5" x14ac:dyDescent="0.35">
      <c r="B37" s="326"/>
      <c r="C37" s="185" t="s">
        <v>241</v>
      </c>
      <c r="E37" s="328"/>
      <c r="F37" s="1" t="s">
        <v>408</v>
      </c>
    </row>
    <row r="38" spans="2:6" ht="16" thickBot="1" x14ac:dyDescent="0.4">
      <c r="B38" s="322"/>
      <c r="C38" s="186" t="s">
        <v>242</v>
      </c>
      <c r="E38" s="333"/>
      <c r="F38" s="157" t="s">
        <v>370</v>
      </c>
    </row>
    <row r="39" spans="2:6" ht="15" thickBot="1" x14ac:dyDescent="0.4">
      <c r="E39" s="71"/>
    </row>
    <row r="40" spans="2:6" ht="16" thickBot="1" x14ac:dyDescent="0.4">
      <c r="B40" s="321" t="s">
        <v>312</v>
      </c>
      <c r="C40" s="184" t="s">
        <v>243</v>
      </c>
      <c r="E40" s="329" t="s">
        <v>371</v>
      </c>
      <c r="F40" s="159" t="s">
        <v>372</v>
      </c>
    </row>
    <row r="41" spans="2:6" ht="16" thickBot="1" x14ac:dyDescent="0.4">
      <c r="B41" s="322"/>
      <c r="C41" s="184" t="s">
        <v>244</v>
      </c>
      <c r="E41" s="330"/>
      <c r="F41" s="158" t="s">
        <v>373</v>
      </c>
    </row>
    <row r="42" spans="2:6" ht="15" thickBot="1" x14ac:dyDescent="0.4">
      <c r="E42" s="71"/>
    </row>
    <row r="43" spans="2:6" ht="15.5" x14ac:dyDescent="0.35">
      <c r="B43" s="321" t="s">
        <v>313</v>
      </c>
      <c r="C43" s="163" t="s">
        <v>245</v>
      </c>
      <c r="E43" s="331" t="s">
        <v>46</v>
      </c>
      <c r="F43" s="183" t="s">
        <v>374</v>
      </c>
    </row>
    <row r="44" spans="2:6" ht="15.5" x14ac:dyDescent="0.35">
      <c r="B44" s="326"/>
      <c r="C44" s="165" t="s">
        <v>246</v>
      </c>
      <c r="E44" s="332"/>
      <c r="F44" s="139" t="s">
        <v>375</v>
      </c>
    </row>
    <row r="45" spans="2:6" ht="15.5" x14ac:dyDescent="0.35">
      <c r="B45" s="326"/>
      <c r="C45" s="165" t="s">
        <v>247</v>
      </c>
      <c r="E45" s="332"/>
      <c r="F45" s="139" t="s">
        <v>376</v>
      </c>
    </row>
    <row r="46" spans="2:6" ht="15.5" x14ac:dyDescent="0.35">
      <c r="B46" s="326"/>
      <c r="C46" s="165" t="s">
        <v>248</v>
      </c>
      <c r="E46" s="332"/>
      <c r="F46" s="139" t="s">
        <v>377</v>
      </c>
    </row>
    <row r="47" spans="2:6" ht="15.5" x14ac:dyDescent="0.35">
      <c r="B47" s="326"/>
      <c r="C47" s="165" t="s">
        <v>249</v>
      </c>
      <c r="E47" s="332"/>
      <c r="F47" s="139" t="s">
        <v>378</v>
      </c>
    </row>
    <row r="48" spans="2:6" ht="15.5" x14ac:dyDescent="0.35">
      <c r="B48" s="326"/>
      <c r="C48" s="165" t="s">
        <v>250</v>
      </c>
      <c r="E48" s="332"/>
      <c r="F48" s="139" t="s">
        <v>379</v>
      </c>
    </row>
    <row r="49" spans="2:6" ht="16" thickBot="1" x14ac:dyDescent="0.4">
      <c r="B49" s="322"/>
      <c r="C49" s="168" t="s">
        <v>251</v>
      </c>
      <c r="E49" s="187"/>
      <c r="F49" s="140" t="s">
        <v>409</v>
      </c>
    </row>
    <row r="50" spans="2:6" ht="15" thickBot="1" x14ac:dyDescent="0.4">
      <c r="E50" s="71"/>
    </row>
    <row r="51" spans="2:6" ht="15.5" x14ac:dyDescent="0.35">
      <c r="B51" s="321" t="s">
        <v>315</v>
      </c>
      <c r="C51" s="163" t="s">
        <v>252</v>
      </c>
      <c r="E51" s="327" t="s">
        <v>47</v>
      </c>
      <c r="F51" s="176" t="s">
        <v>380</v>
      </c>
    </row>
    <row r="52" spans="2:6" ht="15.5" x14ac:dyDescent="0.35">
      <c r="B52" s="326"/>
      <c r="C52" s="165" t="s">
        <v>253</v>
      </c>
      <c r="E52" s="328"/>
      <c r="F52" s="180" t="s">
        <v>381</v>
      </c>
    </row>
    <row r="53" spans="2:6" ht="15.5" x14ac:dyDescent="0.35">
      <c r="B53" s="326"/>
      <c r="C53" s="165" t="s">
        <v>254</v>
      </c>
      <c r="E53" s="328"/>
      <c r="F53" s="180" t="s">
        <v>382</v>
      </c>
    </row>
    <row r="54" spans="2:6" ht="15.5" x14ac:dyDescent="0.35">
      <c r="B54" s="326"/>
      <c r="C54" s="165" t="s">
        <v>255</v>
      </c>
      <c r="E54" s="328"/>
      <c r="F54" s="180" t="s">
        <v>383</v>
      </c>
    </row>
    <row r="55" spans="2:6" ht="15.5" x14ac:dyDescent="0.35">
      <c r="B55" s="326"/>
      <c r="C55" s="165" t="s">
        <v>256</v>
      </c>
      <c r="E55" s="328"/>
      <c r="F55" s="180" t="s">
        <v>384</v>
      </c>
    </row>
    <row r="56" spans="2:6" ht="16" thickBot="1" x14ac:dyDescent="0.4">
      <c r="B56" s="322"/>
      <c r="C56" s="164" t="s">
        <v>257</v>
      </c>
      <c r="E56" s="330"/>
      <c r="F56" s="177" t="s">
        <v>385</v>
      </c>
    </row>
    <row r="57" spans="2:6" ht="15" thickBot="1" x14ac:dyDescent="0.4">
      <c r="E57" s="71"/>
    </row>
    <row r="58" spans="2:6" ht="16" thickBot="1" x14ac:dyDescent="0.4">
      <c r="B58" s="166" t="s">
        <v>316</v>
      </c>
      <c r="C58" s="167" t="s">
        <v>258</v>
      </c>
      <c r="E58" s="178" t="s">
        <v>48</v>
      </c>
      <c r="F58" s="179" t="s">
        <v>386</v>
      </c>
    </row>
    <row r="59" spans="2:6" ht="15" thickBot="1" x14ac:dyDescent="0.4">
      <c r="E59" s="71"/>
    </row>
    <row r="60" spans="2:6" ht="15.5" x14ac:dyDescent="0.35">
      <c r="B60" s="321" t="s">
        <v>317</v>
      </c>
      <c r="C60" s="163" t="s">
        <v>259</v>
      </c>
      <c r="E60" s="327" t="s">
        <v>49</v>
      </c>
      <c r="F60" s="176" t="s">
        <v>387</v>
      </c>
    </row>
    <row r="61" spans="2:6" ht="15.5" x14ac:dyDescent="0.35">
      <c r="B61" s="326"/>
      <c r="C61" s="165" t="s">
        <v>260</v>
      </c>
      <c r="E61" s="328"/>
      <c r="F61" s="180" t="s">
        <v>388</v>
      </c>
    </row>
    <row r="62" spans="2:6" ht="16" thickBot="1" x14ac:dyDescent="0.4">
      <c r="B62" s="322"/>
      <c r="C62" s="164" t="s">
        <v>261</v>
      </c>
      <c r="E62" s="330"/>
      <c r="F62" s="177" t="s">
        <v>389</v>
      </c>
    </row>
    <row r="63" spans="2:6" ht="15" thickBot="1" x14ac:dyDescent="0.4">
      <c r="E63" s="71"/>
    </row>
    <row r="64" spans="2:6" ht="16" thickBot="1" x14ac:dyDescent="0.4">
      <c r="B64" s="166" t="s">
        <v>318</v>
      </c>
      <c r="C64" s="167" t="s">
        <v>262</v>
      </c>
      <c r="E64" s="172" t="s">
        <v>50</v>
      </c>
      <c r="F64" s="113" t="s">
        <v>390</v>
      </c>
    </row>
    <row r="65" spans="2:6" ht="15" thickBot="1" x14ac:dyDescent="0.4">
      <c r="E65" s="71"/>
    </row>
    <row r="66" spans="2:6" ht="16" thickBot="1" x14ac:dyDescent="0.4">
      <c r="B66" s="166" t="s">
        <v>319</v>
      </c>
      <c r="C66" s="167" t="s">
        <v>263</v>
      </c>
      <c r="E66" s="173" t="s">
        <v>51</v>
      </c>
      <c r="F66" s="106" t="s">
        <v>391</v>
      </c>
    </row>
    <row r="67" spans="2:6" ht="15" thickBot="1" x14ac:dyDescent="0.4">
      <c r="E67" s="71"/>
    </row>
    <row r="68" spans="2:6" ht="15.5" x14ac:dyDescent="0.35">
      <c r="B68" s="321" t="s">
        <v>320</v>
      </c>
      <c r="C68" s="163" t="s">
        <v>264</v>
      </c>
      <c r="E68" s="327" t="s">
        <v>52</v>
      </c>
      <c r="F68" s="176" t="s">
        <v>392</v>
      </c>
    </row>
    <row r="69" spans="2:6" ht="16" thickBot="1" x14ac:dyDescent="0.4">
      <c r="B69" s="322"/>
      <c r="C69" s="164" t="s">
        <v>265</v>
      </c>
      <c r="E69" s="330"/>
      <c r="F69" s="177" t="s">
        <v>393</v>
      </c>
    </row>
    <row r="70" spans="2:6" ht="15" thickBot="1" x14ac:dyDescent="0.4">
      <c r="E70" s="71"/>
    </row>
    <row r="71" spans="2:6" ht="16" thickBot="1" x14ac:dyDescent="0.4">
      <c r="B71" s="166" t="s">
        <v>321</v>
      </c>
      <c r="C71" s="169" t="s">
        <v>266</v>
      </c>
      <c r="E71" s="178" t="s">
        <v>53</v>
      </c>
      <c r="F71" s="179" t="s">
        <v>394</v>
      </c>
    </row>
  </sheetData>
  <mergeCells count="26">
    <mergeCell ref="E68:E69"/>
    <mergeCell ref="E60:E62"/>
    <mergeCell ref="E51:E56"/>
    <mergeCell ref="E43:E48"/>
    <mergeCell ref="E36:E38"/>
    <mergeCell ref="E29:E30"/>
    <mergeCell ref="E40:E41"/>
    <mergeCell ref="E8:E11"/>
    <mergeCell ref="E4:E6"/>
    <mergeCell ref="E21:E24"/>
    <mergeCell ref="E26:E27"/>
    <mergeCell ref="E18:E19"/>
    <mergeCell ref="E13:E16"/>
    <mergeCell ref="B68:B69"/>
    <mergeCell ref="B29:B30"/>
    <mergeCell ref="B36:B38"/>
    <mergeCell ref="B40:B41"/>
    <mergeCell ref="B43:B49"/>
    <mergeCell ref="B51:B56"/>
    <mergeCell ref="B60:B62"/>
    <mergeCell ref="B26:B27"/>
    <mergeCell ref="B4:B6"/>
    <mergeCell ref="B8:B11"/>
    <mergeCell ref="B13:B16"/>
    <mergeCell ref="B18:B19"/>
    <mergeCell ref="B21:B24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4D14F9-91C6-4276-8FA5-E9D58DA4EC0A}">
  <sheetPr codeName="Hoja4"/>
  <dimension ref="A1:L12"/>
  <sheetViews>
    <sheetView showGridLines="0" topLeftCell="A8" workbookViewId="0">
      <selection activeCell="O7" sqref="O7"/>
    </sheetView>
  </sheetViews>
  <sheetFormatPr baseColWidth="10" defaultColWidth="10.81640625" defaultRowHeight="14.5" x14ac:dyDescent="0.35"/>
  <sheetData>
    <row r="1" spans="1:12" s="62" customFormat="1" x14ac:dyDescent="0.35">
      <c r="A1" s="334" t="s">
        <v>300</v>
      </c>
      <c r="B1" s="334"/>
      <c r="C1" s="334"/>
      <c r="D1" s="334"/>
      <c r="E1" s="334"/>
      <c r="F1" s="334"/>
      <c r="G1" s="334"/>
      <c r="H1" s="334"/>
      <c r="I1" s="334"/>
      <c r="J1" s="334"/>
      <c r="K1" s="334"/>
      <c r="L1" s="334"/>
    </row>
    <row r="2" spans="1:12" s="62" customFormat="1" x14ac:dyDescent="0.35">
      <c r="A2" s="334"/>
      <c r="B2" s="334"/>
      <c r="C2" s="334"/>
      <c r="D2" s="334"/>
      <c r="E2" s="334"/>
      <c r="F2" s="334"/>
      <c r="G2" s="334"/>
      <c r="H2" s="334"/>
      <c r="I2" s="334"/>
      <c r="J2" s="334"/>
      <c r="K2" s="334"/>
      <c r="L2" s="334"/>
    </row>
    <row r="3" spans="1:12" s="62" customFormat="1" x14ac:dyDescent="0.35">
      <c r="A3" s="334"/>
      <c r="B3" s="334"/>
      <c r="C3" s="334"/>
      <c r="D3" s="334"/>
      <c r="E3" s="334"/>
      <c r="F3" s="334"/>
      <c r="G3" s="334"/>
      <c r="H3" s="334"/>
      <c r="I3" s="334"/>
      <c r="J3" s="334"/>
      <c r="K3" s="334"/>
      <c r="L3" s="334"/>
    </row>
    <row r="5" spans="1:12" x14ac:dyDescent="0.35">
      <c r="D5" s="335"/>
      <c r="E5" s="335"/>
      <c r="F5" s="335"/>
      <c r="G5" s="335"/>
      <c r="H5" s="335"/>
      <c r="I5" s="335"/>
      <c r="J5" s="335"/>
      <c r="K5" s="335"/>
      <c r="L5" s="335"/>
    </row>
    <row r="6" spans="1:12" x14ac:dyDescent="0.35">
      <c r="D6" s="335"/>
      <c r="E6" s="335"/>
      <c r="F6" s="335"/>
      <c r="G6" s="335"/>
      <c r="H6" s="335"/>
      <c r="I6" s="335"/>
      <c r="J6" s="335"/>
      <c r="K6" s="335"/>
      <c r="L6" s="335"/>
    </row>
    <row r="7" spans="1:12" x14ac:dyDescent="0.35">
      <c r="D7" s="335"/>
      <c r="E7" s="335"/>
      <c r="F7" s="335"/>
      <c r="G7" s="335"/>
      <c r="H7" s="335"/>
      <c r="I7" s="335"/>
      <c r="J7" s="335"/>
      <c r="K7" s="335"/>
      <c r="L7" s="335"/>
    </row>
    <row r="8" spans="1:12" x14ac:dyDescent="0.35">
      <c r="D8" s="335"/>
      <c r="E8" s="335"/>
      <c r="F8" s="335"/>
      <c r="G8" s="335"/>
      <c r="H8" s="335"/>
      <c r="I8" s="335"/>
      <c r="J8" s="335"/>
      <c r="K8" s="335"/>
      <c r="L8" s="335"/>
    </row>
    <row r="9" spans="1:12" x14ac:dyDescent="0.35">
      <c r="D9" s="335"/>
      <c r="E9" s="335"/>
      <c r="F9" s="335"/>
      <c r="G9" s="335"/>
      <c r="H9" s="335"/>
      <c r="I9" s="335"/>
      <c r="J9" s="335"/>
      <c r="K9" s="335"/>
      <c r="L9" s="335"/>
    </row>
    <row r="10" spans="1:12" x14ac:dyDescent="0.35">
      <c r="D10" s="335"/>
      <c r="E10" s="335"/>
      <c r="F10" s="335"/>
      <c r="G10" s="335"/>
      <c r="H10" s="335"/>
      <c r="I10" s="335"/>
      <c r="J10" s="335"/>
      <c r="K10" s="335"/>
      <c r="L10" s="335"/>
    </row>
    <row r="11" spans="1:12" x14ac:dyDescent="0.35">
      <c r="D11" s="335"/>
      <c r="E11" s="335"/>
      <c r="F11" s="335"/>
      <c r="G11" s="335"/>
      <c r="H11" s="335"/>
      <c r="I11" s="335"/>
      <c r="J11" s="335"/>
      <c r="K11" s="335"/>
      <c r="L11" s="335"/>
    </row>
    <row r="12" spans="1:12" x14ac:dyDescent="0.35">
      <c r="D12" s="335"/>
      <c r="E12" s="335"/>
      <c r="F12" s="335"/>
      <c r="G12" s="335"/>
      <c r="H12" s="335"/>
      <c r="I12" s="335"/>
      <c r="J12" s="335"/>
      <c r="K12" s="335"/>
      <c r="L12" s="335"/>
    </row>
  </sheetData>
  <mergeCells count="2">
    <mergeCell ref="A1:L3"/>
    <mergeCell ref="D5:L12"/>
  </mergeCells>
  <pageMargins left="0.7" right="0.7" top="0.75" bottom="0.75" header="0.3" footer="0.3"/>
  <pageSetup orientation="portrait" verticalDpi="3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5"/>
  <dimension ref="A1:Q6"/>
  <sheetViews>
    <sheetView showGridLines="0" topLeftCell="A8" zoomScale="85" zoomScaleNormal="85" workbookViewId="0">
      <selection activeCell="F30" sqref="F30"/>
    </sheetView>
  </sheetViews>
  <sheetFormatPr baseColWidth="10" defaultColWidth="11.453125" defaultRowHeight="14.5" x14ac:dyDescent="0.35"/>
  <cols>
    <col min="2" max="2" width="12.453125" customWidth="1"/>
    <col min="6" max="6" width="23.1796875" bestFit="1" customWidth="1"/>
    <col min="7" max="7" width="6.54296875" customWidth="1"/>
    <col min="8" max="8" width="6.81640625" customWidth="1"/>
    <col min="9" max="9" width="8.54296875" bestFit="1" customWidth="1"/>
    <col min="10" max="10" width="9.1796875" bestFit="1" customWidth="1"/>
  </cols>
  <sheetData>
    <row r="1" spans="1:17" s="61" customFormat="1" ht="15.75" customHeight="1" x14ac:dyDescent="0.7">
      <c r="A1" s="336" t="s">
        <v>299</v>
      </c>
      <c r="B1" s="336"/>
      <c r="C1" s="336"/>
      <c r="D1" s="336"/>
      <c r="E1" s="336"/>
      <c r="F1" s="336"/>
      <c r="G1" s="336"/>
      <c r="H1" s="336"/>
      <c r="I1" s="336"/>
      <c r="J1" s="336"/>
      <c r="K1" s="336"/>
      <c r="L1" s="336"/>
      <c r="M1" s="336"/>
      <c r="N1" s="336"/>
      <c r="O1" s="336"/>
      <c r="P1" s="336"/>
      <c r="Q1" s="336"/>
    </row>
    <row r="2" spans="1:17" s="61" customFormat="1" ht="15.75" customHeight="1" x14ac:dyDescent="0.7">
      <c r="A2" s="336"/>
      <c r="B2" s="336"/>
      <c r="C2" s="336"/>
      <c r="D2" s="336"/>
      <c r="E2" s="336"/>
      <c r="F2" s="336"/>
      <c r="G2" s="336"/>
      <c r="H2" s="336"/>
      <c r="I2" s="336"/>
      <c r="J2" s="336"/>
      <c r="K2" s="336"/>
      <c r="L2" s="336"/>
      <c r="M2" s="336"/>
      <c r="N2" s="336"/>
      <c r="O2" s="336"/>
      <c r="P2" s="336"/>
      <c r="Q2" s="336"/>
    </row>
    <row r="3" spans="1:17" s="61" customFormat="1" ht="15.75" customHeight="1" x14ac:dyDescent="0.7">
      <c r="A3" s="336"/>
      <c r="B3" s="336"/>
      <c r="C3" s="336"/>
      <c r="D3" s="336"/>
      <c r="E3" s="336"/>
      <c r="F3" s="336"/>
      <c r="G3" s="336"/>
      <c r="H3" s="336"/>
      <c r="I3" s="336"/>
      <c r="J3" s="336"/>
      <c r="K3" s="336"/>
      <c r="L3" s="336"/>
      <c r="M3" s="336"/>
      <c r="N3" s="336"/>
      <c r="O3" s="336"/>
      <c r="P3" s="336"/>
      <c r="Q3" s="336"/>
    </row>
    <row r="5" spans="1:17" x14ac:dyDescent="0.35">
      <c r="B5" s="9"/>
    </row>
    <row r="6" spans="1:17" x14ac:dyDescent="0.35">
      <c r="G6" s="9"/>
      <c r="H6" s="9"/>
      <c r="I6" s="9"/>
    </row>
  </sheetData>
  <mergeCells count="1">
    <mergeCell ref="A1:Q3"/>
  </mergeCells>
  <pageMargins left="0.7" right="0.7" top="0.75" bottom="0.75" header="0.3" footer="0.3"/>
  <pageSetup orientation="portrait" verticalDpi="30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6"/>
  <dimension ref="A1:L73"/>
  <sheetViews>
    <sheetView showGridLines="0" topLeftCell="A3" zoomScaleNormal="100" workbookViewId="0">
      <selection activeCell="D15" sqref="D15"/>
    </sheetView>
  </sheetViews>
  <sheetFormatPr baseColWidth="10" defaultColWidth="11.453125" defaultRowHeight="14.5" x14ac:dyDescent="0.35"/>
  <cols>
    <col min="1" max="1" width="17.1796875" customWidth="1"/>
    <col min="2" max="2" width="21.90625" bestFit="1" customWidth="1"/>
    <col min="3" max="3" width="8.81640625" bestFit="1" customWidth="1"/>
    <col min="4" max="4" width="12" bestFit="1" customWidth="1"/>
    <col min="5" max="5" width="5.81640625" bestFit="1" customWidth="1"/>
    <col min="6" max="6" width="6.6328125" style="9" bestFit="1" customWidth="1"/>
    <col min="7" max="7" width="6.81640625" style="9" bestFit="1" customWidth="1"/>
    <col min="8" max="8" width="8.54296875" style="9" bestFit="1" customWidth="1"/>
    <col min="9" max="9" width="12.1796875" style="9" bestFit="1" customWidth="1"/>
    <col min="10" max="10" width="8.81640625" style="9" bestFit="1" customWidth="1"/>
    <col min="11" max="11" width="12.54296875" style="9" bestFit="1" customWidth="1"/>
    <col min="12" max="12" width="33.54296875" bestFit="1" customWidth="1"/>
    <col min="13" max="13" width="20.1796875" customWidth="1"/>
    <col min="14" max="14" width="18.81640625" customWidth="1"/>
    <col min="15" max="15" width="9.1796875" customWidth="1"/>
    <col min="16" max="16" width="14.81640625" customWidth="1"/>
    <col min="17" max="17" width="15.453125" customWidth="1"/>
    <col min="18" max="18" width="6.54296875" customWidth="1"/>
    <col min="19" max="20" width="7.1796875" customWidth="1"/>
    <col min="21" max="21" width="9.1796875" customWidth="1"/>
    <col min="23" max="23" width="21.54296875" customWidth="1"/>
    <col min="24" max="24" width="18.81640625" customWidth="1"/>
    <col min="25" max="25" width="24.1796875" customWidth="1"/>
  </cols>
  <sheetData>
    <row r="1" spans="1:12" s="62" customFormat="1" ht="18.75" customHeight="1" x14ac:dyDescent="0.35">
      <c r="A1" s="334" t="s">
        <v>301</v>
      </c>
      <c r="B1" s="334"/>
      <c r="C1" s="334"/>
      <c r="D1" s="334"/>
      <c r="E1" s="334"/>
      <c r="F1" s="334"/>
      <c r="G1" s="334"/>
      <c r="H1" s="334"/>
      <c r="I1" s="334"/>
      <c r="J1" s="334"/>
      <c r="K1" s="334"/>
      <c r="L1" s="334"/>
    </row>
    <row r="2" spans="1:12" s="62" customFormat="1" ht="15" customHeight="1" x14ac:dyDescent="0.35">
      <c r="A2" s="334"/>
      <c r="B2" s="334"/>
      <c r="C2" s="334"/>
      <c r="D2" s="334"/>
      <c r="E2" s="334"/>
      <c r="F2" s="334"/>
      <c r="G2" s="334"/>
      <c r="H2" s="334"/>
      <c r="I2" s="334"/>
      <c r="J2" s="334"/>
      <c r="K2" s="334"/>
      <c r="L2" s="334"/>
    </row>
    <row r="3" spans="1:12" s="62" customFormat="1" ht="15" customHeight="1" x14ac:dyDescent="0.35">
      <c r="A3" s="334"/>
      <c r="B3" s="334"/>
      <c r="C3" s="334"/>
      <c r="D3" s="334"/>
      <c r="E3" s="334"/>
      <c r="F3" s="334"/>
      <c r="G3" s="334"/>
      <c r="H3" s="334"/>
      <c r="I3" s="334"/>
      <c r="J3" s="334"/>
      <c r="K3" s="334"/>
      <c r="L3" s="334"/>
    </row>
    <row r="5" spans="1:12" x14ac:dyDescent="0.35">
      <c r="J5"/>
      <c r="K5"/>
    </row>
    <row r="6" spans="1:12" x14ac:dyDescent="0.35">
      <c r="J6"/>
      <c r="K6"/>
    </row>
    <row r="7" spans="1:12" x14ac:dyDescent="0.35">
      <c r="J7"/>
      <c r="K7"/>
    </row>
    <row r="8" spans="1:12" x14ac:dyDescent="0.35">
      <c r="J8"/>
      <c r="K8"/>
    </row>
    <row r="9" spans="1:12" x14ac:dyDescent="0.35">
      <c r="J9"/>
      <c r="K9"/>
    </row>
    <row r="10" spans="1:12" x14ac:dyDescent="0.35">
      <c r="J10"/>
      <c r="K10"/>
    </row>
    <row r="11" spans="1:12" x14ac:dyDescent="0.35">
      <c r="J11"/>
      <c r="K11"/>
    </row>
    <row r="12" spans="1:12" x14ac:dyDescent="0.35">
      <c r="J12"/>
      <c r="K12"/>
    </row>
    <row r="13" spans="1:12" x14ac:dyDescent="0.35">
      <c r="J13"/>
      <c r="K13"/>
    </row>
    <row r="14" spans="1:12" x14ac:dyDescent="0.35">
      <c r="B14" s="63" t="s">
        <v>443</v>
      </c>
      <c r="C14" s="64" t="s">
        <v>275</v>
      </c>
      <c r="D14" s="64" t="s">
        <v>323</v>
      </c>
      <c r="E14" s="64" t="s">
        <v>269</v>
      </c>
      <c r="F14" s="65" t="s">
        <v>4</v>
      </c>
      <c r="G14" s="64" t="s">
        <v>5</v>
      </c>
      <c r="H14" s="65" t="s">
        <v>6</v>
      </c>
      <c r="I14" s="66" t="s">
        <v>0</v>
      </c>
      <c r="J14"/>
      <c r="K14"/>
    </row>
    <row r="15" spans="1:12" x14ac:dyDescent="0.35">
      <c r="B15" s="258">
        <v>0.5</v>
      </c>
      <c r="C15" s="258">
        <v>9</v>
      </c>
      <c r="D15" s="6">
        <v>0.75</v>
      </c>
      <c r="E15" s="13">
        <v>0.95000000000000007</v>
      </c>
      <c r="F15" s="13">
        <v>0.58333333333333337</v>
      </c>
      <c r="G15" s="6">
        <v>0.25</v>
      </c>
      <c r="H15" s="13">
        <v>1</v>
      </c>
      <c r="I15" s="6">
        <v>0.64500000000000002</v>
      </c>
      <c r="J15"/>
      <c r="K15"/>
    </row>
    <row r="16" spans="1:12" x14ac:dyDescent="0.35">
      <c r="F16"/>
      <c r="G16"/>
      <c r="H16"/>
      <c r="I16"/>
      <c r="J16"/>
      <c r="K16"/>
    </row>
    <row r="17" customFormat="1" x14ac:dyDescent="0.35"/>
    <row r="18" customFormat="1" x14ac:dyDescent="0.35"/>
    <row r="19" customFormat="1" x14ac:dyDescent="0.35"/>
    <row r="20" customFormat="1" x14ac:dyDescent="0.35"/>
    <row r="21" customFormat="1" x14ac:dyDescent="0.35"/>
    <row r="22" customFormat="1" x14ac:dyDescent="0.35"/>
    <row r="23" customFormat="1" x14ac:dyDescent="0.35"/>
    <row r="24" customFormat="1" x14ac:dyDescent="0.35"/>
    <row r="25" customFormat="1" x14ac:dyDescent="0.35"/>
    <row r="26" customFormat="1" x14ac:dyDescent="0.35"/>
    <row r="27" customFormat="1" x14ac:dyDescent="0.35"/>
    <row r="28" customFormat="1" x14ac:dyDescent="0.35"/>
    <row r="29" customFormat="1" x14ac:dyDescent="0.35"/>
    <row r="30" customFormat="1" x14ac:dyDescent="0.35"/>
    <row r="31" customFormat="1" x14ac:dyDescent="0.35"/>
    <row r="32" customFormat="1" x14ac:dyDescent="0.35"/>
    <row r="33" customFormat="1" x14ac:dyDescent="0.35"/>
    <row r="34" customFormat="1" x14ac:dyDescent="0.35"/>
    <row r="35" customFormat="1" x14ac:dyDescent="0.35"/>
    <row r="36" customFormat="1" x14ac:dyDescent="0.35"/>
    <row r="37" customFormat="1" x14ac:dyDescent="0.35"/>
    <row r="38" customFormat="1" x14ac:dyDescent="0.35"/>
    <row r="39" customFormat="1" x14ac:dyDescent="0.35"/>
    <row r="40" customFormat="1" x14ac:dyDescent="0.35"/>
    <row r="41" customFormat="1" x14ac:dyDescent="0.35"/>
    <row r="42" customFormat="1" x14ac:dyDescent="0.35"/>
    <row r="43" customFormat="1" x14ac:dyDescent="0.35"/>
    <row r="44" customFormat="1" x14ac:dyDescent="0.35"/>
    <row r="45" customFormat="1" x14ac:dyDescent="0.35"/>
    <row r="46" customFormat="1" x14ac:dyDescent="0.35"/>
    <row r="47" customFormat="1" x14ac:dyDescent="0.35"/>
    <row r="48" customFormat="1" x14ac:dyDescent="0.35"/>
    <row r="49" customFormat="1" x14ac:dyDescent="0.35"/>
    <row r="50" customFormat="1" x14ac:dyDescent="0.35"/>
    <row r="51" customFormat="1" x14ac:dyDescent="0.35"/>
    <row r="52" customFormat="1" x14ac:dyDescent="0.35"/>
    <row r="53" customFormat="1" x14ac:dyDescent="0.35"/>
    <row r="54" customFormat="1" x14ac:dyDescent="0.35"/>
    <row r="55" customFormat="1" x14ac:dyDescent="0.35"/>
    <row r="56" customFormat="1" x14ac:dyDescent="0.35"/>
    <row r="57" customFormat="1" x14ac:dyDescent="0.35"/>
    <row r="58" customFormat="1" x14ac:dyDescent="0.35"/>
    <row r="59" customFormat="1" x14ac:dyDescent="0.35"/>
    <row r="60" customFormat="1" x14ac:dyDescent="0.35"/>
    <row r="61" customFormat="1" x14ac:dyDescent="0.35"/>
    <row r="62" customFormat="1" x14ac:dyDescent="0.35"/>
    <row r="63" customFormat="1" x14ac:dyDescent="0.35"/>
    <row r="64" customFormat="1" x14ac:dyDescent="0.35"/>
    <row r="65" customFormat="1" x14ac:dyDescent="0.35"/>
    <row r="66" customFormat="1" x14ac:dyDescent="0.35"/>
    <row r="67" customFormat="1" x14ac:dyDescent="0.35"/>
    <row r="68" customFormat="1" x14ac:dyDescent="0.35"/>
    <row r="69" customFormat="1" x14ac:dyDescent="0.35"/>
    <row r="70" customFormat="1" x14ac:dyDescent="0.35"/>
    <row r="71" customFormat="1" x14ac:dyDescent="0.35"/>
    <row r="72" customFormat="1" x14ac:dyDescent="0.35"/>
    <row r="73" customFormat="1" x14ac:dyDescent="0.35"/>
  </sheetData>
  <mergeCells count="1">
    <mergeCell ref="A1:L3"/>
  </mergeCells>
  <conditionalFormatting pivot="1" sqref="I15">
    <cfRule type="cellIs" dxfId="99" priority="4" operator="between">
      <formula>0.85</formula>
      <formula>0.89</formula>
    </cfRule>
  </conditionalFormatting>
  <conditionalFormatting pivot="1" sqref="I15">
    <cfRule type="cellIs" dxfId="98" priority="3" operator="between">
      <formula>0.9</formula>
      <formula>0.94</formula>
    </cfRule>
  </conditionalFormatting>
  <conditionalFormatting pivot="1" sqref="I15">
    <cfRule type="cellIs" dxfId="97" priority="2" operator="lessThanOrEqual">
      <formula>0.84</formula>
    </cfRule>
  </conditionalFormatting>
  <conditionalFormatting pivot="1" sqref="I15">
    <cfRule type="cellIs" dxfId="96" priority="1" operator="greaterThanOrEqual">
      <formula>0.95</formula>
    </cfRule>
  </conditionalFormatting>
  <pageMargins left="0.7" right="0.7" top="0.75" bottom="0.75" header="0.3" footer="0.3"/>
  <pageSetup orientation="portrait" r:id="rId2"/>
  <drawing r:id="rId3"/>
  <extLst>
    <ext xmlns:x14="http://schemas.microsoft.com/office/spreadsheetml/2009/9/main" uri="{A8765BA9-456A-4dab-B4F3-ACF838C121DE}">
      <x14:slicerList>
        <x14:slicer r:id="rId4"/>
      </x14:slicerList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7"/>
  <dimension ref="A1:N68"/>
  <sheetViews>
    <sheetView showGridLines="0" topLeftCell="A3" zoomScale="90" zoomScaleNormal="90" workbookViewId="0">
      <selection activeCell="B15" sqref="B15:B20"/>
      <pivotSelection pane="bottomRight" showHeader="1" axis="axisRow" activeRow="20" activeCol="1" previousRow="20" previousCol="1" click="1" r:id="rId1">
        <pivotArea dataOnly="0" labelOnly="1" fieldPosition="0">
          <references count="1">
            <reference field="0" count="0"/>
          </references>
        </pivotArea>
      </pivotSelection>
    </sheetView>
  </sheetViews>
  <sheetFormatPr baseColWidth="10" defaultColWidth="11.453125" defaultRowHeight="14.5" x14ac:dyDescent="0.35"/>
  <cols>
    <col min="1" max="1" width="14.453125" customWidth="1"/>
    <col min="2" max="2" width="31.1796875" bestFit="1" customWidth="1"/>
    <col min="3" max="3" width="20.08984375" bestFit="1" customWidth="1"/>
    <col min="4" max="4" width="9.453125" bestFit="1" customWidth="1"/>
    <col min="5" max="5" width="12.26953125" bestFit="1" customWidth="1"/>
    <col min="6" max="6" width="5.90625" style="9" bestFit="1" customWidth="1"/>
    <col min="7" max="7" width="7.90625" style="9" bestFit="1" customWidth="1"/>
    <col min="8" max="8" width="7" style="9" bestFit="1" customWidth="1"/>
    <col min="9" max="9" width="8.81640625" style="9" bestFit="1" customWidth="1"/>
    <col min="10" max="11" width="12.54296875" style="9" bestFit="1" customWidth="1"/>
    <col min="12" max="12" width="15.81640625" customWidth="1"/>
  </cols>
  <sheetData>
    <row r="1" spans="1:14" s="67" customFormat="1" ht="21" customHeight="1" x14ac:dyDescent="0.35">
      <c r="A1" s="337" t="s">
        <v>302</v>
      </c>
      <c r="B1" s="337"/>
      <c r="C1" s="337"/>
      <c r="D1" s="337"/>
      <c r="E1" s="337"/>
      <c r="F1" s="337"/>
      <c r="G1" s="337"/>
      <c r="H1" s="337"/>
      <c r="I1" s="337"/>
      <c r="J1" s="337"/>
      <c r="K1" s="337"/>
      <c r="L1" s="337"/>
    </row>
    <row r="2" spans="1:14" s="67" customFormat="1" ht="21" customHeight="1" x14ac:dyDescent="0.35">
      <c r="A2" s="337"/>
      <c r="B2" s="337"/>
      <c r="C2" s="337"/>
      <c r="D2" s="337"/>
      <c r="E2" s="337"/>
      <c r="F2" s="337"/>
      <c r="G2" s="337"/>
      <c r="H2" s="337"/>
      <c r="I2" s="337"/>
      <c r="J2" s="337"/>
      <c r="K2" s="337"/>
      <c r="L2" s="337"/>
    </row>
    <row r="3" spans="1:14" s="67" customFormat="1" ht="21" customHeight="1" x14ac:dyDescent="0.35">
      <c r="A3" s="337"/>
      <c r="B3" s="337"/>
      <c r="C3" s="337"/>
      <c r="D3" s="337"/>
      <c r="E3" s="337"/>
      <c r="F3" s="337"/>
      <c r="G3" s="337"/>
      <c r="H3" s="337"/>
      <c r="I3" s="337"/>
      <c r="J3" s="337"/>
      <c r="K3" s="337"/>
      <c r="L3" s="337"/>
    </row>
    <row r="14" spans="1:14" x14ac:dyDescent="0.35">
      <c r="B14" s="8" t="s">
        <v>2</v>
      </c>
      <c r="C14" s="68" t="s">
        <v>442</v>
      </c>
      <c r="D14" s="69" t="s">
        <v>322</v>
      </c>
      <c r="E14" s="259" t="s">
        <v>323</v>
      </c>
      <c r="F14" s="69" t="s">
        <v>269</v>
      </c>
      <c r="G14" s="70" t="s">
        <v>4</v>
      </c>
      <c r="H14" s="70" t="s">
        <v>5</v>
      </c>
      <c r="I14" s="70" t="s">
        <v>6</v>
      </c>
      <c r="J14" s="70" t="s">
        <v>0</v>
      </c>
      <c r="K14"/>
      <c r="N14" s="82"/>
    </row>
    <row r="15" spans="1:14" x14ac:dyDescent="0.35">
      <c r="B15" s="4" t="s">
        <v>428</v>
      </c>
      <c r="C15" s="363">
        <v>2</v>
      </c>
      <c r="D15" s="363">
        <v>1</v>
      </c>
      <c r="E15" s="5">
        <v>0.5</v>
      </c>
      <c r="F15" s="48">
        <v>1</v>
      </c>
      <c r="G15" s="5">
        <v>1</v>
      </c>
      <c r="H15" s="5">
        <v>0.5</v>
      </c>
      <c r="I15" s="5">
        <v>1</v>
      </c>
      <c r="J15" s="12">
        <v>0.85</v>
      </c>
      <c r="K15"/>
    </row>
    <row r="16" spans="1:14" x14ac:dyDescent="0.35">
      <c r="B16" s="4" t="s">
        <v>429</v>
      </c>
      <c r="C16" s="363">
        <v>2</v>
      </c>
      <c r="D16" s="363">
        <v>1</v>
      </c>
      <c r="E16" s="5">
        <v>0.5</v>
      </c>
      <c r="F16" s="48">
        <v>0.85</v>
      </c>
      <c r="G16" s="5">
        <v>1</v>
      </c>
      <c r="H16" s="5">
        <v>0.5</v>
      </c>
      <c r="I16" s="5">
        <v>1</v>
      </c>
      <c r="J16" s="12">
        <v>0.83499999999999996</v>
      </c>
      <c r="K16"/>
    </row>
    <row r="17" spans="2:10" customFormat="1" x14ac:dyDescent="0.35">
      <c r="B17" s="4" t="s">
        <v>433</v>
      </c>
      <c r="C17" s="363">
        <v>2</v>
      </c>
      <c r="D17" s="363">
        <v>1</v>
      </c>
      <c r="E17" s="5">
        <v>0.5</v>
      </c>
      <c r="F17" s="48">
        <v>0.85</v>
      </c>
      <c r="G17" s="5">
        <v>1</v>
      </c>
      <c r="H17" s="5">
        <v>0.5</v>
      </c>
      <c r="I17" s="5">
        <v>1</v>
      </c>
      <c r="J17" s="12">
        <v>0.83499999999999996</v>
      </c>
    </row>
    <row r="18" spans="2:10" customFormat="1" x14ac:dyDescent="0.35">
      <c r="B18" s="4" t="s">
        <v>434</v>
      </c>
      <c r="C18" s="363">
        <v>2</v>
      </c>
      <c r="D18" s="363">
        <v>2</v>
      </c>
      <c r="E18" s="5">
        <v>1</v>
      </c>
      <c r="F18" s="48">
        <v>1</v>
      </c>
      <c r="G18" s="5">
        <v>0.5</v>
      </c>
      <c r="H18" s="5">
        <v>0</v>
      </c>
      <c r="I18" s="5">
        <v>1</v>
      </c>
      <c r="J18" s="12">
        <v>0.55000000000000004</v>
      </c>
    </row>
    <row r="19" spans="2:10" customFormat="1" x14ac:dyDescent="0.35">
      <c r="B19" s="4" t="s">
        <v>436</v>
      </c>
      <c r="C19" s="363">
        <v>2</v>
      </c>
      <c r="D19" s="363">
        <v>2</v>
      </c>
      <c r="E19" s="5">
        <v>1</v>
      </c>
      <c r="F19" s="48">
        <v>1</v>
      </c>
      <c r="G19" s="5">
        <v>0</v>
      </c>
      <c r="H19" s="5">
        <v>0</v>
      </c>
      <c r="I19" s="5">
        <v>1</v>
      </c>
      <c r="J19" s="12">
        <v>0.4</v>
      </c>
    </row>
    <row r="20" spans="2:10" customFormat="1" x14ac:dyDescent="0.35">
      <c r="B20" s="4" t="s">
        <v>437</v>
      </c>
      <c r="C20" s="363">
        <v>2</v>
      </c>
      <c r="D20" s="363">
        <v>2</v>
      </c>
      <c r="E20" s="5">
        <v>1</v>
      </c>
      <c r="F20" s="48">
        <v>1</v>
      </c>
      <c r="G20" s="5">
        <v>0</v>
      </c>
      <c r="H20" s="5">
        <v>0</v>
      </c>
      <c r="I20" s="5">
        <v>1</v>
      </c>
      <c r="J20" s="12">
        <v>0.4</v>
      </c>
    </row>
    <row r="21" spans="2:10" customFormat="1" x14ac:dyDescent="0.35">
      <c r="B21" s="2" t="s">
        <v>438</v>
      </c>
      <c r="C21" s="364">
        <v>12</v>
      </c>
      <c r="D21" s="364">
        <v>9</v>
      </c>
      <c r="E21" s="6">
        <v>0.75</v>
      </c>
      <c r="F21" s="13">
        <v>0.95000000000000007</v>
      </c>
      <c r="G21" s="361">
        <v>0.58333333333333337</v>
      </c>
      <c r="H21" s="6">
        <v>0.25</v>
      </c>
      <c r="I21" s="361">
        <v>1</v>
      </c>
      <c r="J21" s="13">
        <v>0.64500000000000013</v>
      </c>
    </row>
    <row r="22" spans="2:10" customFormat="1" x14ac:dyDescent="0.35"/>
    <row r="23" spans="2:10" customFormat="1" x14ac:dyDescent="0.35"/>
    <row r="24" spans="2:10" customFormat="1" x14ac:dyDescent="0.35"/>
    <row r="25" spans="2:10" customFormat="1" x14ac:dyDescent="0.35"/>
    <row r="26" spans="2:10" customFormat="1" x14ac:dyDescent="0.35"/>
    <row r="27" spans="2:10" customFormat="1" x14ac:dyDescent="0.35"/>
    <row r="28" spans="2:10" customFormat="1" x14ac:dyDescent="0.35"/>
    <row r="29" spans="2:10" customFormat="1" x14ac:dyDescent="0.35"/>
    <row r="30" spans="2:10" customFormat="1" x14ac:dyDescent="0.35"/>
    <row r="31" spans="2:10" customFormat="1" x14ac:dyDescent="0.35"/>
    <row r="32" spans="2:10" customFormat="1" x14ac:dyDescent="0.35"/>
    <row r="33" customFormat="1" x14ac:dyDescent="0.35"/>
    <row r="34" customFormat="1" x14ac:dyDescent="0.35"/>
    <row r="35" customFormat="1" x14ac:dyDescent="0.35"/>
    <row r="36" customFormat="1" x14ac:dyDescent="0.35"/>
    <row r="37" customFormat="1" x14ac:dyDescent="0.35"/>
    <row r="38" customFormat="1" x14ac:dyDescent="0.35"/>
    <row r="39" customFormat="1" x14ac:dyDescent="0.35"/>
    <row r="40" customFormat="1" x14ac:dyDescent="0.35"/>
    <row r="41" customFormat="1" x14ac:dyDescent="0.35"/>
    <row r="42" customFormat="1" x14ac:dyDescent="0.35"/>
    <row r="43" customFormat="1" x14ac:dyDescent="0.35"/>
    <row r="44" customFormat="1" x14ac:dyDescent="0.35"/>
    <row r="45" customFormat="1" x14ac:dyDescent="0.35"/>
    <row r="46" customFormat="1" x14ac:dyDescent="0.35"/>
    <row r="47" customFormat="1" x14ac:dyDescent="0.35"/>
    <row r="48" customFormat="1" x14ac:dyDescent="0.35"/>
    <row r="49" customFormat="1" x14ac:dyDescent="0.35"/>
    <row r="50" customFormat="1" x14ac:dyDescent="0.35"/>
    <row r="51" customFormat="1" x14ac:dyDescent="0.35"/>
    <row r="52" customFormat="1" x14ac:dyDescent="0.35"/>
    <row r="53" customFormat="1" x14ac:dyDescent="0.35"/>
    <row r="54" customFormat="1" x14ac:dyDescent="0.35"/>
    <row r="55" customFormat="1" x14ac:dyDescent="0.35"/>
    <row r="56" customFormat="1" x14ac:dyDescent="0.35"/>
    <row r="57" customFormat="1" x14ac:dyDescent="0.35"/>
    <row r="58" customFormat="1" x14ac:dyDescent="0.35"/>
    <row r="59" customFormat="1" x14ac:dyDescent="0.35"/>
    <row r="60" customFormat="1" x14ac:dyDescent="0.35"/>
    <row r="61" customFormat="1" x14ac:dyDescent="0.35"/>
    <row r="62" customFormat="1" x14ac:dyDescent="0.35"/>
    <row r="63" customFormat="1" x14ac:dyDescent="0.35"/>
    <row r="64" customFormat="1" x14ac:dyDescent="0.35"/>
    <row r="65" customFormat="1" x14ac:dyDescent="0.35"/>
    <row r="66" customFormat="1" x14ac:dyDescent="0.35"/>
    <row r="67" customFormat="1" x14ac:dyDescent="0.35"/>
    <row r="68" customFormat="1" x14ac:dyDescent="0.35"/>
  </sheetData>
  <mergeCells count="1">
    <mergeCell ref="A1:L3"/>
  </mergeCells>
  <conditionalFormatting pivot="1" sqref="J15:J21">
    <cfRule type="cellIs" dxfId="95" priority="4" operator="lessThan">
      <formula>0.6</formula>
    </cfRule>
  </conditionalFormatting>
  <conditionalFormatting pivot="1" sqref="J15:J21">
    <cfRule type="cellIs" dxfId="94" priority="3" operator="greaterThan">
      <formula>0.8</formula>
    </cfRule>
  </conditionalFormatting>
  <conditionalFormatting pivot="1" sqref="J15:J21">
    <cfRule type="cellIs" dxfId="93" priority="2" operator="between">
      <formula>0.61</formula>
      <formula>0.74</formula>
    </cfRule>
  </conditionalFormatting>
  <conditionalFormatting pivot="1" sqref="J15:J21">
    <cfRule type="cellIs" dxfId="92" priority="1" operator="between">
      <formula>0.75</formula>
      <formula>0.8</formula>
    </cfRule>
  </conditionalFormatting>
  <pageMargins left="0.7" right="0.7" top="0.75" bottom="0.75" header="0.3" footer="0.3"/>
  <pageSetup orientation="portrait" r:id="rId2"/>
  <drawing r:id="rId3"/>
  <extLst>
    <ext xmlns:x14="http://schemas.microsoft.com/office/spreadsheetml/2009/9/main" uri="{A8765BA9-456A-4dab-B4F3-ACF838C121DE}">
      <x14:slicerList>
        <x14:slicer r:id="rId4"/>
      </x14:slicerList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8"/>
  <dimension ref="A1:W1007"/>
  <sheetViews>
    <sheetView showGridLines="0" topLeftCell="A4" zoomScaleNormal="100" workbookViewId="0">
      <selection activeCell="C13" sqref="C13"/>
    </sheetView>
  </sheetViews>
  <sheetFormatPr baseColWidth="10" defaultColWidth="11.453125" defaultRowHeight="14.5" x14ac:dyDescent="0.35"/>
  <cols>
    <col min="1" max="1" width="25.54296875" customWidth="1"/>
    <col min="2" max="2" width="20.54296875" customWidth="1"/>
    <col min="3" max="3" width="12.7265625" bestFit="1" customWidth="1"/>
    <col min="4" max="5" width="8.81640625" bestFit="1" customWidth="1"/>
    <col min="6" max="6" width="11.08984375" bestFit="1" customWidth="1"/>
    <col min="7" max="8" width="7.81640625" bestFit="1" customWidth="1"/>
    <col min="9" max="9" width="6.81640625" bestFit="1" customWidth="1"/>
    <col min="10" max="10" width="8.54296875" bestFit="1" customWidth="1"/>
    <col min="11" max="11" width="6.26953125" bestFit="1" customWidth="1"/>
    <col min="12" max="12" width="9.1796875" customWidth="1"/>
    <col min="13" max="13" width="13.81640625" customWidth="1"/>
    <col min="14" max="14" width="9.1796875" customWidth="1"/>
    <col min="15" max="15" width="13.90625" bestFit="1" customWidth="1"/>
    <col min="16" max="16" width="1.81640625" bestFit="1" customWidth="1"/>
    <col min="17" max="17" width="17.54296875" customWidth="1"/>
    <col min="18" max="18" width="21.1796875" bestFit="1" customWidth="1"/>
  </cols>
  <sheetData>
    <row r="1" spans="1:23" s="67" customFormat="1" ht="21" customHeight="1" x14ac:dyDescent="0.35">
      <c r="A1" s="337" t="s">
        <v>303</v>
      </c>
      <c r="B1" s="337"/>
      <c r="C1" s="337"/>
      <c r="D1" s="337"/>
      <c r="E1" s="337"/>
      <c r="F1" s="337"/>
      <c r="G1" s="337"/>
      <c r="H1" s="337"/>
      <c r="I1" s="337"/>
      <c r="J1" s="337"/>
      <c r="K1" s="337"/>
      <c r="L1" s="337"/>
      <c r="M1" s="72"/>
    </row>
    <row r="2" spans="1:23" s="67" customFormat="1" ht="26" x14ac:dyDescent="0.35">
      <c r="A2" s="337"/>
      <c r="B2" s="337"/>
      <c r="C2" s="337"/>
      <c r="D2" s="337"/>
      <c r="E2" s="337"/>
      <c r="F2" s="337"/>
      <c r="G2" s="337"/>
      <c r="H2" s="337"/>
      <c r="I2" s="337"/>
      <c r="J2" s="337"/>
      <c r="K2" s="337"/>
      <c r="L2" s="337"/>
      <c r="M2" s="72"/>
    </row>
    <row r="3" spans="1:23" s="67" customFormat="1" ht="26" x14ac:dyDescent="0.35">
      <c r="A3" s="337"/>
      <c r="B3" s="337"/>
      <c r="C3" s="337"/>
      <c r="D3" s="337"/>
      <c r="E3" s="337"/>
      <c r="F3" s="337"/>
      <c r="G3" s="337"/>
      <c r="H3" s="337"/>
      <c r="I3" s="337"/>
      <c r="J3" s="337"/>
      <c r="K3" s="337"/>
      <c r="L3" s="337"/>
      <c r="M3" s="72"/>
      <c r="T3" s="73"/>
      <c r="U3" s="73"/>
      <c r="V3" s="73"/>
      <c r="W3" s="73"/>
    </row>
    <row r="4" spans="1:23" ht="25.5" customHeight="1" x14ac:dyDescent="0.35">
      <c r="T4" s="71"/>
      <c r="U4" s="71"/>
      <c r="V4" s="71"/>
      <c r="W4" s="71"/>
    </row>
    <row r="5" spans="1:23" ht="25.5" customHeight="1" x14ac:dyDescent="0.35">
      <c r="T5" s="71"/>
      <c r="U5" s="71"/>
      <c r="V5" s="71"/>
      <c r="W5" s="71"/>
    </row>
    <row r="6" spans="1:23" ht="25.5" customHeight="1" x14ac:dyDescent="0.35">
      <c r="T6" s="71"/>
      <c r="U6" s="71"/>
      <c r="V6" s="71"/>
      <c r="W6" s="71"/>
    </row>
    <row r="7" spans="1:23" ht="25.5" customHeight="1" x14ac:dyDescent="0.35">
      <c r="T7" s="71"/>
      <c r="U7" s="71"/>
      <c r="V7" s="71"/>
      <c r="W7" s="71"/>
    </row>
    <row r="8" spans="1:23" ht="25.5" customHeight="1" x14ac:dyDescent="0.35"/>
    <row r="9" spans="1:23" ht="25.5" customHeight="1" thickBot="1" x14ac:dyDescent="0.4">
      <c r="T9" s="338" t="s">
        <v>277</v>
      </c>
      <c r="U9" s="338"/>
      <c r="V9" s="338"/>
      <c r="W9" s="338"/>
    </row>
    <row r="10" spans="1:23" ht="15" thickTop="1" x14ac:dyDescent="0.35">
      <c r="B10" s="8" t="s">
        <v>332</v>
      </c>
      <c r="C10" s="74" t="s">
        <v>271</v>
      </c>
      <c r="D10" s="15" t="s">
        <v>423</v>
      </c>
      <c r="E10" s="74" t="s">
        <v>275</v>
      </c>
      <c r="F10" s="74" t="s">
        <v>276</v>
      </c>
      <c r="G10" s="69" t="s">
        <v>1</v>
      </c>
      <c r="H10" s="75" t="s">
        <v>4</v>
      </c>
      <c r="I10" s="257" t="s">
        <v>5</v>
      </c>
      <c r="J10" s="75" t="s">
        <v>6</v>
      </c>
      <c r="K10" s="74" t="s">
        <v>267</v>
      </c>
      <c r="L10" s="76" t="s">
        <v>274</v>
      </c>
      <c r="M10" s="81" t="s">
        <v>325</v>
      </c>
      <c r="O10" s="74" t="s">
        <v>304</v>
      </c>
      <c r="P10" s="74"/>
      <c r="T10" s="52" t="s">
        <v>278</v>
      </c>
      <c r="U10" s="52" t="s">
        <v>279</v>
      </c>
      <c r="V10" s="52" t="s">
        <v>280</v>
      </c>
      <c r="W10" s="52" t="s">
        <v>281</v>
      </c>
    </row>
    <row r="11" spans="1:23" x14ac:dyDescent="0.35">
      <c r="B11" s="1" t="s">
        <v>428</v>
      </c>
      <c r="C11" s="1" t="s">
        <v>272</v>
      </c>
      <c r="D11" s="246">
        <v>2</v>
      </c>
      <c r="E11" s="256">
        <v>1</v>
      </c>
      <c r="F11" s="49">
        <v>0.5</v>
      </c>
      <c r="G11" s="5">
        <v>1</v>
      </c>
      <c r="H11" s="5">
        <v>1</v>
      </c>
      <c r="I11" s="5">
        <v>0.5</v>
      </c>
      <c r="J11" s="5">
        <v>1</v>
      </c>
      <c r="K11" s="14">
        <v>0.85</v>
      </c>
      <c r="L11" s="52" t="str">
        <f>IF(B11="Total general","",IF(K11="","",CONCATENATE("Q",IF(K11&gt;$U$11,1,IF((AND(K11&gt;$V$11,K11&lt;=$U$11)),2,IF(AND(K11&gt;$W$11,K11&lt;=$V$11),3,IF(K11&lt;=$W$11,4)))))))</f>
        <v>Q1</v>
      </c>
      <c r="M11" t="str">
        <f>IF(B11="Total general","",IF(K11="","",IF(AND(C11=$T$16,K11&gt;=$T$17),"Cumple",IF(AND(C11=$U$16,K11&gt;=$U$17),"Cumple",IF(AND(C11=$V$16,K11&gt;=$V$17),"Cumple","No Cumple")))))</f>
        <v>Cumple</v>
      </c>
      <c r="O11" s="4" t="s">
        <v>268</v>
      </c>
      <c r="P11" s="256">
        <v>6</v>
      </c>
      <c r="T11" s="46">
        <v>0.8</v>
      </c>
      <c r="U11" s="46">
        <v>0.75</v>
      </c>
      <c r="V11" s="46">
        <v>0.7</v>
      </c>
      <c r="W11" s="46">
        <v>0.61</v>
      </c>
    </row>
    <row r="12" spans="1:23" x14ac:dyDescent="0.35">
      <c r="B12" s="1" t="s">
        <v>429</v>
      </c>
      <c r="C12" s="1" t="s">
        <v>272</v>
      </c>
      <c r="D12" s="246">
        <v>2</v>
      </c>
      <c r="E12" s="256">
        <v>1</v>
      </c>
      <c r="F12" s="49">
        <v>0.5</v>
      </c>
      <c r="G12" s="5">
        <v>0.85</v>
      </c>
      <c r="H12" s="5">
        <v>1</v>
      </c>
      <c r="I12" s="5">
        <v>0.5</v>
      </c>
      <c r="J12" s="5">
        <v>1</v>
      </c>
      <c r="K12" s="14">
        <v>0.83499999999999996</v>
      </c>
      <c r="L12" s="52" t="str">
        <f t="shared" ref="L12:L75" si="0">IF(B12="Total general","",IF(K12="","",CONCATENATE("Q",IF(K12&gt;$U$11,1,IF((AND(K12&gt;$V$11,K12&lt;=$U$11)),2,IF(AND(K12&gt;$W$11,K12&lt;=$V$11),3,IF(K12&lt;=$W$11,4)))))))</f>
        <v>Q1</v>
      </c>
      <c r="M12" t="str">
        <f t="shared" ref="M12:M75" si="1">IF(B12="Total general","",IF(K12="","",IF(AND(C12=$T$16,K12&gt;=$T$17),"Cumple",IF(AND(C12=$U$16,K12&gt;=$U$17),"Cumple",IF(AND(C12=$V$16,K12&gt;=$V$17),"Cumple","No Cumple")))))</f>
        <v>Cumple</v>
      </c>
      <c r="O12" s="4" t="s">
        <v>287</v>
      </c>
      <c r="P12" s="256">
        <v>9</v>
      </c>
      <c r="T12" s="52">
        <f>COUNTIF(L:L,"Q1")</f>
        <v>3</v>
      </c>
      <c r="U12" s="52">
        <f>COUNTIF(L:L,"Q2")</f>
        <v>0</v>
      </c>
      <c r="V12" s="52">
        <f>COUNTIF(L:L,"Q3")</f>
        <v>0</v>
      </c>
      <c r="W12" s="52">
        <f>COUNTIF(L:L,"Q4")</f>
        <v>3</v>
      </c>
    </row>
    <row r="13" spans="1:23" x14ac:dyDescent="0.35">
      <c r="B13" s="1" t="s">
        <v>433</v>
      </c>
      <c r="C13" s="1" t="s">
        <v>272</v>
      </c>
      <c r="D13" s="246">
        <v>2</v>
      </c>
      <c r="E13" s="256">
        <v>1</v>
      </c>
      <c r="F13" s="49">
        <v>0.5</v>
      </c>
      <c r="G13" s="5">
        <v>0.85</v>
      </c>
      <c r="H13" s="5">
        <v>1</v>
      </c>
      <c r="I13" s="5">
        <v>0.5</v>
      </c>
      <c r="J13" s="5">
        <v>1</v>
      </c>
      <c r="K13" s="14">
        <v>0.83499999999999996</v>
      </c>
      <c r="L13" s="52" t="str">
        <f t="shared" si="0"/>
        <v>Q1</v>
      </c>
      <c r="M13" t="str">
        <f t="shared" si="1"/>
        <v>Cumple</v>
      </c>
    </row>
    <row r="14" spans="1:23" x14ac:dyDescent="0.35">
      <c r="B14" s="1" t="s">
        <v>434</v>
      </c>
      <c r="C14" s="1" t="s">
        <v>272</v>
      </c>
      <c r="D14" s="246">
        <v>2</v>
      </c>
      <c r="E14" s="256">
        <v>2</v>
      </c>
      <c r="F14" s="49">
        <v>1</v>
      </c>
      <c r="G14" s="5">
        <v>1</v>
      </c>
      <c r="H14" s="5">
        <v>0.5</v>
      </c>
      <c r="I14" s="5">
        <v>0</v>
      </c>
      <c r="J14" s="5">
        <v>1</v>
      </c>
      <c r="K14" s="14">
        <v>0.55000000000000004</v>
      </c>
      <c r="L14" s="52" t="str">
        <f t="shared" si="0"/>
        <v>Q4</v>
      </c>
      <c r="M14" t="str">
        <f t="shared" si="1"/>
        <v>No Cumple</v>
      </c>
    </row>
    <row r="15" spans="1:23" x14ac:dyDescent="0.35">
      <c r="B15" s="1" t="s">
        <v>436</v>
      </c>
      <c r="C15" s="1" t="s">
        <v>272</v>
      </c>
      <c r="D15" s="246">
        <v>2</v>
      </c>
      <c r="E15" s="256">
        <v>2</v>
      </c>
      <c r="F15" s="49">
        <v>1</v>
      </c>
      <c r="G15" s="5">
        <v>1</v>
      </c>
      <c r="H15" s="5">
        <v>0</v>
      </c>
      <c r="I15" s="5">
        <v>0</v>
      </c>
      <c r="J15" s="5">
        <v>1</v>
      </c>
      <c r="K15" s="14">
        <v>0.4</v>
      </c>
      <c r="L15" s="52" t="str">
        <f t="shared" si="0"/>
        <v>Q4</v>
      </c>
      <c r="M15" t="str">
        <f t="shared" si="1"/>
        <v>No Cumple</v>
      </c>
    </row>
    <row r="16" spans="1:23" x14ac:dyDescent="0.35">
      <c r="B16" s="1" t="s">
        <v>437</v>
      </c>
      <c r="C16" s="1" t="s">
        <v>272</v>
      </c>
      <c r="D16" s="246">
        <v>2</v>
      </c>
      <c r="E16" s="256">
        <v>2</v>
      </c>
      <c r="F16" s="49">
        <v>1</v>
      </c>
      <c r="G16" s="5">
        <v>1</v>
      </c>
      <c r="H16" s="5">
        <v>0</v>
      </c>
      <c r="I16" s="5">
        <v>0</v>
      </c>
      <c r="J16" s="5">
        <v>1</v>
      </c>
      <c r="K16" s="14">
        <v>0.4</v>
      </c>
      <c r="L16" s="52" t="str">
        <f t="shared" si="0"/>
        <v>Q4</v>
      </c>
      <c r="M16" t="str">
        <f t="shared" si="1"/>
        <v>No Cumple</v>
      </c>
      <c r="T16" s="79" t="s">
        <v>272</v>
      </c>
      <c r="U16" s="79" t="s">
        <v>324</v>
      </c>
      <c r="V16" s="79" t="s">
        <v>273</v>
      </c>
    </row>
    <row r="17" spans="2:22" x14ac:dyDescent="0.35">
      <c r="B17" s="3" t="s">
        <v>438</v>
      </c>
      <c r="C17" s="3"/>
      <c r="D17" s="246">
        <v>12</v>
      </c>
      <c r="E17" s="256">
        <v>9</v>
      </c>
      <c r="F17" s="49">
        <v>0.75</v>
      </c>
      <c r="G17" s="5">
        <v>0.95000000000000007</v>
      </c>
      <c r="H17" s="5">
        <v>0.58333333333333337</v>
      </c>
      <c r="I17" s="5">
        <v>0.25</v>
      </c>
      <c r="J17" s="5">
        <v>1</v>
      </c>
      <c r="K17" s="14">
        <v>0.64500000000000013</v>
      </c>
      <c r="L17" s="52" t="str">
        <f t="shared" ref="L17" si="2">IF(B17="Total general","",IF(K17="","",CONCATENATE("Q",IF(K17&gt;$U$11,1,IF((AND(K17&gt;$V$11,K17&lt;=$U$11)),2,IF(AND(K17&gt;$W$11,K17&lt;=$V$11),3,IF(K17&lt;=$W$11,4)))))))</f>
        <v/>
      </c>
      <c r="M17" t="str">
        <f t="shared" ref="M17" si="3">IF(B17="Total general","",IF(K17="","",IF(AND(C17=$T$16,K17&gt;=$T$17),"Cumple",IF(AND(C17=$U$16,K17&gt;=$U$17),"Cumple",IF(AND(C17=$V$16,K17&gt;=$V$17),"Cumple","No Cumple")))))</f>
        <v/>
      </c>
      <c r="T17" s="80">
        <v>0.8</v>
      </c>
      <c r="U17" s="80">
        <v>0.9</v>
      </c>
      <c r="V17" s="80">
        <v>0.95</v>
      </c>
    </row>
    <row r="18" spans="2:22" x14ac:dyDescent="0.35">
      <c r="L18" s="52" t="str">
        <f t="shared" si="0"/>
        <v/>
      </c>
      <c r="M18" t="str">
        <f t="shared" si="1"/>
        <v/>
      </c>
    </row>
    <row r="19" spans="2:22" x14ac:dyDescent="0.35">
      <c r="L19" s="52" t="str">
        <f t="shared" si="0"/>
        <v/>
      </c>
      <c r="M19" t="str">
        <f t="shared" si="1"/>
        <v/>
      </c>
    </row>
    <row r="20" spans="2:22" x14ac:dyDescent="0.35">
      <c r="L20" s="52" t="str">
        <f t="shared" si="0"/>
        <v/>
      </c>
      <c r="M20" t="str">
        <f t="shared" si="1"/>
        <v/>
      </c>
    </row>
    <row r="21" spans="2:22" x14ac:dyDescent="0.35">
      <c r="L21" s="52" t="str">
        <f t="shared" si="0"/>
        <v/>
      </c>
      <c r="M21" t="str">
        <f t="shared" si="1"/>
        <v/>
      </c>
    </row>
    <row r="22" spans="2:22" x14ac:dyDescent="0.35">
      <c r="L22" s="52" t="str">
        <f t="shared" si="0"/>
        <v/>
      </c>
      <c r="M22" t="str">
        <f t="shared" si="1"/>
        <v/>
      </c>
    </row>
    <row r="23" spans="2:22" x14ac:dyDescent="0.35">
      <c r="L23" s="52" t="str">
        <f t="shared" si="0"/>
        <v/>
      </c>
      <c r="M23" t="str">
        <f t="shared" si="1"/>
        <v/>
      </c>
    </row>
    <row r="24" spans="2:22" x14ac:dyDescent="0.35">
      <c r="L24" s="52" t="str">
        <f t="shared" si="0"/>
        <v/>
      </c>
      <c r="M24" t="str">
        <f t="shared" si="1"/>
        <v/>
      </c>
    </row>
    <row r="25" spans="2:22" x14ac:dyDescent="0.35">
      <c r="L25" s="52" t="str">
        <f t="shared" si="0"/>
        <v/>
      </c>
      <c r="M25" t="str">
        <f t="shared" si="1"/>
        <v/>
      </c>
    </row>
    <row r="26" spans="2:22" x14ac:dyDescent="0.35">
      <c r="L26" s="52" t="str">
        <f t="shared" si="0"/>
        <v/>
      </c>
      <c r="M26" t="str">
        <f t="shared" si="1"/>
        <v/>
      </c>
    </row>
    <row r="27" spans="2:22" x14ac:dyDescent="0.35">
      <c r="L27" s="52" t="str">
        <f t="shared" si="0"/>
        <v/>
      </c>
      <c r="M27" t="str">
        <f t="shared" si="1"/>
        <v/>
      </c>
    </row>
    <row r="28" spans="2:22" x14ac:dyDescent="0.35">
      <c r="L28" s="52" t="str">
        <f t="shared" si="0"/>
        <v/>
      </c>
      <c r="M28" t="str">
        <f t="shared" si="1"/>
        <v/>
      </c>
    </row>
    <row r="29" spans="2:22" x14ac:dyDescent="0.35">
      <c r="L29" s="52" t="str">
        <f t="shared" si="0"/>
        <v/>
      </c>
      <c r="M29" t="str">
        <f t="shared" si="1"/>
        <v/>
      </c>
    </row>
    <row r="30" spans="2:22" x14ac:dyDescent="0.35">
      <c r="L30" s="52" t="str">
        <f t="shared" si="0"/>
        <v/>
      </c>
      <c r="M30" t="str">
        <f t="shared" si="1"/>
        <v/>
      </c>
    </row>
    <row r="31" spans="2:22" x14ac:dyDescent="0.35">
      <c r="L31" s="52" t="str">
        <f t="shared" si="0"/>
        <v/>
      </c>
      <c r="M31" t="str">
        <f t="shared" si="1"/>
        <v/>
      </c>
    </row>
    <row r="32" spans="2:22" x14ac:dyDescent="0.35">
      <c r="L32" s="52" t="str">
        <f t="shared" si="0"/>
        <v/>
      </c>
      <c r="M32" t="str">
        <f t="shared" si="1"/>
        <v/>
      </c>
    </row>
    <row r="33" spans="12:13" x14ac:dyDescent="0.35">
      <c r="L33" s="52" t="str">
        <f t="shared" si="0"/>
        <v/>
      </c>
      <c r="M33" t="str">
        <f t="shared" si="1"/>
        <v/>
      </c>
    </row>
    <row r="34" spans="12:13" x14ac:dyDescent="0.35">
      <c r="L34" s="52" t="str">
        <f t="shared" si="0"/>
        <v/>
      </c>
      <c r="M34" t="str">
        <f t="shared" si="1"/>
        <v/>
      </c>
    </row>
    <row r="35" spans="12:13" x14ac:dyDescent="0.35">
      <c r="L35" s="52" t="str">
        <f t="shared" si="0"/>
        <v/>
      </c>
      <c r="M35" t="str">
        <f t="shared" si="1"/>
        <v/>
      </c>
    </row>
    <row r="36" spans="12:13" x14ac:dyDescent="0.35">
      <c r="L36" s="52" t="str">
        <f t="shared" si="0"/>
        <v/>
      </c>
      <c r="M36" t="str">
        <f t="shared" si="1"/>
        <v/>
      </c>
    </row>
    <row r="37" spans="12:13" x14ac:dyDescent="0.35">
      <c r="L37" s="52" t="str">
        <f t="shared" si="0"/>
        <v/>
      </c>
      <c r="M37" t="str">
        <f t="shared" si="1"/>
        <v/>
      </c>
    </row>
    <row r="38" spans="12:13" x14ac:dyDescent="0.35">
      <c r="L38" s="52" t="str">
        <f t="shared" si="0"/>
        <v/>
      </c>
      <c r="M38" t="str">
        <f t="shared" si="1"/>
        <v/>
      </c>
    </row>
    <row r="39" spans="12:13" x14ac:dyDescent="0.35">
      <c r="L39" s="52" t="str">
        <f t="shared" si="0"/>
        <v/>
      </c>
      <c r="M39" t="str">
        <f t="shared" si="1"/>
        <v/>
      </c>
    </row>
    <row r="40" spans="12:13" x14ac:dyDescent="0.35">
      <c r="L40" s="52" t="str">
        <f t="shared" si="0"/>
        <v/>
      </c>
      <c r="M40" t="str">
        <f t="shared" si="1"/>
        <v/>
      </c>
    </row>
    <row r="41" spans="12:13" x14ac:dyDescent="0.35">
      <c r="L41" s="52" t="str">
        <f t="shared" si="0"/>
        <v/>
      </c>
      <c r="M41" t="str">
        <f t="shared" si="1"/>
        <v/>
      </c>
    </row>
    <row r="42" spans="12:13" x14ac:dyDescent="0.35">
      <c r="L42" s="52" t="str">
        <f t="shared" si="0"/>
        <v/>
      </c>
      <c r="M42" t="str">
        <f t="shared" si="1"/>
        <v/>
      </c>
    </row>
    <row r="43" spans="12:13" x14ac:dyDescent="0.35">
      <c r="L43" s="52" t="str">
        <f t="shared" si="0"/>
        <v/>
      </c>
      <c r="M43" t="str">
        <f t="shared" si="1"/>
        <v/>
      </c>
    </row>
    <row r="44" spans="12:13" x14ac:dyDescent="0.35">
      <c r="L44" s="52" t="str">
        <f t="shared" si="0"/>
        <v/>
      </c>
      <c r="M44" t="str">
        <f t="shared" si="1"/>
        <v/>
      </c>
    </row>
    <row r="45" spans="12:13" x14ac:dyDescent="0.35">
      <c r="L45" s="52" t="str">
        <f t="shared" si="0"/>
        <v/>
      </c>
      <c r="M45" t="str">
        <f t="shared" si="1"/>
        <v/>
      </c>
    </row>
    <row r="46" spans="12:13" x14ac:dyDescent="0.35">
      <c r="L46" s="52" t="str">
        <f t="shared" si="0"/>
        <v/>
      </c>
      <c r="M46" t="str">
        <f t="shared" si="1"/>
        <v/>
      </c>
    </row>
    <row r="47" spans="12:13" x14ac:dyDescent="0.35">
      <c r="L47" s="52" t="str">
        <f t="shared" si="0"/>
        <v/>
      </c>
      <c r="M47" t="str">
        <f t="shared" si="1"/>
        <v/>
      </c>
    </row>
    <row r="48" spans="12:13" x14ac:dyDescent="0.35">
      <c r="L48" s="52" t="str">
        <f t="shared" si="0"/>
        <v/>
      </c>
      <c r="M48" t="str">
        <f t="shared" si="1"/>
        <v/>
      </c>
    </row>
    <row r="49" spans="12:13" x14ac:dyDescent="0.35">
      <c r="L49" s="52" t="str">
        <f t="shared" si="0"/>
        <v/>
      </c>
      <c r="M49" t="str">
        <f t="shared" si="1"/>
        <v/>
      </c>
    </row>
    <row r="50" spans="12:13" x14ac:dyDescent="0.35">
      <c r="L50" s="52" t="str">
        <f t="shared" si="0"/>
        <v/>
      </c>
      <c r="M50" t="str">
        <f t="shared" si="1"/>
        <v/>
      </c>
    </row>
    <row r="51" spans="12:13" x14ac:dyDescent="0.35">
      <c r="L51" s="52" t="str">
        <f t="shared" si="0"/>
        <v/>
      </c>
      <c r="M51" t="str">
        <f t="shared" si="1"/>
        <v/>
      </c>
    </row>
    <row r="52" spans="12:13" x14ac:dyDescent="0.35">
      <c r="L52" s="52" t="str">
        <f t="shared" si="0"/>
        <v/>
      </c>
      <c r="M52" t="str">
        <f t="shared" si="1"/>
        <v/>
      </c>
    </row>
    <row r="53" spans="12:13" x14ac:dyDescent="0.35">
      <c r="L53" s="52" t="str">
        <f t="shared" si="0"/>
        <v/>
      </c>
      <c r="M53" t="str">
        <f t="shared" si="1"/>
        <v/>
      </c>
    </row>
    <row r="54" spans="12:13" x14ac:dyDescent="0.35">
      <c r="L54" s="52" t="str">
        <f t="shared" si="0"/>
        <v/>
      </c>
      <c r="M54" t="str">
        <f t="shared" si="1"/>
        <v/>
      </c>
    </row>
    <row r="55" spans="12:13" x14ac:dyDescent="0.35">
      <c r="L55" s="52" t="str">
        <f t="shared" si="0"/>
        <v/>
      </c>
      <c r="M55" t="str">
        <f t="shared" si="1"/>
        <v/>
      </c>
    </row>
    <row r="56" spans="12:13" x14ac:dyDescent="0.35">
      <c r="L56" s="52" t="str">
        <f t="shared" si="0"/>
        <v/>
      </c>
      <c r="M56" t="str">
        <f t="shared" si="1"/>
        <v/>
      </c>
    </row>
    <row r="57" spans="12:13" x14ac:dyDescent="0.35">
      <c r="L57" s="52" t="str">
        <f t="shared" si="0"/>
        <v/>
      </c>
      <c r="M57" t="str">
        <f t="shared" si="1"/>
        <v/>
      </c>
    </row>
    <row r="58" spans="12:13" x14ac:dyDescent="0.35">
      <c r="L58" s="52" t="str">
        <f t="shared" si="0"/>
        <v/>
      </c>
      <c r="M58" t="str">
        <f t="shared" si="1"/>
        <v/>
      </c>
    </row>
    <row r="59" spans="12:13" x14ac:dyDescent="0.35">
      <c r="L59" s="52" t="str">
        <f t="shared" si="0"/>
        <v/>
      </c>
      <c r="M59" t="str">
        <f t="shared" si="1"/>
        <v/>
      </c>
    </row>
    <row r="60" spans="12:13" x14ac:dyDescent="0.35">
      <c r="L60" s="52" t="str">
        <f t="shared" si="0"/>
        <v/>
      </c>
      <c r="M60" t="str">
        <f t="shared" si="1"/>
        <v/>
      </c>
    </row>
    <row r="61" spans="12:13" x14ac:dyDescent="0.35">
      <c r="L61" s="52" t="str">
        <f t="shared" si="0"/>
        <v/>
      </c>
      <c r="M61" t="str">
        <f t="shared" si="1"/>
        <v/>
      </c>
    </row>
    <row r="62" spans="12:13" x14ac:dyDescent="0.35">
      <c r="L62" s="52" t="str">
        <f t="shared" si="0"/>
        <v/>
      </c>
      <c r="M62" t="str">
        <f t="shared" si="1"/>
        <v/>
      </c>
    </row>
    <row r="63" spans="12:13" x14ac:dyDescent="0.35">
      <c r="L63" s="52" t="str">
        <f t="shared" si="0"/>
        <v/>
      </c>
      <c r="M63" t="str">
        <f t="shared" si="1"/>
        <v/>
      </c>
    </row>
    <row r="64" spans="12:13" x14ac:dyDescent="0.35">
      <c r="L64" s="52" t="str">
        <f t="shared" si="0"/>
        <v/>
      </c>
      <c r="M64" t="str">
        <f t="shared" si="1"/>
        <v/>
      </c>
    </row>
    <row r="65" spans="12:13" x14ac:dyDescent="0.35">
      <c r="L65" s="52" t="str">
        <f t="shared" si="0"/>
        <v/>
      </c>
      <c r="M65" t="str">
        <f t="shared" si="1"/>
        <v/>
      </c>
    </row>
    <row r="66" spans="12:13" x14ac:dyDescent="0.35">
      <c r="L66" s="52" t="str">
        <f t="shared" si="0"/>
        <v/>
      </c>
      <c r="M66" t="str">
        <f t="shared" si="1"/>
        <v/>
      </c>
    </row>
    <row r="67" spans="12:13" x14ac:dyDescent="0.35">
      <c r="L67" s="52" t="str">
        <f t="shared" si="0"/>
        <v/>
      </c>
      <c r="M67" t="str">
        <f t="shared" si="1"/>
        <v/>
      </c>
    </row>
    <row r="68" spans="12:13" x14ac:dyDescent="0.35">
      <c r="L68" s="52" t="str">
        <f t="shared" si="0"/>
        <v/>
      </c>
      <c r="M68" t="str">
        <f t="shared" si="1"/>
        <v/>
      </c>
    </row>
    <row r="69" spans="12:13" x14ac:dyDescent="0.35">
      <c r="L69" s="52" t="str">
        <f t="shared" si="0"/>
        <v/>
      </c>
      <c r="M69" t="str">
        <f t="shared" si="1"/>
        <v/>
      </c>
    </row>
    <row r="70" spans="12:13" x14ac:dyDescent="0.35">
      <c r="L70" s="52" t="str">
        <f t="shared" si="0"/>
        <v/>
      </c>
      <c r="M70" t="str">
        <f t="shared" si="1"/>
        <v/>
      </c>
    </row>
    <row r="71" spans="12:13" x14ac:dyDescent="0.35">
      <c r="L71" s="52" t="str">
        <f t="shared" si="0"/>
        <v/>
      </c>
      <c r="M71" t="str">
        <f t="shared" si="1"/>
        <v/>
      </c>
    </row>
    <row r="72" spans="12:13" x14ac:dyDescent="0.35">
      <c r="L72" s="52" t="str">
        <f t="shared" si="0"/>
        <v/>
      </c>
      <c r="M72" t="str">
        <f t="shared" si="1"/>
        <v/>
      </c>
    </row>
    <row r="73" spans="12:13" x14ac:dyDescent="0.35">
      <c r="L73" s="52" t="str">
        <f t="shared" si="0"/>
        <v/>
      </c>
      <c r="M73" t="str">
        <f t="shared" si="1"/>
        <v/>
      </c>
    </row>
    <row r="74" spans="12:13" x14ac:dyDescent="0.35">
      <c r="L74" s="52" t="str">
        <f t="shared" si="0"/>
        <v/>
      </c>
      <c r="M74" t="str">
        <f t="shared" si="1"/>
        <v/>
      </c>
    </row>
    <row r="75" spans="12:13" x14ac:dyDescent="0.35">
      <c r="L75" s="52" t="str">
        <f t="shared" si="0"/>
        <v/>
      </c>
      <c r="M75" t="str">
        <f t="shared" si="1"/>
        <v/>
      </c>
    </row>
    <row r="76" spans="12:13" x14ac:dyDescent="0.35">
      <c r="L76" s="52" t="str">
        <f t="shared" ref="L76:L139" si="4">IF(B76="Total general","",IF(K76="","",CONCATENATE("Q",IF(K76&gt;$U$11,1,IF((AND(K76&gt;$V$11,K76&lt;=$U$11)),2,IF(AND(K76&gt;$W$11,K76&lt;=$V$11),3,IF(K76&lt;=$W$11,4)))))))</f>
        <v/>
      </c>
      <c r="M76" t="str">
        <f t="shared" ref="M76:M139" si="5">IF(B76="Total general","",IF(K76="","",IF(AND(C76=$T$16,K76&gt;=$T$17),"Cumple",IF(AND(C76=$U$16,K76&gt;=$U$17),"Cumple",IF(AND(C76=$V$16,K76&gt;=$V$17),"Cumple","No Cumple")))))</f>
        <v/>
      </c>
    </row>
    <row r="77" spans="12:13" x14ac:dyDescent="0.35">
      <c r="L77" s="52" t="str">
        <f t="shared" si="4"/>
        <v/>
      </c>
      <c r="M77" t="str">
        <f t="shared" si="5"/>
        <v/>
      </c>
    </row>
    <row r="78" spans="12:13" x14ac:dyDescent="0.35">
      <c r="L78" s="52" t="str">
        <f t="shared" si="4"/>
        <v/>
      </c>
      <c r="M78" t="str">
        <f t="shared" si="5"/>
        <v/>
      </c>
    </row>
    <row r="79" spans="12:13" x14ac:dyDescent="0.35">
      <c r="L79" s="52" t="str">
        <f t="shared" si="4"/>
        <v/>
      </c>
      <c r="M79" t="str">
        <f t="shared" si="5"/>
        <v/>
      </c>
    </row>
    <row r="80" spans="12:13" x14ac:dyDescent="0.35">
      <c r="L80" s="52" t="str">
        <f t="shared" si="4"/>
        <v/>
      </c>
      <c r="M80" t="str">
        <f t="shared" si="5"/>
        <v/>
      </c>
    </row>
    <row r="81" spans="12:13" x14ac:dyDescent="0.35">
      <c r="L81" s="52" t="str">
        <f t="shared" si="4"/>
        <v/>
      </c>
      <c r="M81" t="str">
        <f t="shared" si="5"/>
        <v/>
      </c>
    </row>
    <row r="82" spans="12:13" x14ac:dyDescent="0.35">
      <c r="L82" s="52" t="str">
        <f t="shared" si="4"/>
        <v/>
      </c>
      <c r="M82" t="str">
        <f t="shared" si="5"/>
        <v/>
      </c>
    </row>
    <row r="83" spans="12:13" x14ac:dyDescent="0.35">
      <c r="L83" s="52" t="str">
        <f t="shared" si="4"/>
        <v/>
      </c>
      <c r="M83" t="str">
        <f t="shared" si="5"/>
        <v/>
      </c>
    </row>
    <row r="84" spans="12:13" x14ac:dyDescent="0.35">
      <c r="L84" s="52" t="str">
        <f t="shared" si="4"/>
        <v/>
      </c>
      <c r="M84" t="str">
        <f t="shared" si="5"/>
        <v/>
      </c>
    </row>
    <row r="85" spans="12:13" x14ac:dyDescent="0.35">
      <c r="L85" s="52" t="str">
        <f t="shared" si="4"/>
        <v/>
      </c>
      <c r="M85" t="str">
        <f t="shared" si="5"/>
        <v/>
      </c>
    </row>
    <row r="86" spans="12:13" x14ac:dyDescent="0.35">
      <c r="L86" s="52" t="str">
        <f t="shared" si="4"/>
        <v/>
      </c>
      <c r="M86" t="str">
        <f t="shared" si="5"/>
        <v/>
      </c>
    </row>
    <row r="87" spans="12:13" x14ac:dyDescent="0.35">
      <c r="L87" s="52" t="str">
        <f t="shared" si="4"/>
        <v/>
      </c>
      <c r="M87" t="str">
        <f t="shared" si="5"/>
        <v/>
      </c>
    </row>
    <row r="88" spans="12:13" x14ac:dyDescent="0.35">
      <c r="L88" s="52" t="str">
        <f t="shared" si="4"/>
        <v/>
      </c>
      <c r="M88" t="str">
        <f t="shared" si="5"/>
        <v/>
      </c>
    </row>
    <row r="89" spans="12:13" x14ac:dyDescent="0.35">
      <c r="L89" s="52" t="str">
        <f t="shared" si="4"/>
        <v/>
      </c>
      <c r="M89" t="str">
        <f t="shared" si="5"/>
        <v/>
      </c>
    </row>
    <row r="90" spans="12:13" x14ac:dyDescent="0.35">
      <c r="L90" s="52" t="str">
        <f t="shared" si="4"/>
        <v/>
      </c>
      <c r="M90" t="str">
        <f t="shared" si="5"/>
        <v/>
      </c>
    </row>
    <row r="91" spans="12:13" x14ac:dyDescent="0.35">
      <c r="L91" s="52" t="str">
        <f t="shared" si="4"/>
        <v/>
      </c>
      <c r="M91" t="str">
        <f t="shared" si="5"/>
        <v/>
      </c>
    </row>
    <row r="92" spans="12:13" x14ac:dyDescent="0.35">
      <c r="L92" s="52" t="str">
        <f t="shared" si="4"/>
        <v/>
      </c>
      <c r="M92" t="str">
        <f t="shared" si="5"/>
        <v/>
      </c>
    </row>
    <row r="93" spans="12:13" x14ac:dyDescent="0.35">
      <c r="L93" s="52" t="str">
        <f t="shared" si="4"/>
        <v/>
      </c>
      <c r="M93" t="str">
        <f t="shared" si="5"/>
        <v/>
      </c>
    </row>
    <row r="94" spans="12:13" x14ac:dyDescent="0.35">
      <c r="L94" s="52" t="str">
        <f t="shared" si="4"/>
        <v/>
      </c>
      <c r="M94" t="str">
        <f t="shared" si="5"/>
        <v/>
      </c>
    </row>
    <row r="95" spans="12:13" x14ac:dyDescent="0.35">
      <c r="L95" s="52" t="str">
        <f t="shared" si="4"/>
        <v/>
      </c>
      <c r="M95" t="str">
        <f t="shared" si="5"/>
        <v/>
      </c>
    </row>
    <row r="96" spans="12:13" x14ac:dyDescent="0.35">
      <c r="L96" s="52" t="str">
        <f t="shared" si="4"/>
        <v/>
      </c>
      <c r="M96" t="str">
        <f t="shared" si="5"/>
        <v/>
      </c>
    </row>
    <row r="97" spans="12:13" x14ac:dyDescent="0.35">
      <c r="L97" s="52" t="str">
        <f t="shared" si="4"/>
        <v/>
      </c>
      <c r="M97" t="str">
        <f t="shared" si="5"/>
        <v/>
      </c>
    </row>
    <row r="98" spans="12:13" x14ac:dyDescent="0.35">
      <c r="L98" s="52" t="str">
        <f t="shared" si="4"/>
        <v/>
      </c>
      <c r="M98" t="str">
        <f t="shared" si="5"/>
        <v/>
      </c>
    </row>
    <row r="99" spans="12:13" x14ac:dyDescent="0.35">
      <c r="L99" s="52" t="str">
        <f t="shared" si="4"/>
        <v/>
      </c>
      <c r="M99" t="str">
        <f t="shared" si="5"/>
        <v/>
      </c>
    </row>
    <row r="100" spans="12:13" x14ac:dyDescent="0.35">
      <c r="L100" s="52" t="str">
        <f t="shared" si="4"/>
        <v/>
      </c>
      <c r="M100" t="str">
        <f t="shared" si="5"/>
        <v/>
      </c>
    </row>
    <row r="101" spans="12:13" x14ac:dyDescent="0.35">
      <c r="L101" s="52" t="str">
        <f t="shared" si="4"/>
        <v/>
      </c>
      <c r="M101" t="str">
        <f t="shared" si="5"/>
        <v/>
      </c>
    </row>
    <row r="102" spans="12:13" x14ac:dyDescent="0.35">
      <c r="L102" s="52" t="str">
        <f t="shared" si="4"/>
        <v/>
      </c>
      <c r="M102" t="str">
        <f t="shared" si="5"/>
        <v/>
      </c>
    </row>
    <row r="103" spans="12:13" x14ac:dyDescent="0.35">
      <c r="L103" s="52" t="str">
        <f t="shared" si="4"/>
        <v/>
      </c>
      <c r="M103" t="str">
        <f t="shared" si="5"/>
        <v/>
      </c>
    </row>
    <row r="104" spans="12:13" x14ac:dyDescent="0.35">
      <c r="L104" s="52" t="str">
        <f t="shared" si="4"/>
        <v/>
      </c>
      <c r="M104" t="str">
        <f t="shared" si="5"/>
        <v/>
      </c>
    </row>
    <row r="105" spans="12:13" x14ac:dyDescent="0.35">
      <c r="L105" s="52" t="str">
        <f t="shared" si="4"/>
        <v/>
      </c>
      <c r="M105" t="str">
        <f t="shared" si="5"/>
        <v/>
      </c>
    </row>
    <row r="106" spans="12:13" x14ac:dyDescent="0.35">
      <c r="L106" s="52" t="str">
        <f t="shared" si="4"/>
        <v/>
      </c>
      <c r="M106" t="str">
        <f t="shared" si="5"/>
        <v/>
      </c>
    </row>
    <row r="107" spans="12:13" x14ac:dyDescent="0.35">
      <c r="L107" s="52" t="str">
        <f t="shared" si="4"/>
        <v/>
      </c>
      <c r="M107" t="str">
        <f t="shared" si="5"/>
        <v/>
      </c>
    </row>
    <row r="108" spans="12:13" x14ac:dyDescent="0.35">
      <c r="L108" s="52" t="str">
        <f t="shared" si="4"/>
        <v/>
      </c>
      <c r="M108" t="str">
        <f t="shared" si="5"/>
        <v/>
      </c>
    </row>
    <row r="109" spans="12:13" x14ac:dyDescent="0.35">
      <c r="L109" s="52" t="str">
        <f t="shared" si="4"/>
        <v/>
      </c>
      <c r="M109" t="str">
        <f t="shared" si="5"/>
        <v/>
      </c>
    </row>
    <row r="110" spans="12:13" x14ac:dyDescent="0.35">
      <c r="L110" s="52" t="str">
        <f t="shared" si="4"/>
        <v/>
      </c>
      <c r="M110" t="str">
        <f t="shared" si="5"/>
        <v/>
      </c>
    </row>
    <row r="111" spans="12:13" x14ac:dyDescent="0.35">
      <c r="L111" s="52" t="str">
        <f t="shared" si="4"/>
        <v/>
      </c>
      <c r="M111" t="str">
        <f t="shared" si="5"/>
        <v/>
      </c>
    </row>
    <row r="112" spans="12:13" x14ac:dyDescent="0.35">
      <c r="L112" s="52" t="str">
        <f t="shared" si="4"/>
        <v/>
      </c>
      <c r="M112" t="str">
        <f t="shared" si="5"/>
        <v/>
      </c>
    </row>
    <row r="113" spans="12:13" x14ac:dyDescent="0.35">
      <c r="L113" s="52" t="str">
        <f t="shared" si="4"/>
        <v/>
      </c>
      <c r="M113" t="str">
        <f t="shared" si="5"/>
        <v/>
      </c>
    </row>
    <row r="114" spans="12:13" x14ac:dyDescent="0.35">
      <c r="L114" s="52" t="str">
        <f t="shared" si="4"/>
        <v/>
      </c>
      <c r="M114" t="str">
        <f t="shared" si="5"/>
        <v/>
      </c>
    </row>
    <row r="115" spans="12:13" x14ac:dyDescent="0.35">
      <c r="L115" s="52" t="str">
        <f t="shared" si="4"/>
        <v/>
      </c>
      <c r="M115" t="str">
        <f t="shared" si="5"/>
        <v/>
      </c>
    </row>
    <row r="116" spans="12:13" x14ac:dyDescent="0.35">
      <c r="L116" s="52" t="str">
        <f t="shared" si="4"/>
        <v/>
      </c>
      <c r="M116" t="str">
        <f t="shared" si="5"/>
        <v/>
      </c>
    </row>
    <row r="117" spans="12:13" x14ac:dyDescent="0.35">
      <c r="L117" s="52" t="str">
        <f t="shared" si="4"/>
        <v/>
      </c>
      <c r="M117" t="str">
        <f t="shared" si="5"/>
        <v/>
      </c>
    </row>
    <row r="118" spans="12:13" x14ac:dyDescent="0.35">
      <c r="L118" s="52" t="str">
        <f t="shared" si="4"/>
        <v/>
      </c>
      <c r="M118" t="str">
        <f t="shared" si="5"/>
        <v/>
      </c>
    </row>
    <row r="119" spans="12:13" x14ac:dyDescent="0.35">
      <c r="L119" s="52" t="str">
        <f t="shared" si="4"/>
        <v/>
      </c>
      <c r="M119" t="str">
        <f t="shared" si="5"/>
        <v/>
      </c>
    </row>
    <row r="120" spans="12:13" x14ac:dyDescent="0.35">
      <c r="L120" s="52" t="str">
        <f t="shared" si="4"/>
        <v/>
      </c>
      <c r="M120" t="str">
        <f t="shared" si="5"/>
        <v/>
      </c>
    </row>
    <row r="121" spans="12:13" x14ac:dyDescent="0.35">
      <c r="L121" s="52" t="str">
        <f t="shared" si="4"/>
        <v/>
      </c>
      <c r="M121" t="str">
        <f t="shared" si="5"/>
        <v/>
      </c>
    </row>
    <row r="122" spans="12:13" x14ac:dyDescent="0.35">
      <c r="L122" s="52" t="str">
        <f t="shared" si="4"/>
        <v/>
      </c>
      <c r="M122" t="str">
        <f t="shared" si="5"/>
        <v/>
      </c>
    </row>
    <row r="123" spans="12:13" x14ac:dyDescent="0.35">
      <c r="L123" s="52" t="str">
        <f t="shared" si="4"/>
        <v/>
      </c>
      <c r="M123" t="str">
        <f t="shared" si="5"/>
        <v/>
      </c>
    </row>
    <row r="124" spans="12:13" x14ac:dyDescent="0.35">
      <c r="L124" s="52" t="str">
        <f t="shared" si="4"/>
        <v/>
      </c>
      <c r="M124" t="str">
        <f t="shared" si="5"/>
        <v/>
      </c>
    </row>
    <row r="125" spans="12:13" x14ac:dyDescent="0.35">
      <c r="L125" s="52" t="str">
        <f t="shared" si="4"/>
        <v/>
      </c>
      <c r="M125" t="str">
        <f t="shared" si="5"/>
        <v/>
      </c>
    </row>
    <row r="126" spans="12:13" x14ac:dyDescent="0.35">
      <c r="L126" s="52" t="str">
        <f t="shared" si="4"/>
        <v/>
      </c>
      <c r="M126" t="str">
        <f t="shared" si="5"/>
        <v/>
      </c>
    </row>
    <row r="127" spans="12:13" x14ac:dyDescent="0.35">
      <c r="L127" s="52" t="str">
        <f t="shared" si="4"/>
        <v/>
      </c>
      <c r="M127" t="str">
        <f t="shared" si="5"/>
        <v/>
      </c>
    </row>
    <row r="128" spans="12:13" x14ac:dyDescent="0.35">
      <c r="L128" s="52" t="str">
        <f t="shared" si="4"/>
        <v/>
      </c>
      <c r="M128" t="str">
        <f t="shared" si="5"/>
        <v/>
      </c>
    </row>
    <row r="129" spans="12:13" x14ac:dyDescent="0.35">
      <c r="L129" s="52" t="str">
        <f t="shared" si="4"/>
        <v/>
      </c>
      <c r="M129" t="str">
        <f t="shared" si="5"/>
        <v/>
      </c>
    </row>
    <row r="130" spans="12:13" x14ac:dyDescent="0.35">
      <c r="L130" s="52" t="str">
        <f t="shared" si="4"/>
        <v/>
      </c>
      <c r="M130" t="str">
        <f t="shared" si="5"/>
        <v/>
      </c>
    </row>
    <row r="131" spans="12:13" x14ac:dyDescent="0.35">
      <c r="L131" s="52" t="str">
        <f t="shared" si="4"/>
        <v/>
      </c>
      <c r="M131" t="str">
        <f t="shared" si="5"/>
        <v/>
      </c>
    </row>
    <row r="132" spans="12:13" x14ac:dyDescent="0.35">
      <c r="L132" s="52" t="str">
        <f t="shared" si="4"/>
        <v/>
      </c>
      <c r="M132" t="str">
        <f t="shared" si="5"/>
        <v/>
      </c>
    </row>
    <row r="133" spans="12:13" x14ac:dyDescent="0.35">
      <c r="L133" s="52" t="str">
        <f t="shared" si="4"/>
        <v/>
      </c>
      <c r="M133" t="str">
        <f t="shared" si="5"/>
        <v/>
      </c>
    </row>
    <row r="134" spans="12:13" x14ac:dyDescent="0.35">
      <c r="L134" s="52" t="str">
        <f t="shared" si="4"/>
        <v/>
      </c>
      <c r="M134" t="str">
        <f t="shared" si="5"/>
        <v/>
      </c>
    </row>
    <row r="135" spans="12:13" x14ac:dyDescent="0.35">
      <c r="L135" s="52" t="str">
        <f t="shared" si="4"/>
        <v/>
      </c>
      <c r="M135" t="str">
        <f t="shared" si="5"/>
        <v/>
      </c>
    </row>
    <row r="136" spans="12:13" x14ac:dyDescent="0.35">
      <c r="L136" s="52" t="str">
        <f t="shared" si="4"/>
        <v/>
      </c>
      <c r="M136" t="str">
        <f t="shared" si="5"/>
        <v/>
      </c>
    </row>
    <row r="137" spans="12:13" x14ac:dyDescent="0.35">
      <c r="L137" s="52" t="str">
        <f t="shared" si="4"/>
        <v/>
      </c>
      <c r="M137" t="str">
        <f t="shared" si="5"/>
        <v/>
      </c>
    </row>
    <row r="138" spans="12:13" x14ac:dyDescent="0.35">
      <c r="L138" s="52" t="str">
        <f t="shared" si="4"/>
        <v/>
      </c>
      <c r="M138" t="str">
        <f t="shared" si="5"/>
        <v/>
      </c>
    </row>
    <row r="139" spans="12:13" x14ac:dyDescent="0.35">
      <c r="L139" s="52" t="str">
        <f t="shared" si="4"/>
        <v/>
      </c>
      <c r="M139" t="str">
        <f t="shared" si="5"/>
        <v/>
      </c>
    </row>
    <row r="140" spans="12:13" x14ac:dyDescent="0.35">
      <c r="L140" s="52" t="str">
        <f t="shared" ref="L140:L203" si="6">IF(B140="Total general","",IF(K140="","",CONCATENATE("Q",IF(K140&gt;$U$11,1,IF((AND(K140&gt;$V$11,K140&lt;=$U$11)),2,IF(AND(K140&gt;$W$11,K140&lt;=$V$11),3,IF(K140&lt;=$W$11,4)))))))</f>
        <v/>
      </c>
      <c r="M140" t="str">
        <f t="shared" ref="M140:M203" si="7">IF(B140="Total general","",IF(K140="","",IF(AND(C140=$T$16,K140&gt;=$T$17),"Cumple",IF(AND(C140=$U$16,K140&gt;=$U$17),"Cumple",IF(AND(C140=$V$16,K140&gt;=$V$17),"Cumple","No Cumple")))))</f>
        <v/>
      </c>
    </row>
    <row r="141" spans="12:13" x14ac:dyDescent="0.35">
      <c r="L141" s="52" t="str">
        <f t="shared" si="6"/>
        <v/>
      </c>
      <c r="M141" t="str">
        <f t="shared" si="7"/>
        <v/>
      </c>
    </row>
    <row r="142" spans="12:13" x14ac:dyDescent="0.35">
      <c r="L142" s="52" t="str">
        <f t="shared" si="6"/>
        <v/>
      </c>
      <c r="M142" t="str">
        <f t="shared" si="7"/>
        <v/>
      </c>
    </row>
    <row r="143" spans="12:13" x14ac:dyDescent="0.35">
      <c r="L143" s="52" t="str">
        <f t="shared" si="6"/>
        <v/>
      </c>
      <c r="M143" t="str">
        <f t="shared" si="7"/>
        <v/>
      </c>
    </row>
    <row r="144" spans="12:13" x14ac:dyDescent="0.35">
      <c r="L144" s="52" t="str">
        <f t="shared" si="6"/>
        <v/>
      </c>
      <c r="M144" t="str">
        <f t="shared" si="7"/>
        <v/>
      </c>
    </row>
    <row r="145" spans="12:13" x14ac:dyDescent="0.35">
      <c r="L145" s="52" t="str">
        <f t="shared" si="6"/>
        <v/>
      </c>
      <c r="M145" t="str">
        <f t="shared" si="7"/>
        <v/>
      </c>
    </row>
    <row r="146" spans="12:13" x14ac:dyDescent="0.35">
      <c r="L146" s="52" t="str">
        <f t="shared" si="6"/>
        <v/>
      </c>
      <c r="M146" t="str">
        <f t="shared" si="7"/>
        <v/>
      </c>
    </row>
    <row r="147" spans="12:13" x14ac:dyDescent="0.35">
      <c r="L147" s="52" t="str">
        <f t="shared" si="6"/>
        <v/>
      </c>
      <c r="M147" t="str">
        <f t="shared" si="7"/>
        <v/>
      </c>
    </row>
    <row r="148" spans="12:13" x14ac:dyDescent="0.35">
      <c r="L148" s="52" t="str">
        <f t="shared" si="6"/>
        <v/>
      </c>
      <c r="M148" t="str">
        <f t="shared" si="7"/>
        <v/>
      </c>
    </row>
    <row r="149" spans="12:13" x14ac:dyDescent="0.35">
      <c r="L149" s="52" t="str">
        <f t="shared" si="6"/>
        <v/>
      </c>
      <c r="M149" t="str">
        <f t="shared" si="7"/>
        <v/>
      </c>
    </row>
    <row r="150" spans="12:13" x14ac:dyDescent="0.35">
      <c r="L150" s="52" t="str">
        <f t="shared" si="6"/>
        <v/>
      </c>
      <c r="M150" t="str">
        <f t="shared" si="7"/>
        <v/>
      </c>
    </row>
    <row r="151" spans="12:13" x14ac:dyDescent="0.35">
      <c r="L151" s="52" t="str">
        <f t="shared" si="6"/>
        <v/>
      </c>
      <c r="M151" t="str">
        <f t="shared" si="7"/>
        <v/>
      </c>
    </row>
    <row r="152" spans="12:13" x14ac:dyDescent="0.35">
      <c r="L152" s="52" t="str">
        <f t="shared" si="6"/>
        <v/>
      </c>
      <c r="M152" t="str">
        <f t="shared" si="7"/>
        <v/>
      </c>
    </row>
    <row r="153" spans="12:13" x14ac:dyDescent="0.35">
      <c r="L153" s="52" t="str">
        <f t="shared" si="6"/>
        <v/>
      </c>
      <c r="M153" t="str">
        <f t="shared" si="7"/>
        <v/>
      </c>
    </row>
    <row r="154" spans="12:13" x14ac:dyDescent="0.35">
      <c r="L154" s="52" t="str">
        <f t="shared" si="6"/>
        <v/>
      </c>
      <c r="M154" t="str">
        <f t="shared" si="7"/>
        <v/>
      </c>
    </row>
    <row r="155" spans="12:13" x14ac:dyDescent="0.35">
      <c r="L155" s="52" t="str">
        <f t="shared" si="6"/>
        <v/>
      </c>
      <c r="M155" t="str">
        <f t="shared" si="7"/>
        <v/>
      </c>
    </row>
    <row r="156" spans="12:13" x14ac:dyDescent="0.35">
      <c r="L156" s="52" t="str">
        <f t="shared" si="6"/>
        <v/>
      </c>
      <c r="M156" t="str">
        <f t="shared" si="7"/>
        <v/>
      </c>
    </row>
    <row r="157" spans="12:13" x14ac:dyDescent="0.35">
      <c r="L157" s="52" t="str">
        <f t="shared" si="6"/>
        <v/>
      </c>
      <c r="M157" t="str">
        <f t="shared" si="7"/>
        <v/>
      </c>
    </row>
    <row r="158" spans="12:13" x14ac:dyDescent="0.35">
      <c r="L158" s="52" t="str">
        <f t="shared" si="6"/>
        <v/>
      </c>
      <c r="M158" t="str">
        <f t="shared" si="7"/>
        <v/>
      </c>
    </row>
    <row r="159" spans="12:13" x14ac:dyDescent="0.35">
      <c r="L159" s="52" t="str">
        <f t="shared" si="6"/>
        <v/>
      </c>
      <c r="M159" t="str">
        <f t="shared" si="7"/>
        <v/>
      </c>
    </row>
    <row r="160" spans="12:13" x14ac:dyDescent="0.35">
      <c r="L160" s="52" t="str">
        <f t="shared" si="6"/>
        <v/>
      </c>
      <c r="M160" t="str">
        <f t="shared" si="7"/>
        <v/>
      </c>
    </row>
    <row r="161" spans="12:13" x14ac:dyDescent="0.35">
      <c r="L161" s="52" t="str">
        <f t="shared" si="6"/>
        <v/>
      </c>
      <c r="M161" t="str">
        <f t="shared" si="7"/>
        <v/>
      </c>
    </row>
    <row r="162" spans="12:13" x14ac:dyDescent="0.35">
      <c r="L162" s="52" t="str">
        <f t="shared" si="6"/>
        <v/>
      </c>
      <c r="M162" t="str">
        <f t="shared" si="7"/>
        <v/>
      </c>
    </row>
    <row r="163" spans="12:13" x14ac:dyDescent="0.35">
      <c r="L163" s="52" t="str">
        <f t="shared" si="6"/>
        <v/>
      </c>
      <c r="M163" t="str">
        <f t="shared" si="7"/>
        <v/>
      </c>
    </row>
    <row r="164" spans="12:13" x14ac:dyDescent="0.35">
      <c r="L164" s="52" t="str">
        <f t="shared" si="6"/>
        <v/>
      </c>
      <c r="M164" t="str">
        <f t="shared" si="7"/>
        <v/>
      </c>
    </row>
    <row r="165" spans="12:13" x14ac:dyDescent="0.35">
      <c r="L165" s="52" t="str">
        <f t="shared" si="6"/>
        <v/>
      </c>
      <c r="M165" t="str">
        <f t="shared" si="7"/>
        <v/>
      </c>
    </row>
    <row r="166" spans="12:13" x14ac:dyDescent="0.35">
      <c r="L166" s="52" t="str">
        <f t="shared" si="6"/>
        <v/>
      </c>
      <c r="M166" t="str">
        <f t="shared" si="7"/>
        <v/>
      </c>
    </row>
    <row r="167" spans="12:13" x14ac:dyDescent="0.35">
      <c r="L167" s="52" t="str">
        <f t="shared" si="6"/>
        <v/>
      </c>
      <c r="M167" t="str">
        <f t="shared" si="7"/>
        <v/>
      </c>
    </row>
    <row r="168" spans="12:13" x14ac:dyDescent="0.35">
      <c r="L168" s="52" t="str">
        <f t="shared" si="6"/>
        <v/>
      </c>
      <c r="M168" t="str">
        <f t="shared" si="7"/>
        <v/>
      </c>
    </row>
    <row r="169" spans="12:13" x14ac:dyDescent="0.35">
      <c r="L169" s="52" t="str">
        <f t="shared" si="6"/>
        <v/>
      </c>
      <c r="M169" t="str">
        <f t="shared" si="7"/>
        <v/>
      </c>
    </row>
    <row r="170" spans="12:13" x14ac:dyDescent="0.35">
      <c r="L170" s="52" t="str">
        <f t="shared" si="6"/>
        <v/>
      </c>
      <c r="M170" t="str">
        <f t="shared" si="7"/>
        <v/>
      </c>
    </row>
    <row r="171" spans="12:13" x14ac:dyDescent="0.35">
      <c r="L171" s="52" t="str">
        <f t="shared" si="6"/>
        <v/>
      </c>
      <c r="M171" t="str">
        <f t="shared" si="7"/>
        <v/>
      </c>
    </row>
    <row r="172" spans="12:13" x14ac:dyDescent="0.35">
      <c r="L172" s="52" t="str">
        <f t="shared" si="6"/>
        <v/>
      </c>
      <c r="M172" t="str">
        <f t="shared" si="7"/>
        <v/>
      </c>
    </row>
    <row r="173" spans="12:13" x14ac:dyDescent="0.35">
      <c r="L173" s="52" t="str">
        <f t="shared" si="6"/>
        <v/>
      </c>
      <c r="M173" t="str">
        <f t="shared" si="7"/>
        <v/>
      </c>
    </row>
    <row r="174" spans="12:13" x14ac:dyDescent="0.35">
      <c r="L174" s="52" t="str">
        <f t="shared" si="6"/>
        <v/>
      </c>
      <c r="M174" t="str">
        <f t="shared" si="7"/>
        <v/>
      </c>
    </row>
    <row r="175" spans="12:13" x14ac:dyDescent="0.35">
      <c r="L175" s="52" t="str">
        <f t="shared" si="6"/>
        <v/>
      </c>
      <c r="M175" t="str">
        <f t="shared" si="7"/>
        <v/>
      </c>
    </row>
    <row r="176" spans="12:13" x14ac:dyDescent="0.35">
      <c r="L176" s="52" t="str">
        <f t="shared" si="6"/>
        <v/>
      </c>
      <c r="M176" t="str">
        <f t="shared" si="7"/>
        <v/>
      </c>
    </row>
    <row r="177" spans="12:13" x14ac:dyDescent="0.35">
      <c r="L177" s="52" t="str">
        <f t="shared" si="6"/>
        <v/>
      </c>
      <c r="M177" t="str">
        <f t="shared" si="7"/>
        <v/>
      </c>
    </row>
    <row r="178" spans="12:13" x14ac:dyDescent="0.35">
      <c r="L178" s="52" t="str">
        <f t="shared" si="6"/>
        <v/>
      </c>
      <c r="M178" t="str">
        <f t="shared" si="7"/>
        <v/>
      </c>
    </row>
    <row r="179" spans="12:13" x14ac:dyDescent="0.35">
      <c r="L179" s="52" t="str">
        <f t="shared" si="6"/>
        <v/>
      </c>
      <c r="M179" t="str">
        <f t="shared" si="7"/>
        <v/>
      </c>
    </row>
    <row r="180" spans="12:13" x14ac:dyDescent="0.35">
      <c r="L180" s="52" t="str">
        <f t="shared" si="6"/>
        <v/>
      </c>
      <c r="M180" t="str">
        <f t="shared" si="7"/>
        <v/>
      </c>
    </row>
    <row r="181" spans="12:13" x14ac:dyDescent="0.35">
      <c r="L181" s="52" t="str">
        <f t="shared" si="6"/>
        <v/>
      </c>
      <c r="M181" t="str">
        <f t="shared" si="7"/>
        <v/>
      </c>
    </row>
    <row r="182" spans="12:13" x14ac:dyDescent="0.35">
      <c r="L182" s="52" t="str">
        <f t="shared" si="6"/>
        <v/>
      </c>
      <c r="M182" t="str">
        <f t="shared" si="7"/>
        <v/>
      </c>
    </row>
    <row r="183" spans="12:13" x14ac:dyDescent="0.35">
      <c r="L183" s="52" t="str">
        <f t="shared" si="6"/>
        <v/>
      </c>
      <c r="M183" t="str">
        <f t="shared" si="7"/>
        <v/>
      </c>
    </row>
    <row r="184" spans="12:13" x14ac:dyDescent="0.35">
      <c r="L184" s="52" t="str">
        <f t="shared" si="6"/>
        <v/>
      </c>
      <c r="M184" t="str">
        <f t="shared" si="7"/>
        <v/>
      </c>
    </row>
    <row r="185" spans="12:13" x14ac:dyDescent="0.35">
      <c r="L185" s="52" t="str">
        <f t="shared" si="6"/>
        <v/>
      </c>
      <c r="M185" t="str">
        <f t="shared" si="7"/>
        <v/>
      </c>
    </row>
    <row r="186" spans="12:13" x14ac:dyDescent="0.35">
      <c r="L186" s="52" t="str">
        <f t="shared" si="6"/>
        <v/>
      </c>
      <c r="M186" t="str">
        <f t="shared" si="7"/>
        <v/>
      </c>
    </row>
    <row r="187" spans="12:13" x14ac:dyDescent="0.35">
      <c r="L187" s="52" t="str">
        <f t="shared" si="6"/>
        <v/>
      </c>
      <c r="M187" t="str">
        <f t="shared" si="7"/>
        <v/>
      </c>
    </row>
    <row r="188" spans="12:13" x14ac:dyDescent="0.35">
      <c r="L188" s="52" t="str">
        <f t="shared" si="6"/>
        <v/>
      </c>
      <c r="M188" t="str">
        <f t="shared" si="7"/>
        <v/>
      </c>
    </row>
    <row r="189" spans="12:13" x14ac:dyDescent="0.35">
      <c r="L189" s="52" t="str">
        <f t="shared" si="6"/>
        <v/>
      </c>
      <c r="M189" t="str">
        <f t="shared" si="7"/>
        <v/>
      </c>
    </row>
    <row r="190" spans="12:13" x14ac:dyDescent="0.35">
      <c r="L190" s="52" t="str">
        <f t="shared" si="6"/>
        <v/>
      </c>
      <c r="M190" t="str">
        <f t="shared" si="7"/>
        <v/>
      </c>
    </row>
    <row r="191" spans="12:13" x14ac:dyDescent="0.35">
      <c r="L191" s="52" t="str">
        <f t="shared" si="6"/>
        <v/>
      </c>
      <c r="M191" t="str">
        <f t="shared" si="7"/>
        <v/>
      </c>
    </row>
    <row r="192" spans="12:13" x14ac:dyDescent="0.35">
      <c r="L192" s="52" t="str">
        <f t="shared" si="6"/>
        <v/>
      </c>
      <c r="M192" t="str">
        <f t="shared" si="7"/>
        <v/>
      </c>
    </row>
    <row r="193" spans="12:13" x14ac:dyDescent="0.35">
      <c r="L193" s="52" t="str">
        <f t="shared" si="6"/>
        <v/>
      </c>
      <c r="M193" t="str">
        <f t="shared" si="7"/>
        <v/>
      </c>
    </row>
    <row r="194" spans="12:13" x14ac:dyDescent="0.35">
      <c r="L194" s="52" t="str">
        <f t="shared" si="6"/>
        <v/>
      </c>
      <c r="M194" t="str">
        <f t="shared" si="7"/>
        <v/>
      </c>
    </row>
    <row r="195" spans="12:13" x14ac:dyDescent="0.35">
      <c r="L195" s="52" t="str">
        <f t="shared" si="6"/>
        <v/>
      </c>
      <c r="M195" t="str">
        <f t="shared" si="7"/>
        <v/>
      </c>
    </row>
    <row r="196" spans="12:13" x14ac:dyDescent="0.35">
      <c r="L196" s="52" t="str">
        <f t="shared" si="6"/>
        <v/>
      </c>
      <c r="M196" t="str">
        <f t="shared" si="7"/>
        <v/>
      </c>
    </row>
    <row r="197" spans="12:13" x14ac:dyDescent="0.35">
      <c r="L197" s="52" t="str">
        <f t="shared" si="6"/>
        <v/>
      </c>
      <c r="M197" t="str">
        <f t="shared" si="7"/>
        <v/>
      </c>
    </row>
    <row r="198" spans="12:13" x14ac:dyDescent="0.35">
      <c r="L198" s="52" t="str">
        <f t="shared" si="6"/>
        <v/>
      </c>
      <c r="M198" t="str">
        <f t="shared" si="7"/>
        <v/>
      </c>
    </row>
    <row r="199" spans="12:13" x14ac:dyDescent="0.35">
      <c r="L199" s="52" t="str">
        <f t="shared" si="6"/>
        <v/>
      </c>
      <c r="M199" t="str">
        <f t="shared" si="7"/>
        <v/>
      </c>
    </row>
    <row r="200" spans="12:13" x14ac:dyDescent="0.35">
      <c r="L200" s="52" t="str">
        <f t="shared" si="6"/>
        <v/>
      </c>
      <c r="M200" t="str">
        <f t="shared" si="7"/>
        <v/>
      </c>
    </row>
    <row r="201" spans="12:13" x14ac:dyDescent="0.35">
      <c r="L201" s="52" t="str">
        <f t="shared" si="6"/>
        <v/>
      </c>
      <c r="M201" t="str">
        <f t="shared" si="7"/>
        <v/>
      </c>
    </row>
    <row r="202" spans="12:13" x14ac:dyDescent="0.35">
      <c r="L202" s="52" t="str">
        <f t="shared" si="6"/>
        <v/>
      </c>
      <c r="M202" t="str">
        <f t="shared" si="7"/>
        <v/>
      </c>
    </row>
    <row r="203" spans="12:13" x14ac:dyDescent="0.35">
      <c r="L203" s="52" t="str">
        <f t="shared" si="6"/>
        <v/>
      </c>
      <c r="M203" t="str">
        <f t="shared" si="7"/>
        <v/>
      </c>
    </row>
    <row r="204" spans="12:13" x14ac:dyDescent="0.35">
      <c r="L204" s="52" t="str">
        <f t="shared" ref="L204:L267" si="8">IF(B204="Total general","",IF(K204="","",CONCATENATE("Q",IF(K204&gt;$U$11,1,IF((AND(K204&gt;$V$11,K204&lt;=$U$11)),2,IF(AND(K204&gt;$W$11,K204&lt;=$V$11),3,IF(K204&lt;=$W$11,4)))))))</f>
        <v/>
      </c>
      <c r="M204" t="str">
        <f t="shared" ref="M204:M267" si="9">IF(B204="Total general","",IF(K204="","",IF(AND(C204=$T$16,K204&gt;=$T$17),"Cumple",IF(AND(C204=$U$16,K204&gt;=$U$17),"Cumple",IF(AND(C204=$V$16,K204&gt;=$V$17),"Cumple","No Cumple")))))</f>
        <v/>
      </c>
    </row>
    <row r="205" spans="12:13" x14ac:dyDescent="0.35">
      <c r="L205" s="52" t="str">
        <f t="shared" si="8"/>
        <v/>
      </c>
      <c r="M205" t="str">
        <f t="shared" si="9"/>
        <v/>
      </c>
    </row>
    <row r="206" spans="12:13" x14ac:dyDescent="0.35">
      <c r="L206" s="52" t="str">
        <f t="shared" si="8"/>
        <v/>
      </c>
      <c r="M206" t="str">
        <f t="shared" si="9"/>
        <v/>
      </c>
    </row>
    <row r="207" spans="12:13" x14ac:dyDescent="0.35">
      <c r="L207" s="52" t="str">
        <f t="shared" si="8"/>
        <v/>
      </c>
      <c r="M207" t="str">
        <f t="shared" si="9"/>
        <v/>
      </c>
    </row>
    <row r="208" spans="12:13" x14ac:dyDescent="0.35">
      <c r="L208" s="52" t="str">
        <f t="shared" si="8"/>
        <v/>
      </c>
      <c r="M208" t="str">
        <f t="shared" si="9"/>
        <v/>
      </c>
    </row>
    <row r="209" spans="12:13" x14ac:dyDescent="0.35">
      <c r="L209" s="52" t="str">
        <f t="shared" si="8"/>
        <v/>
      </c>
      <c r="M209" t="str">
        <f t="shared" si="9"/>
        <v/>
      </c>
    </row>
    <row r="210" spans="12:13" x14ac:dyDescent="0.35">
      <c r="L210" s="52" t="str">
        <f t="shared" si="8"/>
        <v/>
      </c>
      <c r="M210" t="str">
        <f t="shared" si="9"/>
        <v/>
      </c>
    </row>
    <row r="211" spans="12:13" x14ac:dyDescent="0.35">
      <c r="L211" s="52" t="str">
        <f t="shared" si="8"/>
        <v/>
      </c>
      <c r="M211" t="str">
        <f t="shared" si="9"/>
        <v/>
      </c>
    </row>
    <row r="212" spans="12:13" x14ac:dyDescent="0.35">
      <c r="L212" s="52" t="str">
        <f t="shared" si="8"/>
        <v/>
      </c>
      <c r="M212" t="str">
        <f t="shared" si="9"/>
        <v/>
      </c>
    </row>
    <row r="213" spans="12:13" x14ac:dyDescent="0.35">
      <c r="L213" s="52" t="str">
        <f t="shared" si="8"/>
        <v/>
      </c>
      <c r="M213" t="str">
        <f t="shared" si="9"/>
        <v/>
      </c>
    </row>
    <row r="214" spans="12:13" x14ac:dyDescent="0.35">
      <c r="L214" s="52" t="str">
        <f t="shared" si="8"/>
        <v/>
      </c>
      <c r="M214" t="str">
        <f t="shared" si="9"/>
        <v/>
      </c>
    </row>
    <row r="215" spans="12:13" x14ac:dyDescent="0.35">
      <c r="L215" s="52" t="str">
        <f t="shared" si="8"/>
        <v/>
      </c>
      <c r="M215" t="str">
        <f t="shared" si="9"/>
        <v/>
      </c>
    </row>
    <row r="216" spans="12:13" x14ac:dyDescent="0.35">
      <c r="L216" s="52" t="str">
        <f t="shared" si="8"/>
        <v/>
      </c>
      <c r="M216" t="str">
        <f t="shared" si="9"/>
        <v/>
      </c>
    </row>
    <row r="217" spans="12:13" x14ac:dyDescent="0.35">
      <c r="L217" s="52" t="str">
        <f t="shared" si="8"/>
        <v/>
      </c>
      <c r="M217" t="str">
        <f t="shared" si="9"/>
        <v/>
      </c>
    </row>
    <row r="218" spans="12:13" x14ac:dyDescent="0.35">
      <c r="L218" s="52" t="str">
        <f t="shared" si="8"/>
        <v/>
      </c>
      <c r="M218" t="str">
        <f t="shared" si="9"/>
        <v/>
      </c>
    </row>
    <row r="219" spans="12:13" x14ac:dyDescent="0.35">
      <c r="L219" s="52" t="str">
        <f t="shared" si="8"/>
        <v/>
      </c>
      <c r="M219" t="str">
        <f t="shared" si="9"/>
        <v/>
      </c>
    </row>
    <row r="220" spans="12:13" x14ac:dyDescent="0.35">
      <c r="L220" s="52" t="str">
        <f t="shared" si="8"/>
        <v/>
      </c>
      <c r="M220" t="str">
        <f t="shared" si="9"/>
        <v/>
      </c>
    </row>
    <row r="221" spans="12:13" x14ac:dyDescent="0.35">
      <c r="L221" s="52" t="str">
        <f t="shared" si="8"/>
        <v/>
      </c>
      <c r="M221" t="str">
        <f t="shared" si="9"/>
        <v/>
      </c>
    </row>
    <row r="222" spans="12:13" x14ac:dyDescent="0.35">
      <c r="L222" s="52" t="str">
        <f t="shared" si="8"/>
        <v/>
      </c>
      <c r="M222" t="str">
        <f t="shared" si="9"/>
        <v/>
      </c>
    </row>
    <row r="223" spans="12:13" x14ac:dyDescent="0.35">
      <c r="L223" s="52" t="str">
        <f t="shared" si="8"/>
        <v/>
      </c>
      <c r="M223" t="str">
        <f t="shared" si="9"/>
        <v/>
      </c>
    </row>
    <row r="224" spans="12:13" x14ac:dyDescent="0.35">
      <c r="L224" s="52" t="str">
        <f t="shared" si="8"/>
        <v/>
      </c>
      <c r="M224" t="str">
        <f t="shared" si="9"/>
        <v/>
      </c>
    </row>
    <row r="225" spans="12:13" x14ac:dyDescent="0.35">
      <c r="L225" s="52" t="str">
        <f t="shared" si="8"/>
        <v/>
      </c>
      <c r="M225" t="str">
        <f t="shared" si="9"/>
        <v/>
      </c>
    </row>
    <row r="226" spans="12:13" x14ac:dyDescent="0.35">
      <c r="L226" s="52" t="str">
        <f t="shared" si="8"/>
        <v/>
      </c>
      <c r="M226" t="str">
        <f t="shared" si="9"/>
        <v/>
      </c>
    </row>
    <row r="227" spans="12:13" x14ac:dyDescent="0.35">
      <c r="L227" s="52" t="str">
        <f t="shared" si="8"/>
        <v/>
      </c>
      <c r="M227" t="str">
        <f t="shared" si="9"/>
        <v/>
      </c>
    </row>
    <row r="228" spans="12:13" x14ac:dyDescent="0.35">
      <c r="L228" s="52" t="str">
        <f t="shared" si="8"/>
        <v/>
      </c>
      <c r="M228" t="str">
        <f t="shared" si="9"/>
        <v/>
      </c>
    </row>
    <row r="229" spans="12:13" x14ac:dyDescent="0.35">
      <c r="L229" s="52" t="str">
        <f t="shared" si="8"/>
        <v/>
      </c>
      <c r="M229" t="str">
        <f t="shared" si="9"/>
        <v/>
      </c>
    </row>
    <row r="230" spans="12:13" x14ac:dyDescent="0.35">
      <c r="L230" s="52" t="str">
        <f t="shared" si="8"/>
        <v/>
      </c>
      <c r="M230" t="str">
        <f t="shared" si="9"/>
        <v/>
      </c>
    </row>
    <row r="231" spans="12:13" x14ac:dyDescent="0.35">
      <c r="L231" s="52" t="str">
        <f t="shared" si="8"/>
        <v/>
      </c>
      <c r="M231" t="str">
        <f t="shared" si="9"/>
        <v/>
      </c>
    </row>
    <row r="232" spans="12:13" x14ac:dyDescent="0.35">
      <c r="L232" s="52" t="str">
        <f t="shared" si="8"/>
        <v/>
      </c>
      <c r="M232" t="str">
        <f t="shared" si="9"/>
        <v/>
      </c>
    </row>
    <row r="233" spans="12:13" x14ac:dyDescent="0.35">
      <c r="L233" s="52" t="str">
        <f t="shared" si="8"/>
        <v/>
      </c>
      <c r="M233" t="str">
        <f t="shared" si="9"/>
        <v/>
      </c>
    </row>
    <row r="234" spans="12:13" x14ac:dyDescent="0.35">
      <c r="L234" s="52" t="str">
        <f t="shared" si="8"/>
        <v/>
      </c>
      <c r="M234" t="str">
        <f t="shared" si="9"/>
        <v/>
      </c>
    </row>
    <row r="235" spans="12:13" x14ac:dyDescent="0.35">
      <c r="L235" s="52" t="str">
        <f t="shared" si="8"/>
        <v/>
      </c>
      <c r="M235" t="str">
        <f t="shared" si="9"/>
        <v/>
      </c>
    </row>
    <row r="236" spans="12:13" x14ac:dyDescent="0.35">
      <c r="L236" s="52" t="str">
        <f t="shared" si="8"/>
        <v/>
      </c>
      <c r="M236" t="str">
        <f t="shared" si="9"/>
        <v/>
      </c>
    </row>
    <row r="237" spans="12:13" x14ac:dyDescent="0.35">
      <c r="L237" s="52" t="str">
        <f t="shared" si="8"/>
        <v/>
      </c>
      <c r="M237" t="str">
        <f t="shared" si="9"/>
        <v/>
      </c>
    </row>
    <row r="238" spans="12:13" x14ac:dyDescent="0.35">
      <c r="L238" s="52" t="str">
        <f t="shared" si="8"/>
        <v/>
      </c>
      <c r="M238" t="str">
        <f t="shared" si="9"/>
        <v/>
      </c>
    </row>
    <row r="239" spans="12:13" x14ac:dyDescent="0.35">
      <c r="L239" s="52" t="str">
        <f t="shared" si="8"/>
        <v/>
      </c>
      <c r="M239" t="str">
        <f t="shared" si="9"/>
        <v/>
      </c>
    </row>
    <row r="240" spans="12:13" x14ac:dyDescent="0.35">
      <c r="L240" s="52" t="str">
        <f t="shared" si="8"/>
        <v/>
      </c>
      <c r="M240" t="str">
        <f t="shared" si="9"/>
        <v/>
      </c>
    </row>
    <row r="241" spans="12:13" x14ac:dyDescent="0.35">
      <c r="L241" s="52" t="str">
        <f t="shared" si="8"/>
        <v/>
      </c>
      <c r="M241" t="str">
        <f t="shared" si="9"/>
        <v/>
      </c>
    </row>
    <row r="242" spans="12:13" x14ac:dyDescent="0.35">
      <c r="L242" s="52" t="str">
        <f t="shared" si="8"/>
        <v/>
      </c>
      <c r="M242" t="str">
        <f t="shared" si="9"/>
        <v/>
      </c>
    </row>
    <row r="243" spans="12:13" x14ac:dyDescent="0.35">
      <c r="L243" s="52" t="str">
        <f t="shared" si="8"/>
        <v/>
      </c>
      <c r="M243" t="str">
        <f t="shared" si="9"/>
        <v/>
      </c>
    </row>
    <row r="244" spans="12:13" x14ac:dyDescent="0.35">
      <c r="L244" s="52" t="str">
        <f t="shared" si="8"/>
        <v/>
      </c>
      <c r="M244" t="str">
        <f t="shared" si="9"/>
        <v/>
      </c>
    </row>
    <row r="245" spans="12:13" x14ac:dyDescent="0.35">
      <c r="L245" s="52" t="str">
        <f t="shared" si="8"/>
        <v/>
      </c>
      <c r="M245" t="str">
        <f t="shared" si="9"/>
        <v/>
      </c>
    </row>
    <row r="246" spans="12:13" x14ac:dyDescent="0.35">
      <c r="L246" s="52" t="str">
        <f t="shared" si="8"/>
        <v/>
      </c>
      <c r="M246" t="str">
        <f t="shared" si="9"/>
        <v/>
      </c>
    </row>
    <row r="247" spans="12:13" x14ac:dyDescent="0.35">
      <c r="L247" s="52" t="str">
        <f t="shared" si="8"/>
        <v/>
      </c>
      <c r="M247" t="str">
        <f t="shared" si="9"/>
        <v/>
      </c>
    </row>
    <row r="248" spans="12:13" x14ac:dyDescent="0.35">
      <c r="L248" s="52" t="str">
        <f t="shared" si="8"/>
        <v/>
      </c>
      <c r="M248" t="str">
        <f t="shared" si="9"/>
        <v/>
      </c>
    </row>
    <row r="249" spans="12:13" x14ac:dyDescent="0.35">
      <c r="L249" s="52" t="str">
        <f t="shared" si="8"/>
        <v/>
      </c>
      <c r="M249" t="str">
        <f t="shared" si="9"/>
        <v/>
      </c>
    </row>
    <row r="250" spans="12:13" x14ac:dyDescent="0.35">
      <c r="L250" s="52" t="str">
        <f t="shared" si="8"/>
        <v/>
      </c>
      <c r="M250" t="str">
        <f t="shared" si="9"/>
        <v/>
      </c>
    </row>
    <row r="251" spans="12:13" x14ac:dyDescent="0.35">
      <c r="L251" s="52" t="str">
        <f t="shared" si="8"/>
        <v/>
      </c>
      <c r="M251" t="str">
        <f t="shared" si="9"/>
        <v/>
      </c>
    </row>
    <row r="252" spans="12:13" x14ac:dyDescent="0.35">
      <c r="L252" s="52" t="str">
        <f t="shared" si="8"/>
        <v/>
      </c>
      <c r="M252" t="str">
        <f t="shared" si="9"/>
        <v/>
      </c>
    </row>
    <row r="253" spans="12:13" x14ac:dyDescent="0.35">
      <c r="L253" s="52" t="str">
        <f t="shared" si="8"/>
        <v/>
      </c>
      <c r="M253" t="str">
        <f t="shared" si="9"/>
        <v/>
      </c>
    </row>
    <row r="254" spans="12:13" x14ac:dyDescent="0.35">
      <c r="L254" s="52" t="str">
        <f t="shared" si="8"/>
        <v/>
      </c>
      <c r="M254" t="str">
        <f t="shared" si="9"/>
        <v/>
      </c>
    </row>
    <row r="255" spans="12:13" x14ac:dyDescent="0.35">
      <c r="L255" s="52" t="str">
        <f t="shared" si="8"/>
        <v/>
      </c>
      <c r="M255" t="str">
        <f t="shared" si="9"/>
        <v/>
      </c>
    </row>
    <row r="256" spans="12:13" x14ac:dyDescent="0.35">
      <c r="L256" s="52" t="str">
        <f t="shared" si="8"/>
        <v/>
      </c>
      <c r="M256" t="str">
        <f t="shared" si="9"/>
        <v/>
      </c>
    </row>
    <row r="257" spans="12:13" x14ac:dyDescent="0.35">
      <c r="L257" s="52" t="str">
        <f t="shared" si="8"/>
        <v/>
      </c>
      <c r="M257" t="str">
        <f t="shared" si="9"/>
        <v/>
      </c>
    </row>
    <row r="258" spans="12:13" x14ac:dyDescent="0.35">
      <c r="L258" s="52" t="str">
        <f t="shared" si="8"/>
        <v/>
      </c>
      <c r="M258" t="str">
        <f t="shared" si="9"/>
        <v/>
      </c>
    </row>
    <row r="259" spans="12:13" x14ac:dyDescent="0.35">
      <c r="L259" s="52" t="str">
        <f t="shared" si="8"/>
        <v/>
      </c>
      <c r="M259" t="str">
        <f t="shared" si="9"/>
        <v/>
      </c>
    </row>
    <row r="260" spans="12:13" x14ac:dyDescent="0.35">
      <c r="L260" s="52" t="str">
        <f t="shared" si="8"/>
        <v/>
      </c>
      <c r="M260" t="str">
        <f t="shared" si="9"/>
        <v/>
      </c>
    </row>
    <row r="261" spans="12:13" x14ac:dyDescent="0.35">
      <c r="L261" s="52" t="str">
        <f t="shared" si="8"/>
        <v/>
      </c>
      <c r="M261" t="str">
        <f t="shared" si="9"/>
        <v/>
      </c>
    </row>
    <row r="262" spans="12:13" x14ac:dyDescent="0.35">
      <c r="L262" s="52" t="str">
        <f t="shared" si="8"/>
        <v/>
      </c>
      <c r="M262" t="str">
        <f t="shared" si="9"/>
        <v/>
      </c>
    </row>
    <row r="263" spans="12:13" x14ac:dyDescent="0.35">
      <c r="L263" s="52" t="str">
        <f t="shared" si="8"/>
        <v/>
      </c>
      <c r="M263" t="str">
        <f t="shared" si="9"/>
        <v/>
      </c>
    </row>
    <row r="264" spans="12:13" x14ac:dyDescent="0.35">
      <c r="L264" s="52" t="str">
        <f t="shared" si="8"/>
        <v/>
      </c>
      <c r="M264" t="str">
        <f t="shared" si="9"/>
        <v/>
      </c>
    </row>
    <row r="265" spans="12:13" x14ac:dyDescent="0.35">
      <c r="L265" s="52" t="str">
        <f t="shared" si="8"/>
        <v/>
      </c>
      <c r="M265" t="str">
        <f t="shared" si="9"/>
        <v/>
      </c>
    </row>
    <row r="266" spans="12:13" x14ac:dyDescent="0.35">
      <c r="L266" s="52" t="str">
        <f t="shared" si="8"/>
        <v/>
      </c>
      <c r="M266" t="str">
        <f t="shared" si="9"/>
        <v/>
      </c>
    </row>
    <row r="267" spans="12:13" x14ac:dyDescent="0.35">
      <c r="L267" s="52" t="str">
        <f t="shared" si="8"/>
        <v/>
      </c>
      <c r="M267" t="str">
        <f t="shared" si="9"/>
        <v/>
      </c>
    </row>
    <row r="268" spans="12:13" x14ac:dyDescent="0.35">
      <c r="L268" s="52" t="str">
        <f t="shared" ref="L268:L331" si="10">IF(B268="Total general","",IF(K268="","",CONCATENATE("Q",IF(K268&gt;$U$11,1,IF((AND(K268&gt;$V$11,K268&lt;=$U$11)),2,IF(AND(K268&gt;$W$11,K268&lt;=$V$11),3,IF(K268&lt;=$W$11,4)))))))</f>
        <v/>
      </c>
      <c r="M268" t="str">
        <f t="shared" ref="M268:M331" si="11">IF(B268="Total general","",IF(K268="","",IF(AND(C268=$T$16,K268&gt;=$T$17),"Cumple",IF(AND(C268=$U$16,K268&gt;=$U$17),"Cumple",IF(AND(C268=$V$16,K268&gt;=$V$17),"Cumple","No Cumple")))))</f>
        <v/>
      </c>
    </row>
    <row r="269" spans="12:13" x14ac:dyDescent="0.35">
      <c r="L269" s="52" t="str">
        <f t="shared" si="10"/>
        <v/>
      </c>
      <c r="M269" t="str">
        <f t="shared" si="11"/>
        <v/>
      </c>
    </row>
    <row r="270" spans="12:13" x14ac:dyDescent="0.35">
      <c r="L270" s="52" t="str">
        <f t="shared" si="10"/>
        <v/>
      </c>
      <c r="M270" t="str">
        <f t="shared" si="11"/>
        <v/>
      </c>
    </row>
    <row r="271" spans="12:13" x14ac:dyDescent="0.35">
      <c r="L271" s="52" t="str">
        <f t="shared" si="10"/>
        <v/>
      </c>
      <c r="M271" t="str">
        <f t="shared" si="11"/>
        <v/>
      </c>
    </row>
    <row r="272" spans="12:13" x14ac:dyDescent="0.35">
      <c r="L272" s="52" t="str">
        <f t="shared" si="10"/>
        <v/>
      </c>
      <c r="M272" t="str">
        <f t="shared" si="11"/>
        <v/>
      </c>
    </row>
    <row r="273" spans="12:13" x14ac:dyDescent="0.35">
      <c r="L273" s="52" t="str">
        <f t="shared" si="10"/>
        <v/>
      </c>
      <c r="M273" t="str">
        <f t="shared" si="11"/>
        <v/>
      </c>
    </row>
    <row r="274" spans="12:13" x14ac:dyDescent="0.35">
      <c r="L274" s="52" t="str">
        <f t="shared" si="10"/>
        <v/>
      </c>
      <c r="M274" t="str">
        <f t="shared" si="11"/>
        <v/>
      </c>
    </row>
    <row r="275" spans="12:13" x14ac:dyDescent="0.35">
      <c r="L275" s="52" t="str">
        <f t="shared" si="10"/>
        <v/>
      </c>
      <c r="M275" t="str">
        <f t="shared" si="11"/>
        <v/>
      </c>
    </row>
    <row r="276" spans="12:13" x14ac:dyDescent="0.35">
      <c r="L276" s="52" t="str">
        <f t="shared" si="10"/>
        <v/>
      </c>
      <c r="M276" t="str">
        <f t="shared" si="11"/>
        <v/>
      </c>
    </row>
    <row r="277" spans="12:13" x14ac:dyDescent="0.35">
      <c r="L277" s="52" t="str">
        <f t="shared" si="10"/>
        <v/>
      </c>
      <c r="M277" t="str">
        <f t="shared" si="11"/>
        <v/>
      </c>
    </row>
    <row r="278" spans="12:13" x14ac:dyDescent="0.35">
      <c r="L278" s="52" t="str">
        <f t="shared" si="10"/>
        <v/>
      </c>
      <c r="M278" t="str">
        <f t="shared" si="11"/>
        <v/>
      </c>
    </row>
    <row r="279" spans="12:13" x14ac:dyDescent="0.35">
      <c r="L279" s="52" t="str">
        <f t="shared" si="10"/>
        <v/>
      </c>
      <c r="M279" t="str">
        <f t="shared" si="11"/>
        <v/>
      </c>
    </row>
    <row r="280" spans="12:13" x14ac:dyDescent="0.35">
      <c r="L280" s="52" t="str">
        <f t="shared" si="10"/>
        <v/>
      </c>
      <c r="M280" t="str">
        <f t="shared" si="11"/>
        <v/>
      </c>
    </row>
    <row r="281" spans="12:13" x14ac:dyDescent="0.35">
      <c r="L281" s="52" t="str">
        <f t="shared" si="10"/>
        <v/>
      </c>
      <c r="M281" t="str">
        <f t="shared" si="11"/>
        <v/>
      </c>
    </row>
    <row r="282" spans="12:13" x14ac:dyDescent="0.35">
      <c r="L282" s="52" t="str">
        <f t="shared" si="10"/>
        <v/>
      </c>
      <c r="M282" t="str">
        <f t="shared" si="11"/>
        <v/>
      </c>
    </row>
    <row r="283" spans="12:13" x14ac:dyDescent="0.35">
      <c r="L283" s="52" t="str">
        <f t="shared" si="10"/>
        <v/>
      </c>
      <c r="M283" t="str">
        <f t="shared" si="11"/>
        <v/>
      </c>
    </row>
    <row r="284" spans="12:13" x14ac:dyDescent="0.35">
      <c r="L284" s="52" t="str">
        <f t="shared" si="10"/>
        <v/>
      </c>
      <c r="M284" t="str">
        <f t="shared" si="11"/>
        <v/>
      </c>
    </row>
    <row r="285" spans="12:13" x14ac:dyDescent="0.35">
      <c r="L285" s="52" t="str">
        <f t="shared" si="10"/>
        <v/>
      </c>
      <c r="M285" t="str">
        <f t="shared" si="11"/>
        <v/>
      </c>
    </row>
    <row r="286" spans="12:13" x14ac:dyDescent="0.35">
      <c r="L286" s="52" t="str">
        <f t="shared" si="10"/>
        <v/>
      </c>
      <c r="M286" t="str">
        <f t="shared" si="11"/>
        <v/>
      </c>
    </row>
    <row r="287" spans="12:13" x14ac:dyDescent="0.35">
      <c r="L287" s="52" t="str">
        <f t="shared" si="10"/>
        <v/>
      </c>
      <c r="M287" t="str">
        <f t="shared" si="11"/>
        <v/>
      </c>
    </row>
    <row r="288" spans="12:13" x14ac:dyDescent="0.35">
      <c r="L288" s="52" t="str">
        <f t="shared" si="10"/>
        <v/>
      </c>
      <c r="M288" t="str">
        <f t="shared" si="11"/>
        <v/>
      </c>
    </row>
    <row r="289" spans="12:13" x14ac:dyDescent="0.35">
      <c r="L289" s="52" t="str">
        <f t="shared" si="10"/>
        <v/>
      </c>
      <c r="M289" t="str">
        <f t="shared" si="11"/>
        <v/>
      </c>
    </row>
    <row r="290" spans="12:13" x14ac:dyDescent="0.35">
      <c r="L290" s="52" t="str">
        <f t="shared" si="10"/>
        <v/>
      </c>
      <c r="M290" t="str">
        <f t="shared" si="11"/>
        <v/>
      </c>
    </row>
    <row r="291" spans="12:13" x14ac:dyDescent="0.35">
      <c r="L291" s="52" t="str">
        <f t="shared" si="10"/>
        <v/>
      </c>
      <c r="M291" t="str">
        <f t="shared" si="11"/>
        <v/>
      </c>
    </row>
    <row r="292" spans="12:13" x14ac:dyDescent="0.35">
      <c r="L292" s="52" t="str">
        <f t="shared" si="10"/>
        <v/>
      </c>
      <c r="M292" t="str">
        <f t="shared" si="11"/>
        <v/>
      </c>
    </row>
    <row r="293" spans="12:13" x14ac:dyDescent="0.35">
      <c r="L293" s="52" t="str">
        <f t="shared" si="10"/>
        <v/>
      </c>
      <c r="M293" t="str">
        <f t="shared" si="11"/>
        <v/>
      </c>
    </row>
    <row r="294" spans="12:13" x14ac:dyDescent="0.35">
      <c r="L294" s="52" t="str">
        <f t="shared" si="10"/>
        <v/>
      </c>
      <c r="M294" t="str">
        <f t="shared" si="11"/>
        <v/>
      </c>
    </row>
    <row r="295" spans="12:13" x14ac:dyDescent="0.35">
      <c r="L295" s="52" t="str">
        <f t="shared" si="10"/>
        <v/>
      </c>
      <c r="M295" t="str">
        <f t="shared" si="11"/>
        <v/>
      </c>
    </row>
    <row r="296" spans="12:13" x14ac:dyDescent="0.35">
      <c r="L296" s="52" t="str">
        <f t="shared" si="10"/>
        <v/>
      </c>
      <c r="M296" t="str">
        <f t="shared" si="11"/>
        <v/>
      </c>
    </row>
    <row r="297" spans="12:13" x14ac:dyDescent="0.35">
      <c r="L297" s="52" t="str">
        <f t="shared" si="10"/>
        <v/>
      </c>
      <c r="M297" t="str">
        <f t="shared" si="11"/>
        <v/>
      </c>
    </row>
    <row r="298" spans="12:13" x14ac:dyDescent="0.35">
      <c r="L298" s="52" t="str">
        <f t="shared" si="10"/>
        <v/>
      </c>
      <c r="M298" t="str">
        <f t="shared" si="11"/>
        <v/>
      </c>
    </row>
    <row r="299" spans="12:13" x14ac:dyDescent="0.35">
      <c r="L299" s="52" t="str">
        <f t="shared" si="10"/>
        <v/>
      </c>
      <c r="M299" t="str">
        <f t="shared" si="11"/>
        <v/>
      </c>
    </row>
    <row r="300" spans="12:13" x14ac:dyDescent="0.35">
      <c r="L300" s="52" t="str">
        <f t="shared" si="10"/>
        <v/>
      </c>
      <c r="M300" t="str">
        <f t="shared" si="11"/>
        <v/>
      </c>
    </row>
    <row r="301" spans="12:13" x14ac:dyDescent="0.35">
      <c r="L301" s="52" t="str">
        <f t="shared" si="10"/>
        <v/>
      </c>
      <c r="M301" t="str">
        <f t="shared" si="11"/>
        <v/>
      </c>
    </row>
    <row r="302" spans="12:13" x14ac:dyDescent="0.35">
      <c r="L302" s="52" t="str">
        <f t="shared" si="10"/>
        <v/>
      </c>
      <c r="M302" t="str">
        <f t="shared" si="11"/>
        <v/>
      </c>
    </row>
    <row r="303" spans="12:13" x14ac:dyDescent="0.35">
      <c r="L303" s="52" t="str">
        <f t="shared" si="10"/>
        <v/>
      </c>
      <c r="M303" t="str">
        <f t="shared" si="11"/>
        <v/>
      </c>
    </row>
    <row r="304" spans="12:13" x14ac:dyDescent="0.35">
      <c r="L304" s="52" t="str">
        <f t="shared" si="10"/>
        <v/>
      </c>
      <c r="M304" t="str">
        <f t="shared" si="11"/>
        <v/>
      </c>
    </row>
    <row r="305" spans="12:13" x14ac:dyDescent="0.35">
      <c r="L305" s="52" t="str">
        <f t="shared" si="10"/>
        <v/>
      </c>
      <c r="M305" t="str">
        <f t="shared" si="11"/>
        <v/>
      </c>
    </row>
    <row r="306" spans="12:13" x14ac:dyDescent="0.35">
      <c r="L306" s="52" t="str">
        <f t="shared" si="10"/>
        <v/>
      </c>
      <c r="M306" t="str">
        <f t="shared" si="11"/>
        <v/>
      </c>
    </row>
    <row r="307" spans="12:13" x14ac:dyDescent="0.35">
      <c r="L307" s="52" t="str">
        <f t="shared" si="10"/>
        <v/>
      </c>
      <c r="M307" t="str">
        <f t="shared" si="11"/>
        <v/>
      </c>
    </row>
    <row r="308" spans="12:13" x14ac:dyDescent="0.35">
      <c r="L308" s="52" t="str">
        <f t="shared" si="10"/>
        <v/>
      </c>
      <c r="M308" t="str">
        <f t="shared" si="11"/>
        <v/>
      </c>
    </row>
    <row r="309" spans="12:13" x14ac:dyDescent="0.35">
      <c r="L309" s="52" t="str">
        <f t="shared" si="10"/>
        <v/>
      </c>
      <c r="M309" t="str">
        <f t="shared" si="11"/>
        <v/>
      </c>
    </row>
    <row r="310" spans="12:13" x14ac:dyDescent="0.35">
      <c r="L310" s="52" t="str">
        <f t="shared" si="10"/>
        <v/>
      </c>
      <c r="M310" t="str">
        <f t="shared" si="11"/>
        <v/>
      </c>
    </row>
    <row r="311" spans="12:13" x14ac:dyDescent="0.35">
      <c r="L311" s="52" t="str">
        <f t="shared" si="10"/>
        <v/>
      </c>
      <c r="M311" t="str">
        <f t="shared" si="11"/>
        <v/>
      </c>
    </row>
    <row r="312" spans="12:13" x14ac:dyDescent="0.35">
      <c r="L312" s="52" t="str">
        <f t="shared" si="10"/>
        <v/>
      </c>
      <c r="M312" t="str">
        <f t="shared" si="11"/>
        <v/>
      </c>
    </row>
    <row r="313" spans="12:13" x14ac:dyDescent="0.35">
      <c r="L313" s="52" t="str">
        <f t="shared" si="10"/>
        <v/>
      </c>
      <c r="M313" t="str">
        <f t="shared" si="11"/>
        <v/>
      </c>
    </row>
    <row r="314" spans="12:13" x14ac:dyDescent="0.35">
      <c r="L314" s="52" t="str">
        <f t="shared" si="10"/>
        <v/>
      </c>
      <c r="M314" t="str">
        <f t="shared" si="11"/>
        <v/>
      </c>
    </row>
    <row r="315" spans="12:13" x14ac:dyDescent="0.35">
      <c r="L315" s="52" t="str">
        <f t="shared" si="10"/>
        <v/>
      </c>
      <c r="M315" t="str">
        <f t="shared" si="11"/>
        <v/>
      </c>
    </row>
    <row r="316" spans="12:13" x14ac:dyDescent="0.35">
      <c r="L316" s="52" t="str">
        <f t="shared" si="10"/>
        <v/>
      </c>
      <c r="M316" t="str">
        <f t="shared" si="11"/>
        <v/>
      </c>
    </row>
    <row r="317" spans="12:13" x14ac:dyDescent="0.35">
      <c r="L317" s="52" t="str">
        <f t="shared" si="10"/>
        <v/>
      </c>
      <c r="M317" t="str">
        <f t="shared" si="11"/>
        <v/>
      </c>
    </row>
    <row r="318" spans="12:13" x14ac:dyDescent="0.35">
      <c r="L318" s="52" t="str">
        <f t="shared" si="10"/>
        <v/>
      </c>
      <c r="M318" t="str">
        <f t="shared" si="11"/>
        <v/>
      </c>
    </row>
    <row r="319" spans="12:13" x14ac:dyDescent="0.35">
      <c r="L319" s="52" t="str">
        <f t="shared" si="10"/>
        <v/>
      </c>
      <c r="M319" t="str">
        <f t="shared" si="11"/>
        <v/>
      </c>
    </row>
    <row r="320" spans="12:13" x14ac:dyDescent="0.35">
      <c r="L320" s="52" t="str">
        <f t="shared" si="10"/>
        <v/>
      </c>
      <c r="M320" t="str">
        <f t="shared" si="11"/>
        <v/>
      </c>
    </row>
    <row r="321" spans="12:13" x14ac:dyDescent="0.35">
      <c r="L321" s="52" t="str">
        <f t="shared" si="10"/>
        <v/>
      </c>
      <c r="M321" t="str">
        <f t="shared" si="11"/>
        <v/>
      </c>
    </row>
    <row r="322" spans="12:13" x14ac:dyDescent="0.35">
      <c r="L322" s="52" t="str">
        <f t="shared" si="10"/>
        <v/>
      </c>
      <c r="M322" t="str">
        <f t="shared" si="11"/>
        <v/>
      </c>
    </row>
    <row r="323" spans="12:13" x14ac:dyDescent="0.35">
      <c r="L323" s="52" t="str">
        <f t="shared" si="10"/>
        <v/>
      </c>
      <c r="M323" t="str">
        <f t="shared" si="11"/>
        <v/>
      </c>
    </row>
    <row r="324" spans="12:13" x14ac:dyDescent="0.35">
      <c r="L324" s="52" t="str">
        <f t="shared" si="10"/>
        <v/>
      </c>
      <c r="M324" t="str">
        <f t="shared" si="11"/>
        <v/>
      </c>
    </row>
    <row r="325" spans="12:13" x14ac:dyDescent="0.35">
      <c r="L325" s="52" t="str">
        <f t="shared" si="10"/>
        <v/>
      </c>
      <c r="M325" t="str">
        <f t="shared" si="11"/>
        <v/>
      </c>
    </row>
    <row r="326" spans="12:13" x14ac:dyDescent="0.35">
      <c r="L326" s="52" t="str">
        <f t="shared" si="10"/>
        <v/>
      </c>
      <c r="M326" t="str">
        <f t="shared" si="11"/>
        <v/>
      </c>
    </row>
    <row r="327" spans="12:13" x14ac:dyDescent="0.35">
      <c r="L327" s="52" t="str">
        <f t="shared" si="10"/>
        <v/>
      </c>
      <c r="M327" t="str">
        <f t="shared" si="11"/>
        <v/>
      </c>
    </row>
    <row r="328" spans="12:13" x14ac:dyDescent="0.35">
      <c r="L328" s="52" t="str">
        <f t="shared" si="10"/>
        <v/>
      </c>
      <c r="M328" t="str">
        <f t="shared" si="11"/>
        <v/>
      </c>
    </row>
    <row r="329" spans="12:13" x14ac:dyDescent="0.35">
      <c r="L329" s="52" t="str">
        <f t="shared" si="10"/>
        <v/>
      </c>
      <c r="M329" t="str">
        <f t="shared" si="11"/>
        <v/>
      </c>
    </row>
    <row r="330" spans="12:13" x14ac:dyDescent="0.35">
      <c r="L330" s="52" t="str">
        <f t="shared" si="10"/>
        <v/>
      </c>
      <c r="M330" t="str">
        <f t="shared" si="11"/>
        <v/>
      </c>
    </row>
    <row r="331" spans="12:13" x14ac:dyDescent="0.35">
      <c r="L331" s="52" t="str">
        <f t="shared" si="10"/>
        <v/>
      </c>
      <c r="M331" t="str">
        <f t="shared" si="11"/>
        <v/>
      </c>
    </row>
    <row r="332" spans="12:13" x14ac:dyDescent="0.35">
      <c r="L332" s="52" t="str">
        <f t="shared" ref="L332:L395" si="12">IF(B332="Total general","",IF(K332="","",CONCATENATE("Q",IF(K332&gt;$U$11,1,IF((AND(K332&gt;$V$11,K332&lt;=$U$11)),2,IF(AND(K332&gt;$W$11,K332&lt;=$V$11),3,IF(K332&lt;=$W$11,4)))))))</f>
        <v/>
      </c>
      <c r="M332" t="str">
        <f t="shared" ref="M332:M395" si="13">IF(B332="Total general","",IF(K332="","",IF(AND(C332=$T$16,K332&gt;=$T$17),"Cumple",IF(AND(C332=$U$16,K332&gt;=$U$17),"Cumple",IF(AND(C332=$V$16,K332&gt;=$V$17),"Cumple","No Cumple")))))</f>
        <v/>
      </c>
    </row>
    <row r="333" spans="12:13" x14ac:dyDescent="0.35">
      <c r="L333" s="52" t="str">
        <f t="shared" si="12"/>
        <v/>
      </c>
      <c r="M333" t="str">
        <f t="shared" si="13"/>
        <v/>
      </c>
    </row>
    <row r="334" spans="12:13" x14ac:dyDescent="0.35">
      <c r="L334" s="52" t="str">
        <f t="shared" si="12"/>
        <v/>
      </c>
      <c r="M334" t="str">
        <f t="shared" si="13"/>
        <v/>
      </c>
    </row>
    <row r="335" spans="12:13" x14ac:dyDescent="0.35">
      <c r="L335" s="52" t="str">
        <f t="shared" si="12"/>
        <v/>
      </c>
      <c r="M335" t="str">
        <f t="shared" si="13"/>
        <v/>
      </c>
    </row>
    <row r="336" spans="12:13" x14ac:dyDescent="0.35">
      <c r="L336" s="52" t="str">
        <f t="shared" si="12"/>
        <v/>
      </c>
      <c r="M336" t="str">
        <f t="shared" si="13"/>
        <v/>
      </c>
    </row>
    <row r="337" spans="12:13" x14ac:dyDescent="0.35">
      <c r="L337" s="52" t="str">
        <f t="shared" si="12"/>
        <v/>
      </c>
      <c r="M337" t="str">
        <f t="shared" si="13"/>
        <v/>
      </c>
    </row>
    <row r="338" spans="12:13" x14ac:dyDescent="0.35">
      <c r="L338" s="52" t="str">
        <f t="shared" si="12"/>
        <v/>
      </c>
      <c r="M338" t="str">
        <f t="shared" si="13"/>
        <v/>
      </c>
    </row>
    <row r="339" spans="12:13" x14ac:dyDescent="0.35">
      <c r="L339" s="52" t="str">
        <f t="shared" si="12"/>
        <v/>
      </c>
      <c r="M339" t="str">
        <f t="shared" si="13"/>
        <v/>
      </c>
    </row>
    <row r="340" spans="12:13" x14ac:dyDescent="0.35">
      <c r="L340" s="52" t="str">
        <f t="shared" si="12"/>
        <v/>
      </c>
      <c r="M340" t="str">
        <f t="shared" si="13"/>
        <v/>
      </c>
    </row>
    <row r="341" spans="12:13" x14ac:dyDescent="0.35">
      <c r="L341" s="52" t="str">
        <f t="shared" si="12"/>
        <v/>
      </c>
      <c r="M341" t="str">
        <f t="shared" si="13"/>
        <v/>
      </c>
    </row>
    <row r="342" spans="12:13" x14ac:dyDescent="0.35">
      <c r="L342" s="52" t="str">
        <f t="shared" si="12"/>
        <v/>
      </c>
      <c r="M342" t="str">
        <f t="shared" si="13"/>
        <v/>
      </c>
    </row>
    <row r="343" spans="12:13" x14ac:dyDescent="0.35">
      <c r="L343" s="52" t="str">
        <f t="shared" si="12"/>
        <v/>
      </c>
      <c r="M343" t="str">
        <f t="shared" si="13"/>
        <v/>
      </c>
    </row>
    <row r="344" spans="12:13" x14ac:dyDescent="0.35">
      <c r="L344" s="52" t="str">
        <f t="shared" si="12"/>
        <v/>
      </c>
      <c r="M344" t="str">
        <f t="shared" si="13"/>
        <v/>
      </c>
    </row>
    <row r="345" spans="12:13" x14ac:dyDescent="0.35">
      <c r="L345" s="52" t="str">
        <f t="shared" si="12"/>
        <v/>
      </c>
      <c r="M345" t="str">
        <f t="shared" si="13"/>
        <v/>
      </c>
    </row>
    <row r="346" spans="12:13" x14ac:dyDescent="0.35">
      <c r="L346" s="52" t="str">
        <f t="shared" si="12"/>
        <v/>
      </c>
      <c r="M346" t="str">
        <f t="shared" si="13"/>
        <v/>
      </c>
    </row>
    <row r="347" spans="12:13" x14ac:dyDescent="0.35">
      <c r="L347" s="52" t="str">
        <f t="shared" si="12"/>
        <v/>
      </c>
      <c r="M347" t="str">
        <f t="shared" si="13"/>
        <v/>
      </c>
    </row>
    <row r="348" spans="12:13" x14ac:dyDescent="0.35">
      <c r="L348" s="52" t="str">
        <f t="shared" si="12"/>
        <v/>
      </c>
      <c r="M348" t="str">
        <f t="shared" si="13"/>
        <v/>
      </c>
    </row>
    <row r="349" spans="12:13" x14ac:dyDescent="0.35">
      <c r="L349" s="52" t="str">
        <f t="shared" si="12"/>
        <v/>
      </c>
      <c r="M349" t="str">
        <f t="shared" si="13"/>
        <v/>
      </c>
    </row>
    <row r="350" spans="12:13" x14ac:dyDescent="0.35">
      <c r="L350" s="52" t="str">
        <f t="shared" si="12"/>
        <v/>
      </c>
      <c r="M350" t="str">
        <f t="shared" si="13"/>
        <v/>
      </c>
    </row>
    <row r="351" spans="12:13" x14ac:dyDescent="0.35">
      <c r="L351" s="52" t="str">
        <f t="shared" si="12"/>
        <v/>
      </c>
      <c r="M351" t="str">
        <f t="shared" si="13"/>
        <v/>
      </c>
    </row>
    <row r="352" spans="12:13" x14ac:dyDescent="0.35">
      <c r="L352" s="52" t="str">
        <f t="shared" si="12"/>
        <v/>
      </c>
      <c r="M352" t="str">
        <f t="shared" si="13"/>
        <v/>
      </c>
    </row>
    <row r="353" spans="12:13" x14ac:dyDescent="0.35">
      <c r="L353" s="52" t="str">
        <f t="shared" si="12"/>
        <v/>
      </c>
      <c r="M353" t="str">
        <f t="shared" si="13"/>
        <v/>
      </c>
    </row>
    <row r="354" spans="12:13" x14ac:dyDescent="0.35">
      <c r="L354" s="52" t="str">
        <f t="shared" si="12"/>
        <v/>
      </c>
      <c r="M354" t="str">
        <f t="shared" si="13"/>
        <v/>
      </c>
    </row>
    <row r="355" spans="12:13" x14ac:dyDescent="0.35">
      <c r="L355" s="52" t="str">
        <f t="shared" si="12"/>
        <v/>
      </c>
      <c r="M355" t="str">
        <f t="shared" si="13"/>
        <v/>
      </c>
    </row>
    <row r="356" spans="12:13" x14ac:dyDescent="0.35">
      <c r="L356" s="52" t="str">
        <f t="shared" si="12"/>
        <v/>
      </c>
      <c r="M356" t="str">
        <f t="shared" si="13"/>
        <v/>
      </c>
    </row>
    <row r="357" spans="12:13" x14ac:dyDescent="0.35">
      <c r="L357" s="52" t="str">
        <f t="shared" si="12"/>
        <v/>
      </c>
      <c r="M357" t="str">
        <f t="shared" si="13"/>
        <v/>
      </c>
    </row>
    <row r="358" spans="12:13" x14ac:dyDescent="0.35">
      <c r="L358" s="52" t="str">
        <f t="shared" si="12"/>
        <v/>
      </c>
      <c r="M358" t="str">
        <f t="shared" si="13"/>
        <v/>
      </c>
    </row>
    <row r="359" spans="12:13" x14ac:dyDescent="0.35">
      <c r="L359" s="52" t="str">
        <f t="shared" si="12"/>
        <v/>
      </c>
      <c r="M359" t="str">
        <f t="shared" si="13"/>
        <v/>
      </c>
    </row>
    <row r="360" spans="12:13" x14ac:dyDescent="0.35">
      <c r="L360" s="52" t="str">
        <f t="shared" si="12"/>
        <v/>
      </c>
      <c r="M360" t="str">
        <f t="shared" si="13"/>
        <v/>
      </c>
    </row>
    <row r="361" spans="12:13" x14ac:dyDescent="0.35">
      <c r="L361" s="52" t="str">
        <f t="shared" si="12"/>
        <v/>
      </c>
      <c r="M361" t="str">
        <f t="shared" si="13"/>
        <v/>
      </c>
    </row>
    <row r="362" spans="12:13" x14ac:dyDescent="0.35">
      <c r="L362" s="52" t="str">
        <f t="shared" si="12"/>
        <v/>
      </c>
      <c r="M362" t="str">
        <f t="shared" si="13"/>
        <v/>
      </c>
    </row>
    <row r="363" spans="12:13" x14ac:dyDescent="0.35">
      <c r="L363" s="52" t="str">
        <f t="shared" si="12"/>
        <v/>
      </c>
      <c r="M363" t="str">
        <f t="shared" si="13"/>
        <v/>
      </c>
    </row>
    <row r="364" spans="12:13" x14ac:dyDescent="0.35">
      <c r="L364" s="52" t="str">
        <f t="shared" si="12"/>
        <v/>
      </c>
      <c r="M364" t="str">
        <f t="shared" si="13"/>
        <v/>
      </c>
    </row>
    <row r="365" spans="12:13" x14ac:dyDescent="0.35">
      <c r="L365" s="52" t="str">
        <f t="shared" si="12"/>
        <v/>
      </c>
      <c r="M365" t="str">
        <f t="shared" si="13"/>
        <v/>
      </c>
    </row>
    <row r="366" spans="12:13" x14ac:dyDescent="0.35">
      <c r="L366" s="52" t="str">
        <f t="shared" si="12"/>
        <v/>
      </c>
      <c r="M366" t="str">
        <f t="shared" si="13"/>
        <v/>
      </c>
    </row>
    <row r="367" spans="12:13" x14ac:dyDescent="0.35">
      <c r="L367" s="52" t="str">
        <f t="shared" si="12"/>
        <v/>
      </c>
      <c r="M367" t="str">
        <f t="shared" si="13"/>
        <v/>
      </c>
    </row>
    <row r="368" spans="12:13" x14ac:dyDescent="0.35">
      <c r="L368" s="52" t="str">
        <f t="shared" si="12"/>
        <v/>
      </c>
      <c r="M368" t="str">
        <f t="shared" si="13"/>
        <v/>
      </c>
    </row>
    <row r="369" spans="12:13" x14ac:dyDescent="0.35">
      <c r="L369" s="52" t="str">
        <f t="shared" si="12"/>
        <v/>
      </c>
      <c r="M369" t="str">
        <f t="shared" si="13"/>
        <v/>
      </c>
    </row>
    <row r="370" spans="12:13" x14ac:dyDescent="0.35">
      <c r="L370" s="52" t="str">
        <f t="shared" si="12"/>
        <v/>
      </c>
      <c r="M370" t="str">
        <f t="shared" si="13"/>
        <v/>
      </c>
    </row>
    <row r="371" spans="12:13" x14ac:dyDescent="0.35">
      <c r="L371" s="52" t="str">
        <f t="shared" si="12"/>
        <v/>
      </c>
      <c r="M371" t="str">
        <f t="shared" si="13"/>
        <v/>
      </c>
    </row>
    <row r="372" spans="12:13" x14ac:dyDescent="0.35">
      <c r="L372" s="52" t="str">
        <f t="shared" si="12"/>
        <v/>
      </c>
      <c r="M372" t="str">
        <f t="shared" si="13"/>
        <v/>
      </c>
    </row>
    <row r="373" spans="12:13" x14ac:dyDescent="0.35">
      <c r="L373" s="52" t="str">
        <f t="shared" si="12"/>
        <v/>
      </c>
      <c r="M373" t="str">
        <f t="shared" si="13"/>
        <v/>
      </c>
    </row>
    <row r="374" spans="12:13" x14ac:dyDescent="0.35">
      <c r="L374" s="52" t="str">
        <f t="shared" si="12"/>
        <v/>
      </c>
      <c r="M374" t="str">
        <f t="shared" si="13"/>
        <v/>
      </c>
    </row>
    <row r="375" spans="12:13" x14ac:dyDescent="0.35">
      <c r="L375" s="52" t="str">
        <f t="shared" si="12"/>
        <v/>
      </c>
      <c r="M375" t="str">
        <f t="shared" si="13"/>
        <v/>
      </c>
    </row>
    <row r="376" spans="12:13" x14ac:dyDescent="0.35">
      <c r="L376" s="52" t="str">
        <f t="shared" si="12"/>
        <v/>
      </c>
      <c r="M376" t="str">
        <f t="shared" si="13"/>
        <v/>
      </c>
    </row>
    <row r="377" spans="12:13" x14ac:dyDescent="0.35">
      <c r="L377" s="52" t="str">
        <f t="shared" si="12"/>
        <v/>
      </c>
      <c r="M377" t="str">
        <f t="shared" si="13"/>
        <v/>
      </c>
    </row>
    <row r="378" spans="12:13" x14ac:dyDescent="0.35">
      <c r="L378" s="52" t="str">
        <f t="shared" si="12"/>
        <v/>
      </c>
      <c r="M378" t="str">
        <f t="shared" si="13"/>
        <v/>
      </c>
    </row>
    <row r="379" spans="12:13" x14ac:dyDescent="0.35">
      <c r="L379" s="52" t="str">
        <f t="shared" si="12"/>
        <v/>
      </c>
      <c r="M379" t="str">
        <f t="shared" si="13"/>
        <v/>
      </c>
    </row>
    <row r="380" spans="12:13" x14ac:dyDescent="0.35">
      <c r="L380" s="52" t="str">
        <f t="shared" si="12"/>
        <v/>
      </c>
      <c r="M380" t="str">
        <f t="shared" si="13"/>
        <v/>
      </c>
    </row>
    <row r="381" spans="12:13" x14ac:dyDescent="0.35">
      <c r="L381" s="52" t="str">
        <f t="shared" si="12"/>
        <v/>
      </c>
      <c r="M381" t="str">
        <f t="shared" si="13"/>
        <v/>
      </c>
    </row>
    <row r="382" spans="12:13" x14ac:dyDescent="0.35">
      <c r="L382" s="52" t="str">
        <f t="shared" si="12"/>
        <v/>
      </c>
      <c r="M382" t="str">
        <f t="shared" si="13"/>
        <v/>
      </c>
    </row>
    <row r="383" spans="12:13" x14ac:dyDescent="0.35">
      <c r="L383" s="52" t="str">
        <f t="shared" si="12"/>
        <v/>
      </c>
      <c r="M383" t="str">
        <f t="shared" si="13"/>
        <v/>
      </c>
    </row>
    <row r="384" spans="12:13" x14ac:dyDescent="0.35">
      <c r="L384" s="52" t="str">
        <f t="shared" si="12"/>
        <v/>
      </c>
      <c r="M384" t="str">
        <f t="shared" si="13"/>
        <v/>
      </c>
    </row>
    <row r="385" spans="12:13" x14ac:dyDescent="0.35">
      <c r="L385" s="52" t="str">
        <f t="shared" si="12"/>
        <v/>
      </c>
      <c r="M385" t="str">
        <f t="shared" si="13"/>
        <v/>
      </c>
    </row>
    <row r="386" spans="12:13" x14ac:dyDescent="0.35">
      <c r="L386" s="52" t="str">
        <f t="shared" si="12"/>
        <v/>
      </c>
      <c r="M386" t="str">
        <f t="shared" si="13"/>
        <v/>
      </c>
    </row>
    <row r="387" spans="12:13" x14ac:dyDescent="0.35">
      <c r="L387" s="52" t="str">
        <f t="shared" si="12"/>
        <v/>
      </c>
      <c r="M387" t="str">
        <f t="shared" si="13"/>
        <v/>
      </c>
    </row>
    <row r="388" spans="12:13" x14ac:dyDescent="0.35">
      <c r="L388" s="52" t="str">
        <f t="shared" si="12"/>
        <v/>
      </c>
      <c r="M388" t="str">
        <f t="shared" si="13"/>
        <v/>
      </c>
    </row>
    <row r="389" spans="12:13" x14ac:dyDescent="0.35">
      <c r="L389" s="52" t="str">
        <f t="shared" si="12"/>
        <v/>
      </c>
      <c r="M389" t="str">
        <f t="shared" si="13"/>
        <v/>
      </c>
    </row>
    <row r="390" spans="12:13" x14ac:dyDescent="0.35">
      <c r="L390" s="52" t="str">
        <f t="shared" si="12"/>
        <v/>
      </c>
      <c r="M390" t="str">
        <f t="shared" si="13"/>
        <v/>
      </c>
    </row>
    <row r="391" spans="12:13" x14ac:dyDescent="0.35">
      <c r="L391" s="52" t="str">
        <f t="shared" si="12"/>
        <v/>
      </c>
      <c r="M391" t="str">
        <f t="shared" si="13"/>
        <v/>
      </c>
    </row>
    <row r="392" spans="12:13" x14ac:dyDescent="0.35">
      <c r="L392" s="52" t="str">
        <f t="shared" si="12"/>
        <v/>
      </c>
      <c r="M392" t="str">
        <f t="shared" si="13"/>
        <v/>
      </c>
    </row>
    <row r="393" spans="12:13" x14ac:dyDescent="0.35">
      <c r="L393" s="52" t="str">
        <f t="shared" si="12"/>
        <v/>
      </c>
      <c r="M393" t="str">
        <f t="shared" si="13"/>
        <v/>
      </c>
    </row>
    <row r="394" spans="12:13" x14ac:dyDescent="0.35">
      <c r="L394" s="52" t="str">
        <f t="shared" si="12"/>
        <v/>
      </c>
      <c r="M394" t="str">
        <f t="shared" si="13"/>
        <v/>
      </c>
    </row>
    <row r="395" spans="12:13" x14ac:dyDescent="0.35">
      <c r="L395" s="52" t="str">
        <f t="shared" si="12"/>
        <v/>
      </c>
      <c r="M395" t="str">
        <f t="shared" si="13"/>
        <v/>
      </c>
    </row>
    <row r="396" spans="12:13" x14ac:dyDescent="0.35">
      <c r="L396" s="52" t="str">
        <f t="shared" ref="L396:L459" si="14">IF(B396="Total general","",IF(K396="","",CONCATENATE("Q",IF(K396&gt;$U$11,1,IF((AND(K396&gt;$V$11,K396&lt;=$U$11)),2,IF(AND(K396&gt;$W$11,K396&lt;=$V$11),3,IF(K396&lt;=$W$11,4)))))))</f>
        <v/>
      </c>
      <c r="M396" t="str">
        <f t="shared" ref="M396:M459" si="15">IF(B396="Total general","",IF(K396="","",IF(AND(C396=$T$16,K396&gt;=$T$17),"Cumple",IF(AND(C396=$U$16,K396&gt;=$U$17),"Cumple",IF(AND(C396=$V$16,K396&gt;=$V$17),"Cumple","No Cumple")))))</f>
        <v/>
      </c>
    </row>
    <row r="397" spans="12:13" x14ac:dyDescent="0.35">
      <c r="L397" s="52" t="str">
        <f t="shared" si="14"/>
        <v/>
      </c>
      <c r="M397" t="str">
        <f t="shared" si="15"/>
        <v/>
      </c>
    </row>
    <row r="398" spans="12:13" x14ac:dyDescent="0.35">
      <c r="L398" s="52" t="str">
        <f t="shared" si="14"/>
        <v/>
      </c>
      <c r="M398" t="str">
        <f t="shared" si="15"/>
        <v/>
      </c>
    </row>
    <row r="399" spans="12:13" x14ac:dyDescent="0.35">
      <c r="L399" s="52" t="str">
        <f t="shared" si="14"/>
        <v/>
      </c>
      <c r="M399" t="str">
        <f t="shared" si="15"/>
        <v/>
      </c>
    </row>
    <row r="400" spans="12:13" x14ac:dyDescent="0.35">
      <c r="L400" s="52" t="str">
        <f t="shared" si="14"/>
        <v/>
      </c>
      <c r="M400" t="str">
        <f t="shared" si="15"/>
        <v/>
      </c>
    </row>
    <row r="401" spans="12:13" x14ac:dyDescent="0.35">
      <c r="L401" s="52" t="str">
        <f t="shared" si="14"/>
        <v/>
      </c>
      <c r="M401" t="str">
        <f t="shared" si="15"/>
        <v/>
      </c>
    </row>
    <row r="402" spans="12:13" x14ac:dyDescent="0.35">
      <c r="L402" s="52" t="str">
        <f t="shared" si="14"/>
        <v/>
      </c>
      <c r="M402" t="str">
        <f t="shared" si="15"/>
        <v/>
      </c>
    </row>
    <row r="403" spans="12:13" x14ac:dyDescent="0.35">
      <c r="L403" s="52" t="str">
        <f t="shared" si="14"/>
        <v/>
      </c>
      <c r="M403" t="str">
        <f t="shared" si="15"/>
        <v/>
      </c>
    </row>
    <row r="404" spans="12:13" x14ac:dyDescent="0.35">
      <c r="L404" s="52" t="str">
        <f t="shared" si="14"/>
        <v/>
      </c>
      <c r="M404" t="str">
        <f t="shared" si="15"/>
        <v/>
      </c>
    </row>
    <row r="405" spans="12:13" x14ac:dyDescent="0.35">
      <c r="L405" s="52" t="str">
        <f t="shared" si="14"/>
        <v/>
      </c>
      <c r="M405" t="str">
        <f t="shared" si="15"/>
        <v/>
      </c>
    </row>
    <row r="406" spans="12:13" x14ac:dyDescent="0.35">
      <c r="L406" s="52" t="str">
        <f t="shared" si="14"/>
        <v/>
      </c>
      <c r="M406" t="str">
        <f t="shared" si="15"/>
        <v/>
      </c>
    </row>
    <row r="407" spans="12:13" x14ac:dyDescent="0.35">
      <c r="L407" s="52" t="str">
        <f t="shared" si="14"/>
        <v/>
      </c>
      <c r="M407" t="str">
        <f t="shared" si="15"/>
        <v/>
      </c>
    </row>
    <row r="408" spans="12:13" x14ac:dyDescent="0.35">
      <c r="L408" s="52" t="str">
        <f t="shared" si="14"/>
        <v/>
      </c>
      <c r="M408" t="str">
        <f t="shared" si="15"/>
        <v/>
      </c>
    </row>
    <row r="409" spans="12:13" x14ac:dyDescent="0.35">
      <c r="L409" s="52" t="str">
        <f t="shared" si="14"/>
        <v/>
      </c>
      <c r="M409" t="str">
        <f t="shared" si="15"/>
        <v/>
      </c>
    </row>
    <row r="410" spans="12:13" x14ac:dyDescent="0.35">
      <c r="L410" s="52" t="str">
        <f t="shared" si="14"/>
        <v/>
      </c>
      <c r="M410" t="str">
        <f t="shared" si="15"/>
        <v/>
      </c>
    </row>
    <row r="411" spans="12:13" x14ac:dyDescent="0.35">
      <c r="L411" s="52" t="str">
        <f t="shared" si="14"/>
        <v/>
      </c>
      <c r="M411" t="str">
        <f t="shared" si="15"/>
        <v/>
      </c>
    </row>
    <row r="412" spans="12:13" x14ac:dyDescent="0.35">
      <c r="L412" s="52" t="str">
        <f t="shared" si="14"/>
        <v/>
      </c>
      <c r="M412" t="str">
        <f t="shared" si="15"/>
        <v/>
      </c>
    </row>
    <row r="413" spans="12:13" x14ac:dyDescent="0.35">
      <c r="L413" s="52" t="str">
        <f t="shared" si="14"/>
        <v/>
      </c>
      <c r="M413" t="str">
        <f t="shared" si="15"/>
        <v/>
      </c>
    </row>
    <row r="414" spans="12:13" x14ac:dyDescent="0.35">
      <c r="L414" s="52" t="str">
        <f t="shared" si="14"/>
        <v/>
      </c>
      <c r="M414" t="str">
        <f t="shared" si="15"/>
        <v/>
      </c>
    </row>
    <row r="415" spans="12:13" x14ac:dyDescent="0.35">
      <c r="L415" s="52" t="str">
        <f t="shared" si="14"/>
        <v/>
      </c>
      <c r="M415" t="str">
        <f t="shared" si="15"/>
        <v/>
      </c>
    </row>
    <row r="416" spans="12:13" x14ac:dyDescent="0.35">
      <c r="L416" s="52" t="str">
        <f t="shared" si="14"/>
        <v/>
      </c>
      <c r="M416" t="str">
        <f t="shared" si="15"/>
        <v/>
      </c>
    </row>
    <row r="417" spans="12:13" x14ac:dyDescent="0.35">
      <c r="L417" s="52" t="str">
        <f t="shared" si="14"/>
        <v/>
      </c>
      <c r="M417" t="str">
        <f t="shared" si="15"/>
        <v/>
      </c>
    </row>
    <row r="418" spans="12:13" x14ac:dyDescent="0.35">
      <c r="L418" s="52" t="str">
        <f t="shared" si="14"/>
        <v/>
      </c>
      <c r="M418" t="str">
        <f t="shared" si="15"/>
        <v/>
      </c>
    </row>
    <row r="419" spans="12:13" x14ac:dyDescent="0.35">
      <c r="L419" s="52" t="str">
        <f t="shared" si="14"/>
        <v/>
      </c>
      <c r="M419" t="str">
        <f t="shared" si="15"/>
        <v/>
      </c>
    </row>
    <row r="420" spans="12:13" x14ac:dyDescent="0.35">
      <c r="L420" s="52" t="str">
        <f t="shared" si="14"/>
        <v/>
      </c>
      <c r="M420" t="str">
        <f t="shared" si="15"/>
        <v/>
      </c>
    </row>
    <row r="421" spans="12:13" x14ac:dyDescent="0.35">
      <c r="L421" s="52" t="str">
        <f t="shared" si="14"/>
        <v/>
      </c>
      <c r="M421" t="str">
        <f t="shared" si="15"/>
        <v/>
      </c>
    </row>
    <row r="422" spans="12:13" x14ac:dyDescent="0.35">
      <c r="L422" s="52" t="str">
        <f t="shared" si="14"/>
        <v/>
      </c>
      <c r="M422" t="str">
        <f t="shared" si="15"/>
        <v/>
      </c>
    </row>
    <row r="423" spans="12:13" x14ac:dyDescent="0.35">
      <c r="L423" s="52" t="str">
        <f t="shared" si="14"/>
        <v/>
      </c>
      <c r="M423" t="str">
        <f t="shared" si="15"/>
        <v/>
      </c>
    </row>
    <row r="424" spans="12:13" x14ac:dyDescent="0.35">
      <c r="L424" s="52" t="str">
        <f t="shared" si="14"/>
        <v/>
      </c>
      <c r="M424" t="str">
        <f t="shared" si="15"/>
        <v/>
      </c>
    </row>
    <row r="425" spans="12:13" x14ac:dyDescent="0.35">
      <c r="L425" s="52" t="str">
        <f t="shared" si="14"/>
        <v/>
      </c>
      <c r="M425" t="str">
        <f t="shared" si="15"/>
        <v/>
      </c>
    </row>
    <row r="426" spans="12:13" x14ac:dyDescent="0.35">
      <c r="L426" s="52" t="str">
        <f t="shared" si="14"/>
        <v/>
      </c>
      <c r="M426" t="str">
        <f t="shared" si="15"/>
        <v/>
      </c>
    </row>
    <row r="427" spans="12:13" x14ac:dyDescent="0.35">
      <c r="L427" s="52" t="str">
        <f t="shared" si="14"/>
        <v/>
      </c>
      <c r="M427" t="str">
        <f t="shared" si="15"/>
        <v/>
      </c>
    </row>
    <row r="428" spans="12:13" x14ac:dyDescent="0.35">
      <c r="L428" s="52" t="str">
        <f t="shared" si="14"/>
        <v/>
      </c>
      <c r="M428" t="str">
        <f t="shared" si="15"/>
        <v/>
      </c>
    </row>
    <row r="429" spans="12:13" x14ac:dyDescent="0.35">
      <c r="L429" s="52" t="str">
        <f t="shared" si="14"/>
        <v/>
      </c>
      <c r="M429" t="str">
        <f t="shared" si="15"/>
        <v/>
      </c>
    </row>
    <row r="430" spans="12:13" x14ac:dyDescent="0.35">
      <c r="L430" s="52" t="str">
        <f t="shared" si="14"/>
        <v/>
      </c>
      <c r="M430" t="str">
        <f t="shared" si="15"/>
        <v/>
      </c>
    </row>
    <row r="431" spans="12:13" x14ac:dyDescent="0.35">
      <c r="L431" s="52" t="str">
        <f t="shared" si="14"/>
        <v/>
      </c>
      <c r="M431" t="str">
        <f t="shared" si="15"/>
        <v/>
      </c>
    </row>
    <row r="432" spans="12:13" x14ac:dyDescent="0.35">
      <c r="L432" s="52" t="str">
        <f t="shared" si="14"/>
        <v/>
      </c>
      <c r="M432" t="str">
        <f t="shared" si="15"/>
        <v/>
      </c>
    </row>
    <row r="433" spans="12:13" x14ac:dyDescent="0.35">
      <c r="L433" s="52" t="str">
        <f t="shared" si="14"/>
        <v/>
      </c>
      <c r="M433" t="str">
        <f t="shared" si="15"/>
        <v/>
      </c>
    </row>
    <row r="434" spans="12:13" x14ac:dyDescent="0.35">
      <c r="L434" s="52" t="str">
        <f t="shared" si="14"/>
        <v/>
      </c>
      <c r="M434" t="str">
        <f t="shared" si="15"/>
        <v/>
      </c>
    </row>
    <row r="435" spans="12:13" x14ac:dyDescent="0.35">
      <c r="L435" s="52" t="str">
        <f t="shared" si="14"/>
        <v/>
      </c>
      <c r="M435" t="str">
        <f t="shared" si="15"/>
        <v/>
      </c>
    </row>
    <row r="436" spans="12:13" x14ac:dyDescent="0.35">
      <c r="L436" s="52" t="str">
        <f t="shared" si="14"/>
        <v/>
      </c>
      <c r="M436" t="str">
        <f t="shared" si="15"/>
        <v/>
      </c>
    </row>
    <row r="437" spans="12:13" x14ac:dyDescent="0.35">
      <c r="L437" s="52" t="str">
        <f t="shared" si="14"/>
        <v/>
      </c>
      <c r="M437" t="str">
        <f t="shared" si="15"/>
        <v/>
      </c>
    </row>
    <row r="438" spans="12:13" x14ac:dyDescent="0.35">
      <c r="L438" s="52" t="str">
        <f t="shared" si="14"/>
        <v/>
      </c>
      <c r="M438" t="str">
        <f t="shared" si="15"/>
        <v/>
      </c>
    </row>
    <row r="439" spans="12:13" x14ac:dyDescent="0.35">
      <c r="L439" s="52" t="str">
        <f t="shared" si="14"/>
        <v/>
      </c>
      <c r="M439" t="str">
        <f t="shared" si="15"/>
        <v/>
      </c>
    </row>
    <row r="440" spans="12:13" x14ac:dyDescent="0.35">
      <c r="L440" s="52" t="str">
        <f t="shared" si="14"/>
        <v/>
      </c>
      <c r="M440" t="str">
        <f t="shared" si="15"/>
        <v/>
      </c>
    </row>
    <row r="441" spans="12:13" x14ac:dyDescent="0.35">
      <c r="L441" s="52" t="str">
        <f t="shared" si="14"/>
        <v/>
      </c>
      <c r="M441" t="str">
        <f t="shared" si="15"/>
        <v/>
      </c>
    </row>
    <row r="442" spans="12:13" x14ac:dyDescent="0.35">
      <c r="L442" s="52" t="str">
        <f t="shared" si="14"/>
        <v/>
      </c>
      <c r="M442" t="str">
        <f t="shared" si="15"/>
        <v/>
      </c>
    </row>
    <row r="443" spans="12:13" x14ac:dyDescent="0.35">
      <c r="L443" s="52" t="str">
        <f t="shared" si="14"/>
        <v/>
      </c>
      <c r="M443" t="str">
        <f t="shared" si="15"/>
        <v/>
      </c>
    </row>
    <row r="444" spans="12:13" x14ac:dyDescent="0.35">
      <c r="L444" s="52" t="str">
        <f t="shared" si="14"/>
        <v/>
      </c>
      <c r="M444" t="str">
        <f t="shared" si="15"/>
        <v/>
      </c>
    </row>
    <row r="445" spans="12:13" x14ac:dyDescent="0.35">
      <c r="L445" s="52" t="str">
        <f t="shared" si="14"/>
        <v/>
      </c>
      <c r="M445" t="str">
        <f t="shared" si="15"/>
        <v/>
      </c>
    </row>
    <row r="446" spans="12:13" x14ac:dyDescent="0.35">
      <c r="L446" s="52" t="str">
        <f t="shared" si="14"/>
        <v/>
      </c>
      <c r="M446" t="str">
        <f t="shared" si="15"/>
        <v/>
      </c>
    </row>
    <row r="447" spans="12:13" x14ac:dyDescent="0.35">
      <c r="L447" s="52" t="str">
        <f t="shared" si="14"/>
        <v/>
      </c>
      <c r="M447" t="str">
        <f t="shared" si="15"/>
        <v/>
      </c>
    </row>
    <row r="448" spans="12:13" x14ac:dyDescent="0.35">
      <c r="L448" s="52" t="str">
        <f t="shared" si="14"/>
        <v/>
      </c>
      <c r="M448" t="str">
        <f t="shared" si="15"/>
        <v/>
      </c>
    </row>
    <row r="449" spans="12:13" x14ac:dyDescent="0.35">
      <c r="L449" s="52" t="str">
        <f t="shared" si="14"/>
        <v/>
      </c>
      <c r="M449" t="str">
        <f t="shared" si="15"/>
        <v/>
      </c>
    </row>
    <row r="450" spans="12:13" x14ac:dyDescent="0.35">
      <c r="L450" s="52" t="str">
        <f t="shared" si="14"/>
        <v/>
      </c>
      <c r="M450" t="str">
        <f t="shared" si="15"/>
        <v/>
      </c>
    </row>
    <row r="451" spans="12:13" x14ac:dyDescent="0.35">
      <c r="L451" s="52" t="str">
        <f t="shared" si="14"/>
        <v/>
      </c>
      <c r="M451" t="str">
        <f t="shared" si="15"/>
        <v/>
      </c>
    </row>
    <row r="452" spans="12:13" x14ac:dyDescent="0.35">
      <c r="L452" s="52" t="str">
        <f t="shared" si="14"/>
        <v/>
      </c>
      <c r="M452" t="str">
        <f t="shared" si="15"/>
        <v/>
      </c>
    </row>
    <row r="453" spans="12:13" x14ac:dyDescent="0.35">
      <c r="L453" s="52" t="str">
        <f t="shared" si="14"/>
        <v/>
      </c>
      <c r="M453" t="str">
        <f t="shared" si="15"/>
        <v/>
      </c>
    </row>
    <row r="454" spans="12:13" x14ac:dyDescent="0.35">
      <c r="L454" s="52" t="str">
        <f t="shared" si="14"/>
        <v/>
      </c>
      <c r="M454" t="str">
        <f t="shared" si="15"/>
        <v/>
      </c>
    </row>
    <row r="455" spans="12:13" x14ac:dyDescent="0.35">
      <c r="L455" s="52" t="str">
        <f t="shared" si="14"/>
        <v/>
      </c>
      <c r="M455" t="str">
        <f t="shared" si="15"/>
        <v/>
      </c>
    </row>
    <row r="456" spans="12:13" x14ac:dyDescent="0.35">
      <c r="L456" s="52" t="str">
        <f t="shared" si="14"/>
        <v/>
      </c>
      <c r="M456" t="str">
        <f t="shared" si="15"/>
        <v/>
      </c>
    </row>
    <row r="457" spans="12:13" x14ac:dyDescent="0.35">
      <c r="L457" s="52" t="str">
        <f t="shared" si="14"/>
        <v/>
      </c>
      <c r="M457" t="str">
        <f t="shared" si="15"/>
        <v/>
      </c>
    </row>
    <row r="458" spans="12:13" x14ac:dyDescent="0.35">
      <c r="L458" s="52" t="str">
        <f t="shared" si="14"/>
        <v/>
      </c>
      <c r="M458" t="str">
        <f t="shared" si="15"/>
        <v/>
      </c>
    </row>
    <row r="459" spans="12:13" x14ac:dyDescent="0.35">
      <c r="L459" s="52" t="str">
        <f t="shared" si="14"/>
        <v/>
      </c>
      <c r="M459" t="str">
        <f t="shared" si="15"/>
        <v/>
      </c>
    </row>
    <row r="460" spans="12:13" x14ac:dyDescent="0.35">
      <c r="L460" s="52" t="str">
        <f t="shared" ref="L460:L523" si="16">IF(B460="Total general","",IF(K460="","",CONCATENATE("Q",IF(K460&gt;$U$11,1,IF((AND(K460&gt;$V$11,K460&lt;=$U$11)),2,IF(AND(K460&gt;$W$11,K460&lt;=$V$11),3,IF(K460&lt;=$W$11,4)))))))</f>
        <v/>
      </c>
      <c r="M460" t="str">
        <f t="shared" ref="M460:M523" si="17">IF(B460="Total general","",IF(K460="","",IF(AND(C460=$T$16,K460&gt;=$T$17),"Cumple",IF(AND(C460=$U$16,K460&gt;=$U$17),"Cumple",IF(AND(C460=$V$16,K460&gt;=$V$17),"Cumple","No Cumple")))))</f>
        <v/>
      </c>
    </row>
    <row r="461" spans="12:13" x14ac:dyDescent="0.35">
      <c r="L461" s="52" t="str">
        <f t="shared" si="16"/>
        <v/>
      </c>
      <c r="M461" t="str">
        <f t="shared" si="17"/>
        <v/>
      </c>
    </row>
    <row r="462" spans="12:13" x14ac:dyDescent="0.35">
      <c r="L462" s="52" t="str">
        <f t="shared" si="16"/>
        <v/>
      </c>
      <c r="M462" t="str">
        <f t="shared" si="17"/>
        <v/>
      </c>
    </row>
    <row r="463" spans="12:13" x14ac:dyDescent="0.35">
      <c r="L463" s="52" t="str">
        <f t="shared" si="16"/>
        <v/>
      </c>
      <c r="M463" t="str">
        <f t="shared" si="17"/>
        <v/>
      </c>
    </row>
    <row r="464" spans="12:13" x14ac:dyDescent="0.35">
      <c r="L464" s="52" t="str">
        <f t="shared" si="16"/>
        <v/>
      </c>
      <c r="M464" t="str">
        <f t="shared" si="17"/>
        <v/>
      </c>
    </row>
    <row r="465" spans="12:13" x14ac:dyDescent="0.35">
      <c r="L465" s="52" t="str">
        <f t="shared" si="16"/>
        <v/>
      </c>
      <c r="M465" t="str">
        <f t="shared" si="17"/>
        <v/>
      </c>
    </row>
    <row r="466" spans="12:13" x14ac:dyDescent="0.35">
      <c r="L466" s="52" t="str">
        <f t="shared" si="16"/>
        <v/>
      </c>
      <c r="M466" t="str">
        <f t="shared" si="17"/>
        <v/>
      </c>
    </row>
    <row r="467" spans="12:13" x14ac:dyDescent="0.35">
      <c r="L467" s="52" t="str">
        <f t="shared" si="16"/>
        <v/>
      </c>
      <c r="M467" t="str">
        <f t="shared" si="17"/>
        <v/>
      </c>
    </row>
    <row r="468" spans="12:13" x14ac:dyDescent="0.35">
      <c r="L468" s="52" t="str">
        <f t="shared" si="16"/>
        <v/>
      </c>
      <c r="M468" t="str">
        <f t="shared" si="17"/>
        <v/>
      </c>
    </row>
    <row r="469" spans="12:13" x14ac:dyDescent="0.35">
      <c r="L469" s="52" t="str">
        <f t="shared" si="16"/>
        <v/>
      </c>
      <c r="M469" t="str">
        <f t="shared" si="17"/>
        <v/>
      </c>
    </row>
    <row r="470" spans="12:13" x14ac:dyDescent="0.35">
      <c r="L470" s="52" t="str">
        <f t="shared" si="16"/>
        <v/>
      </c>
      <c r="M470" t="str">
        <f t="shared" si="17"/>
        <v/>
      </c>
    </row>
    <row r="471" spans="12:13" x14ac:dyDescent="0.35">
      <c r="L471" s="52" t="str">
        <f t="shared" si="16"/>
        <v/>
      </c>
      <c r="M471" t="str">
        <f t="shared" si="17"/>
        <v/>
      </c>
    </row>
    <row r="472" spans="12:13" x14ac:dyDescent="0.35">
      <c r="L472" s="52" t="str">
        <f t="shared" si="16"/>
        <v/>
      </c>
      <c r="M472" t="str">
        <f t="shared" si="17"/>
        <v/>
      </c>
    </row>
    <row r="473" spans="12:13" x14ac:dyDescent="0.35">
      <c r="L473" s="52" t="str">
        <f t="shared" si="16"/>
        <v/>
      </c>
      <c r="M473" t="str">
        <f t="shared" si="17"/>
        <v/>
      </c>
    </row>
    <row r="474" spans="12:13" x14ac:dyDescent="0.35">
      <c r="L474" s="52" t="str">
        <f t="shared" si="16"/>
        <v/>
      </c>
      <c r="M474" t="str">
        <f t="shared" si="17"/>
        <v/>
      </c>
    </row>
    <row r="475" spans="12:13" x14ac:dyDescent="0.35">
      <c r="L475" s="52" t="str">
        <f t="shared" si="16"/>
        <v/>
      </c>
      <c r="M475" t="str">
        <f t="shared" si="17"/>
        <v/>
      </c>
    </row>
    <row r="476" spans="12:13" x14ac:dyDescent="0.35">
      <c r="L476" s="52" t="str">
        <f t="shared" si="16"/>
        <v/>
      </c>
      <c r="M476" t="str">
        <f t="shared" si="17"/>
        <v/>
      </c>
    </row>
    <row r="477" spans="12:13" x14ac:dyDescent="0.35">
      <c r="L477" s="52" t="str">
        <f t="shared" si="16"/>
        <v/>
      </c>
      <c r="M477" t="str">
        <f t="shared" si="17"/>
        <v/>
      </c>
    </row>
    <row r="478" spans="12:13" x14ac:dyDescent="0.35">
      <c r="L478" s="52" t="str">
        <f t="shared" si="16"/>
        <v/>
      </c>
      <c r="M478" t="str">
        <f t="shared" si="17"/>
        <v/>
      </c>
    </row>
    <row r="479" spans="12:13" x14ac:dyDescent="0.35">
      <c r="L479" s="52" t="str">
        <f t="shared" si="16"/>
        <v/>
      </c>
      <c r="M479" t="str">
        <f t="shared" si="17"/>
        <v/>
      </c>
    </row>
    <row r="480" spans="12:13" x14ac:dyDescent="0.35">
      <c r="L480" s="52" t="str">
        <f t="shared" si="16"/>
        <v/>
      </c>
      <c r="M480" t="str">
        <f t="shared" si="17"/>
        <v/>
      </c>
    </row>
    <row r="481" spans="12:13" x14ac:dyDescent="0.35">
      <c r="L481" s="52" t="str">
        <f t="shared" si="16"/>
        <v/>
      </c>
      <c r="M481" t="str">
        <f t="shared" si="17"/>
        <v/>
      </c>
    </row>
    <row r="482" spans="12:13" x14ac:dyDescent="0.35">
      <c r="L482" s="52" t="str">
        <f t="shared" si="16"/>
        <v/>
      </c>
      <c r="M482" t="str">
        <f t="shared" si="17"/>
        <v/>
      </c>
    </row>
    <row r="483" spans="12:13" x14ac:dyDescent="0.35">
      <c r="L483" s="52" t="str">
        <f t="shared" si="16"/>
        <v/>
      </c>
      <c r="M483" t="str">
        <f t="shared" si="17"/>
        <v/>
      </c>
    </row>
    <row r="484" spans="12:13" x14ac:dyDescent="0.35">
      <c r="L484" s="52" t="str">
        <f t="shared" si="16"/>
        <v/>
      </c>
      <c r="M484" t="str">
        <f t="shared" si="17"/>
        <v/>
      </c>
    </row>
    <row r="485" spans="12:13" x14ac:dyDescent="0.35">
      <c r="L485" s="52" t="str">
        <f t="shared" si="16"/>
        <v/>
      </c>
      <c r="M485" t="str">
        <f t="shared" si="17"/>
        <v/>
      </c>
    </row>
    <row r="486" spans="12:13" x14ac:dyDescent="0.35">
      <c r="L486" s="52" t="str">
        <f t="shared" si="16"/>
        <v/>
      </c>
      <c r="M486" t="str">
        <f t="shared" si="17"/>
        <v/>
      </c>
    </row>
    <row r="487" spans="12:13" x14ac:dyDescent="0.35">
      <c r="L487" s="52" t="str">
        <f t="shared" si="16"/>
        <v/>
      </c>
      <c r="M487" t="str">
        <f t="shared" si="17"/>
        <v/>
      </c>
    </row>
    <row r="488" spans="12:13" x14ac:dyDescent="0.35">
      <c r="L488" s="52" t="str">
        <f t="shared" si="16"/>
        <v/>
      </c>
      <c r="M488" t="str">
        <f t="shared" si="17"/>
        <v/>
      </c>
    </row>
    <row r="489" spans="12:13" x14ac:dyDescent="0.35">
      <c r="L489" s="52" t="str">
        <f t="shared" si="16"/>
        <v/>
      </c>
      <c r="M489" t="str">
        <f t="shared" si="17"/>
        <v/>
      </c>
    </row>
    <row r="490" spans="12:13" x14ac:dyDescent="0.35">
      <c r="L490" s="52" t="str">
        <f t="shared" si="16"/>
        <v/>
      </c>
      <c r="M490" t="str">
        <f t="shared" si="17"/>
        <v/>
      </c>
    </row>
    <row r="491" spans="12:13" x14ac:dyDescent="0.35">
      <c r="L491" s="52" t="str">
        <f t="shared" si="16"/>
        <v/>
      </c>
      <c r="M491" t="str">
        <f t="shared" si="17"/>
        <v/>
      </c>
    </row>
    <row r="492" spans="12:13" x14ac:dyDescent="0.35">
      <c r="L492" s="52" t="str">
        <f t="shared" si="16"/>
        <v/>
      </c>
      <c r="M492" t="str">
        <f t="shared" si="17"/>
        <v/>
      </c>
    </row>
    <row r="493" spans="12:13" x14ac:dyDescent="0.35">
      <c r="L493" s="52" t="str">
        <f t="shared" si="16"/>
        <v/>
      </c>
      <c r="M493" t="str">
        <f t="shared" si="17"/>
        <v/>
      </c>
    </row>
    <row r="494" spans="12:13" x14ac:dyDescent="0.35">
      <c r="L494" s="52" t="str">
        <f t="shared" si="16"/>
        <v/>
      </c>
      <c r="M494" t="str">
        <f t="shared" si="17"/>
        <v/>
      </c>
    </row>
    <row r="495" spans="12:13" x14ac:dyDescent="0.35">
      <c r="L495" s="52" t="str">
        <f t="shared" si="16"/>
        <v/>
      </c>
      <c r="M495" t="str">
        <f t="shared" si="17"/>
        <v/>
      </c>
    </row>
    <row r="496" spans="12:13" x14ac:dyDescent="0.35">
      <c r="L496" s="52" t="str">
        <f t="shared" si="16"/>
        <v/>
      </c>
      <c r="M496" t="str">
        <f t="shared" si="17"/>
        <v/>
      </c>
    </row>
    <row r="497" spans="12:13" x14ac:dyDescent="0.35">
      <c r="L497" s="52" t="str">
        <f t="shared" si="16"/>
        <v/>
      </c>
      <c r="M497" t="str">
        <f t="shared" si="17"/>
        <v/>
      </c>
    </row>
    <row r="498" spans="12:13" x14ac:dyDescent="0.35">
      <c r="L498" s="52" t="str">
        <f t="shared" si="16"/>
        <v/>
      </c>
      <c r="M498" t="str">
        <f t="shared" si="17"/>
        <v/>
      </c>
    </row>
    <row r="499" spans="12:13" x14ac:dyDescent="0.35">
      <c r="L499" s="52" t="str">
        <f t="shared" si="16"/>
        <v/>
      </c>
      <c r="M499" t="str">
        <f t="shared" si="17"/>
        <v/>
      </c>
    </row>
    <row r="500" spans="12:13" x14ac:dyDescent="0.35">
      <c r="L500" s="52" t="str">
        <f t="shared" si="16"/>
        <v/>
      </c>
      <c r="M500" t="str">
        <f t="shared" si="17"/>
        <v/>
      </c>
    </row>
    <row r="501" spans="12:13" x14ac:dyDescent="0.35">
      <c r="L501" s="52" t="str">
        <f t="shared" si="16"/>
        <v/>
      </c>
      <c r="M501" t="str">
        <f t="shared" si="17"/>
        <v/>
      </c>
    </row>
    <row r="502" spans="12:13" x14ac:dyDescent="0.35">
      <c r="L502" s="52" t="str">
        <f t="shared" si="16"/>
        <v/>
      </c>
      <c r="M502" t="str">
        <f t="shared" si="17"/>
        <v/>
      </c>
    </row>
    <row r="503" spans="12:13" x14ac:dyDescent="0.35">
      <c r="L503" s="52" t="str">
        <f t="shared" si="16"/>
        <v/>
      </c>
      <c r="M503" t="str">
        <f t="shared" si="17"/>
        <v/>
      </c>
    </row>
    <row r="504" spans="12:13" x14ac:dyDescent="0.35">
      <c r="L504" s="52" t="str">
        <f t="shared" si="16"/>
        <v/>
      </c>
      <c r="M504" t="str">
        <f t="shared" si="17"/>
        <v/>
      </c>
    </row>
    <row r="505" spans="12:13" x14ac:dyDescent="0.35">
      <c r="L505" s="52" t="str">
        <f t="shared" si="16"/>
        <v/>
      </c>
      <c r="M505" t="str">
        <f t="shared" si="17"/>
        <v/>
      </c>
    </row>
    <row r="506" spans="12:13" x14ac:dyDescent="0.35">
      <c r="L506" s="52" t="str">
        <f t="shared" si="16"/>
        <v/>
      </c>
      <c r="M506" t="str">
        <f t="shared" si="17"/>
        <v/>
      </c>
    </row>
    <row r="507" spans="12:13" x14ac:dyDescent="0.35">
      <c r="L507" s="52" t="str">
        <f t="shared" si="16"/>
        <v/>
      </c>
      <c r="M507" t="str">
        <f t="shared" si="17"/>
        <v/>
      </c>
    </row>
    <row r="508" spans="12:13" x14ac:dyDescent="0.35">
      <c r="L508" s="52" t="str">
        <f t="shared" si="16"/>
        <v/>
      </c>
      <c r="M508" t="str">
        <f t="shared" si="17"/>
        <v/>
      </c>
    </row>
    <row r="509" spans="12:13" x14ac:dyDescent="0.35">
      <c r="L509" s="52" t="str">
        <f t="shared" si="16"/>
        <v/>
      </c>
      <c r="M509" t="str">
        <f t="shared" si="17"/>
        <v/>
      </c>
    </row>
    <row r="510" spans="12:13" x14ac:dyDescent="0.35">
      <c r="L510" s="52" t="str">
        <f t="shared" si="16"/>
        <v/>
      </c>
      <c r="M510" t="str">
        <f t="shared" si="17"/>
        <v/>
      </c>
    </row>
    <row r="511" spans="12:13" x14ac:dyDescent="0.35">
      <c r="L511" s="52" t="str">
        <f t="shared" si="16"/>
        <v/>
      </c>
      <c r="M511" t="str">
        <f t="shared" si="17"/>
        <v/>
      </c>
    </row>
    <row r="512" spans="12:13" x14ac:dyDescent="0.35">
      <c r="L512" s="52" t="str">
        <f t="shared" si="16"/>
        <v/>
      </c>
      <c r="M512" t="str">
        <f t="shared" si="17"/>
        <v/>
      </c>
    </row>
    <row r="513" spans="12:13" x14ac:dyDescent="0.35">
      <c r="L513" s="52" t="str">
        <f t="shared" si="16"/>
        <v/>
      </c>
      <c r="M513" t="str">
        <f t="shared" si="17"/>
        <v/>
      </c>
    </row>
    <row r="514" spans="12:13" x14ac:dyDescent="0.35">
      <c r="L514" s="52" t="str">
        <f t="shared" si="16"/>
        <v/>
      </c>
      <c r="M514" t="str">
        <f t="shared" si="17"/>
        <v/>
      </c>
    </row>
    <row r="515" spans="12:13" x14ac:dyDescent="0.35">
      <c r="L515" s="52" t="str">
        <f t="shared" si="16"/>
        <v/>
      </c>
      <c r="M515" t="str">
        <f t="shared" si="17"/>
        <v/>
      </c>
    </row>
    <row r="516" spans="12:13" x14ac:dyDescent="0.35">
      <c r="L516" s="52" t="str">
        <f t="shared" si="16"/>
        <v/>
      </c>
      <c r="M516" t="str">
        <f t="shared" si="17"/>
        <v/>
      </c>
    </row>
    <row r="517" spans="12:13" x14ac:dyDescent="0.35">
      <c r="L517" s="52" t="str">
        <f t="shared" si="16"/>
        <v/>
      </c>
      <c r="M517" t="str">
        <f t="shared" si="17"/>
        <v/>
      </c>
    </row>
    <row r="518" spans="12:13" x14ac:dyDescent="0.35">
      <c r="L518" s="52" t="str">
        <f t="shared" si="16"/>
        <v/>
      </c>
      <c r="M518" t="str">
        <f t="shared" si="17"/>
        <v/>
      </c>
    </row>
    <row r="519" spans="12:13" x14ac:dyDescent="0.35">
      <c r="L519" s="52" t="str">
        <f t="shared" si="16"/>
        <v/>
      </c>
      <c r="M519" t="str">
        <f t="shared" si="17"/>
        <v/>
      </c>
    </row>
    <row r="520" spans="12:13" x14ac:dyDescent="0.35">
      <c r="L520" s="52" t="str">
        <f t="shared" si="16"/>
        <v/>
      </c>
      <c r="M520" t="str">
        <f t="shared" si="17"/>
        <v/>
      </c>
    </row>
    <row r="521" spans="12:13" x14ac:dyDescent="0.35">
      <c r="L521" s="52" t="str">
        <f t="shared" si="16"/>
        <v/>
      </c>
      <c r="M521" t="str">
        <f t="shared" si="17"/>
        <v/>
      </c>
    </row>
    <row r="522" spans="12:13" x14ac:dyDescent="0.35">
      <c r="L522" s="52" t="str">
        <f t="shared" si="16"/>
        <v/>
      </c>
      <c r="M522" t="str">
        <f t="shared" si="17"/>
        <v/>
      </c>
    </row>
    <row r="523" spans="12:13" x14ac:dyDescent="0.35">
      <c r="L523" s="52" t="str">
        <f t="shared" si="16"/>
        <v/>
      </c>
      <c r="M523" t="str">
        <f t="shared" si="17"/>
        <v/>
      </c>
    </row>
    <row r="524" spans="12:13" x14ac:dyDescent="0.35">
      <c r="L524" s="52" t="str">
        <f t="shared" ref="L524:L587" si="18">IF(B524="Total general","",IF(K524="","",CONCATENATE("Q",IF(K524&gt;$U$11,1,IF((AND(K524&gt;$V$11,K524&lt;=$U$11)),2,IF(AND(K524&gt;$W$11,K524&lt;=$V$11),3,IF(K524&lt;=$W$11,4)))))))</f>
        <v/>
      </c>
      <c r="M524" t="str">
        <f t="shared" ref="M524:M587" si="19">IF(B524="Total general","",IF(K524="","",IF(AND(C524=$T$16,K524&gt;=$T$17),"Cumple",IF(AND(C524=$U$16,K524&gt;=$U$17),"Cumple",IF(AND(C524=$V$16,K524&gt;=$V$17),"Cumple","No Cumple")))))</f>
        <v/>
      </c>
    </row>
    <row r="525" spans="12:13" x14ac:dyDescent="0.35">
      <c r="L525" s="52" t="str">
        <f t="shared" si="18"/>
        <v/>
      </c>
      <c r="M525" t="str">
        <f t="shared" si="19"/>
        <v/>
      </c>
    </row>
    <row r="526" spans="12:13" x14ac:dyDescent="0.35">
      <c r="L526" s="52" t="str">
        <f t="shared" si="18"/>
        <v/>
      </c>
      <c r="M526" t="str">
        <f t="shared" si="19"/>
        <v/>
      </c>
    </row>
    <row r="527" spans="12:13" x14ac:dyDescent="0.35">
      <c r="L527" s="52" t="str">
        <f t="shared" si="18"/>
        <v/>
      </c>
      <c r="M527" t="str">
        <f t="shared" si="19"/>
        <v/>
      </c>
    </row>
    <row r="528" spans="12:13" x14ac:dyDescent="0.35">
      <c r="L528" s="52" t="str">
        <f t="shared" si="18"/>
        <v/>
      </c>
      <c r="M528" t="str">
        <f t="shared" si="19"/>
        <v/>
      </c>
    </row>
    <row r="529" spans="12:13" x14ac:dyDescent="0.35">
      <c r="L529" s="52" t="str">
        <f t="shared" si="18"/>
        <v/>
      </c>
      <c r="M529" t="str">
        <f t="shared" si="19"/>
        <v/>
      </c>
    </row>
    <row r="530" spans="12:13" x14ac:dyDescent="0.35">
      <c r="L530" s="52" t="str">
        <f t="shared" si="18"/>
        <v/>
      </c>
      <c r="M530" t="str">
        <f t="shared" si="19"/>
        <v/>
      </c>
    </row>
    <row r="531" spans="12:13" x14ac:dyDescent="0.35">
      <c r="L531" s="52" t="str">
        <f t="shared" si="18"/>
        <v/>
      </c>
      <c r="M531" t="str">
        <f t="shared" si="19"/>
        <v/>
      </c>
    </row>
    <row r="532" spans="12:13" x14ac:dyDescent="0.35">
      <c r="L532" s="52" t="str">
        <f t="shared" si="18"/>
        <v/>
      </c>
      <c r="M532" t="str">
        <f t="shared" si="19"/>
        <v/>
      </c>
    </row>
    <row r="533" spans="12:13" x14ac:dyDescent="0.35">
      <c r="L533" s="52" t="str">
        <f t="shared" si="18"/>
        <v/>
      </c>
      <c r="M533" t="str">
        <f t="shared" si="19"/>
        <v/>
      </c>
    </row>
    <row r="534" spans="12:13" x14ac:dyDescent="0.35">
      <c r="L534" s="52" t="str">
        <f t="shared" si="18"/>
        <v/>
      </c>
      <c r="M534" t="str">
        <f t="shared" si="19"/>
        <v/>
      </c>
    </row>
    <row r="535" spans="12:13" x14ac:dyDescent="0.35">
      <c r="L535" s="52" t="str">
        <f t="shared" si="18"/>
        <v/>
      </c>
      <c r="M535" t="str">
        <f t="shared" si="19"/>
        <v/>
      </c>
    </row>
    <row r="536" spans="12:13" x14ac:dyDescent="0.35">
      <c r="L536" s="52" t="str">
        <f t="shared" si="18"/>
        <v/>
      </c>
      <c r="M536" t="str">
        <f t="shared" si="19"/>
        <v/>
      </c>
    </row>
    <row r="537" spans="12:13" x14ac:dyDescent="0.35">
      <c r="L537" s="52" t="str">
        <f t="shared" si="18"/>
        <v/>
      </c>
      <c r="M537" t="str">
        <f t="shared" si="19"/>
        <v/>
      </c>
    </row>
    <row r="538" spans="12:13" x14ac:dyDescent="0.35">
      <c r="L538" s="52" t="str">
        <f t="shared" si="18"/>
        <v/>
      </c>
      <c r="M538" t="str">
        <f t="shared" si="19"/>
        <v/>
      </c>
    </row>
    <row r="539" spans="12:13" x14ac:dyDescent="0.35">
      <c r="L539" s="52" t="str">
        <f t="shared" si="18"/>
        <v/>
      </c>
      <c r="M539" t="str">
        <f t="shared" si="19"/>
        <v/>
      </c>
    </row>
    <row r="540" spans="12:13" x14ac:dyDescent="0.35">
      <c r="L540" s="52" t="str">
        <f t="shared" si="18"/>
        <v/>
      </c>
      <c r="M540" t="str">
        <f t="shared" si="19"/>
        <v/>
      </c>
    </row>
    <row r="541" spans="12:13" x14ac:dyDescent="0.35">
      <c r="L541" s="52" t="str">
        <f t="shared" si="18"/>
        <v/>
      </c>
      <c r="M541" t="str">
        <f t="shared" si="19"/>
        <v/>
      </c>
    </row>
    <row r="542" spans="12:13" x14ac:dyDescent="0.35">
      <c r="L542" s="52" t="str">
        <f t="shared" si="18"/>
        <v/>
      </c>
      <c r="M542" t="str">
        <f t="shared" si="19"/>
        <v/>
      </c>
    </row>
    <row r="543" spans="12:13" x14ac:dyDescent="0.35">
      <c r="L543" s="52" t="str">
        <f t="shared" si="18"/>
        <v/>
      </c>
      <c r="M543" t="str">
        <f t="shared" si="19"/>
        <v/>
      </c>
    </row>
    <row r="544" spans="12:13" x14ac:dyDescent="0.35">
      <c r="L544" s="52" t="str">
        <f t="shared" si="18"/>
        <v/>
      </c>
      <c r="M544" t="str">
        <f t="shared" si="19"/>
        <v/>
      </c>
    </row>
    <row r="545" spans="12:13" x14ac:dyDescent="0.35">
      <c r="L545" s="52" t="str">
        <f t="shared" si="18"/>
        <v/>
      </c>
      <c r="M545" t="str">
        <f t="shared" si="19"/>
        <v/>
      </c>
    </row>
    <row r="546" spans="12:13" x14ac:dyDescent="0.35">
      <c r="L546" s="52" t="str">
        <f t="shared" si="18"/>
        <v/>
      </c>
      <c r="M546" t="str">
        <f t="shared" si="19"/>
        <v/>
      </c>
    </row>
    <row r="547" spans="12:13" x14ac:dyDescent="0.35">
      <c r="L547" s="52" t="str">
        <f t="shared" si="18"/>
        <v/>
      </c>
      <c r="M547" t="str">
        <f t="shared" si="19"/>
        <v/>
      </c>
    </row>
    <row r="548" spans="12:13" x14ac:dyDescent="0.35">
      <c r="L548" s="52" t="str">
        <f t="shared" si="18"/>
        <v/>
      </c>
      <c r="M548" t="str">
        <f t="shared" si="19"/>
        <v/>
      </c>
    </row>
    <row r="549" spans="12:13" x14ac:dyDescent="0.35">
      <c r="L549" s="52" t="str">
        <f t="shared" si="18"/>
        <v/>
      </c>
      <c r="M549" t="str">
        <f t="shared" si="19"/>
        <v/>
      </c>
    </row>
    <row r="550" spans="12:13" x14ac:dyDescent="0.35">
      <c r="L550" s="52" t="str">
        <f t="shared" si="18"/>
        <v/>
      </c>
      <c r="M550" t="str">
        <f t="shared" si="19"/>
        <v/>
      </c>
    </row>
    <row r="551" spans="12:13" x14ac:dyDescent="0.35">
      <c r="L551" s="52" t="str">
        <f t="shared" si="18"/>
        <v/>
      </c>
      <c r="M551" t="str">
        <f t="shared" si="19"/>
        <v/>
      </c>
    </row>
    <row r="552" spans="12:13" x14ac:dyDescent="0.35">
      <c r="L552" s="52" t="str">
        <f t="shared" si="18"/>
        <v/>
      </c>
      <c r="M552" t="str">
        <f t="shared" si="19"/>
        <v/>
      </c>
    </row>
    <row r="553" spans="12:13" x14ac:dyDescent="0.35">
      <c r="L553" s="52" t="str">
        <f t="shared" si="18"/>
        <v/>
      </c>
      <c r="M553" t="str">
        <f t="shared" si="19"/>
        <v/>
      </c>
    </row>
    <row r="554" spans="12:13" x14ac:dyDescent="0.35">
      <c r="L554" s="52" t="str">
        <f t="shared" si="18"/>
        <v/>
      </c>
      <c r="M554" t="str">
        <f t="shared" si="19"/>
        <v/>
      </c>
    </row>
    <row r="555" spans="12:13" x14ac:dyDescent="0.35">
      <c r="L555" s="52" t="str">
        <f t="shared" si="18"/>
        <v/>
      </c>
      <c r="M555" t="str">
        <f t="shared" si="19"/>
        <v/>
      </c>
    </row>
    <row r="556" spans="12:13" x14ac:dyDescent="0.35">
      <c r="L556" s="52" t="str">
        <f t="shared" si="18"/>
        <v/>
      </c>
      <c r="M556" t="str">
        <f t="shared" si="19"/>
        <v/>
      </c>
    </row>
    <row r="557" spans="12:13" x14ac:dyDescent="0.35">
      <c r="L557" s="52" t="str">
        <f t="shared" si="18"/>
        <v/>
      </c>
      <c r="M557" t="str">
        <f t="shared" si="19"/>
        <v/>
      </c>
    </row>
    <row r="558" spans="12:13" x14ac:dyDescent="0.35">
      <c r="L558" s="52" t="str">
        <f t="shared" si="18"/>
        <v/>
      </c>
      <c r="M558" t="str">
        <f t="shared" si="19"/>
        <v/>
      </c>
    </row>
    <row r="559" spans="12:13" x14ac:dyDescent="0.35">
      <c r="L559" s="52" t="str">
        <f t="shared" si="18"/>
        <v/>
      </c>
      <c r="M559" t="str">
        <f t="shared" si="19"/>
        <v/>
      </c>
    </row>
    <row r="560" spans="12:13" x14ac:dyDescent="0.35">
      <c r="L560" s="52" t="str">
        <f t="shared" si="18"/>
        <v/>
      </c>
      <c r="M560" t="str">
        <f t="shared" si="19"/>
        <v/>
      </c>
    </row>
    <row r="561" spans="12:13" x14ac:dyDescent="0.35">
      <c r="L561" s="52" t="str">
        <f t="shared" si="18"/>
        <v/>
      </c>
      <c r="M561" t="str">
        <f t="shared" si="19"/>
        <v/>
      </c>
    </row>
    <row r="562" spans="12:13" x14ac:dyDescent="0.35">
      <c r="L562" s="52" t="str">
        <f t="shared" si="18"/>
        <v/>
      </c>
      <c r="M562" t="str">
        <f t="shared" si="19"/>
        <v/>
      </c>
    </row>
    <row r="563" spans="12:13" x14ac:dyDescent="0.35">
      <c r="L563" s="52" t="str">
        <f t="shared" si="18"/>
        <v/>
      </c>
      <c r="M563" t="str">
        <f t="shared" si="19"/>
        <v/>
      </c>
    </row>
    <row r="564" spans="12:13" x14ac:dyDescent="0.35">
      <c r="L564" s="52" t="str">
        <f t="shared" si="18"/>
        <v/>
      </c>
      <c r="M564" t="str">
        <f t="shared" si="19"/>
        <v/>
      </c>
    </row>
    <row r="565" spans="12:13" x14ac:dyDescent="0.35">
      <c r="L565" s="52" t="str">
        <f t="shared" si="18"/>
        <v/>
      </c>
      <c r="M565" t="str">
        <f t="shared" si="19"/>
        <v/>
      </c>
    </row>
    <row r="566" spans="12:13" x14ac:dyDescent="0.35">
      <c r="L566" s="52" t="str">
        <f t="shared" si="18"/>
        <v/>
      </c>
      <c r="M566" t="str">
        <f t="shared" si="19"/>
        <v/>
      </c>
    </row>
    <row r="567" spans="12:13" x14ac:dyDescent="0.35">
      <c r="L567" s="52" t="str">
        <f t="shared" si="18"/>
        <v/>
      </c>
      <c r="M567" t="str">
        <f t="shared" si="19"/>
        <v/>
      </c>
    </row>
    <row r="568" spans="12:13" x14ac:dyDescent="0.35">
      <c r="L568" s="52" t="str">
        <f t="shared" si="18"/>
        <v/>
      </c>
      <c r="M568" t="str">
        <f t="shared" si="19"/>
        <v/>
      </c>
    </row>
    <row r="569" spans="12:13" x14ac:dyDescent="0.35">
      <c r="L569" s="52" t="str">
        <f t="shared" si="18"/>
        <v/>
      </c>
      <c r="M569" t="str">
        <f t="shared" si="19"/>
        <v/>
      </c>
    </row>
    <row r="570" spans="12:13" x14ac:dyDescent="0.35">
      <c r="L570" s="52" t="str">
        <f t="shared" si="18"/>
        <v/>
      </c>
      <c r="M570" t="str">
        <f t="shared" si="19"/>
        <v/>
      </c>
    </row>
    <row r="571" spans="12:13" x14ac:dyDescent="0.35">
      <c r="L571" s="52" t="str">
        <f t="shared" si="18"/>
        <v/>
      </c>
      <c r="M571" t="str">
        <f t="shared" si="19"/>
        <v/>
      </c>
    </row>
    <row r="572" spans="12:13" x14ac:dyDescent="0.35">
      <c r="L572" s="52" t="str">
        <f t="shared" si="18"/>
        <v/>
      </c>
      <c r="M572" t="str">
        <f t="shared" si="19"/>
        <v/>
      </c>
    </row>
    <row r="573" spans="12:13" x14ac:dyDescent="0.35">
      <c r="L573" s="52" t="str">
        <f t="shared" si="18"/>
        <v/>
      </c>
      <c r="M573" t="str">
        <f t="shared" si="19"/>
        <v/>
      </c>
    </row>
    <row r="574" spans="12:13" x14ac:dyDescent="0.35">
      <c r="L574" s="52" t="str">
        <f t="shared" si="18"/>
        <v/>
      </c>
      <c r="M574" t="str">
        <f t="shared" si="19"/>
        <v/>
      </c>
    </row>
    <row r="575" spans="12:13" x14ac:dyDescent="0.35">
      <c r="L575" s="52" t="str">
        <f t="shared" si="18"/>
        <v/>
      </c>
      <c r="M575" t="str">
        <f t="shared" si="19"/>
        <v/>
      </c>
    </row>
    <row r="576" spans="12:13" x14ac:dyDescent="0.35">
      <c r="L576" s="52" t="str">
        <f t="shared" si="18"/>
        <v/>
      </c>
      <c r="M576" t="str">
        <f t="shared" si="19"/>
        <v/>
      </c>
    </row>
    <row r="577" spans="12:13" x14ac:dyDescent="0.35">
      <c r="L577" s="52" t="str">
        <f t="shared" si="18"/>
        <v/>
      </c>
      <c r="M577" t="str">
        <f t="shared" si="19"/>
        <v/>
      </c>
    </row>
    <row r="578" spans="12:13" x14ac:dyDescent="0.35">
      <c r="L578" s="52" t="str">
        <f t="shared" si="18"/>
        <v/>
      </c>
      <c r="M578" t="str">
        <f t="shared" si="19"/>
        <v/>
      </c>
    </row>
    <row r="579" spans="12:13" x14ac:dyDescent="0.35">
      <c r="L579" s="52" t="str">
        <f t="shared" si="18"/>
        <v/>
      </c>
      <c r="M579" t="str">
        <f t="shared" si="19"/>
        <v/>
      </c>
    </row>
    <row r="580" spans="12:13" x14ac:dyDescent="0.35">
      <c r="L580" s="52" t="str">
        <f t="shared" si="18"/>
        <v/>
      </c>
      <c r="M580" t="str">
        <f t="shared" si="19"/>
        <v/>
      </c>
    </row>
    <row r="581" spans="12:13" x14ac:dyDescent="0.35">
      <c r="L581" s="52" t="str">
        <f t="shared" si="18"/>
        <v/>
      </c>
      <c r="M581" t="str">
        <f t="shared" si="19"/>
        <v/>
      </c>
    </row>
    <row r="582" spans="12:13" x14ac:dyDescent="0.35">
      <c r="L582" s="52" t="str">
        <f t="shared" si="18"/>
        <v/>
      </c>
      <c r="M582" t="str">
        <f t="shared" si="19"/>
        <v/>
      </c>
    </row>
    <row r="583" spans="12:13" x14ac:dyDescent="0.35">
      <c r="L583" s="52" t="str">
        <f t="shared" si="18"/>
        <v/>
      </c>
      <c r="M583" t="str">
        <f t="shared" si="19"/>
        <v/>
      </c>
    </row>
    <row r="584" spans="12:13" x14ac:dyDescent="0.35">
      <c r="L584" s="52" t="str">
        <f t="shared" si="18"/>
        <v/>
      </c>
      <c r="M584" t="str">
        <f t="shared" si="19"/>
        <v/>
      </c>
    </row>
    <row r="585" spans="12:13" x14ac:dyDescent="0.35">
      <c r="L585" s="52" t="str">
        <f t="shared" si="18"/>
        <v/>
      </c>
      <c r="M585" t="str">
        <f t="shared" si="19"/>
        <v/>
      </c>
    </row>
    <row r="586" spans="12:13" x14ac:dyDescent="0.35">
      <c r="L586" s="52" t="str">
        <f t="shared" si="18"/>
        <v/>
      </c>
      <c r="M586" t="str">
        <f t="shared" si="19"/>
        <v/>
      </c>
    </row>
    <row r="587" spans="12:13" x14ac:dyDescent="0.35">
      <c r="L587" s="52" t="str">
        <f t="shared" si="18"/>
        <v/>
      </c>
      <c r="M587" t="str">
        <f t="shared" si="19"/>
        <v/>
      </c>
    </row>
    <row r="588" spans="12:13" x14ac:dyDescent="0.35">
      <c r="L588" s="52" t="str">
        <f t="shared" ref="L588:L651" si="20">IF(B588="Total general","",IF(K588="","",CONCATENATE("Q",IF(K588&gt;$U$11,1,IF((AND(K588&gt;$V$11,K588&lt;=$U$11)),2,IF(AND(K588&gt;$W$11,K588&lt;=$V$11),3,IF(K588&lt;=$W$11,4)))))))</f>
        <v/>
      </c>
      <c r="M588" t="str">
        <f t="shared" ref="M588:M651" si="21">IF(B588="Total general","",IF(K588="","",IF(AND(C588=$T$16,K588&gt;=$T$17),"Cumple",IF(AND(C588=$U$16,K588&gt;=$U$17),"Cumple",IF(AND(C588=$V$16,K588&gt;=$V$17),"Cumple","No Cumple")))))</f>
        <v/>
      </c>
    </row>
    <row r="589" spans="12:13" x14ac:dyDescent="0.35">
      <c r="L589" s="52" t="str">
        <f t="shared" si="20"/>
        <v/>
      </c>
      <c r="M589" t="str">
        <f t="shared" si="21"/>
        <v/>
      </c>
    </row>
    <row r="590" spans="12:13" x14ac:dyDescent="0.35">
      <c r="L590" s="52" t="str">
        <f t="shared" si="20"/>
        <v/>
      </c>
      <c r="M590" t="str">
        <f t="shared" si="21"/>
        <v/>
      </c>
    </row>
    <row r="591" spans="12:13" x14ac:dyDescent="0.35">
      <c r="L591" s="52" t="str">
        <f t="shared" si="20"/>
        <v/>
      </c>
      <c r="M591" t="str">
        <f t="shared" si="21"/>
        <v/>
      </c>
    </row>
    <row r="592" spans="12:13" x14ac:dyDescent="0.35">
      <c r="L592" s="52" t="str">
        <f t="shared" si="20"/>
        <v/>
      </c>
      <c r="M592" t="str">
        <f t="shared" si="21"/>
        <v/>
      </c>
    </row>
    <row r="593" spans="12:13" x14ac:dyDescent="0.35">
      <c r="L593" s="52" t="str">
        <f t="shared" si="20"/>
        <v/>
      </c>
      <c r="M593" t="str">
        <f t="shared" si="21"/>
        <v/>
      </c>
    </row>
    <row r="594" spans="12:13" x14ac:dyDescent="0.35">
      <c r="L594" s="52" t="str">
        <f t="shared" si="20"/>
        <v/>
      </c>
      <c r="M594" t="str">
        <f t="shared" si="21"/>
        <v/>
      </c>
    </row>
    <row r="595" spans="12:13" x14ac:dyDescent="0.35">
      <c r="L595" s="52" t="str">
        <f t="shared" si="20"/>
        <v/>
      </c>
      <c r="M595" t="str">
        <f t="shared" si="21"/>
        <v/>
      </c>
    </row>
    <row r="596" spans="12:13" x14ac:dyDescent="0.35">
      <c r="L596" s="52" t="str">
        <f t="shared" si="20"/>
        <v/>
      </c>
      <c r="M596" t="str">
        <f t="shared" si="21"/>
        <v/>
      </c>
    </row>
    <row r="597" spans="12:13" x14ac:dyDescent="0.35">
      <c r="L597" s="52" t="str">
        <f t="shared" si="20"/>
        <v/>
      </c>
      <c r="M597" t="str">
        <f t="shared" si="21"/>
        <v/>
      </c>
    </row>
    <row r="598" spans="12:13" x14ac:dyDescent="0.35">
      <c r="L598" s="52" t="str">
        <f t="shared" si="20"/>
        <v/>
      </c>
      <c r="M598" t="str">
        <f t="shared" si="21"/>
        <v/>
      </c>
    </row>
    <row r="599" spans="12:13" x14ac:dyDescent="0.35">
      <c r="L599" s="52" t="str">
        <f t="shared" si="20"/>
        <v/>
      </c>
      <c r="M599" t="str">
        <f t="shared" si="21"/>
        <v/>
      </c>
    </row>
    <row r="600" spans="12:13" x14ac:dyDescent="0.35">
      <c r="L600" s="52" t="str">
        <f t="shared" si="20"/>
        <v/>
      </c>
      <c r="M600" t="str">
        <f t="shared" si="21"/>
        <v/>
      </c>
    </row>
    <row r="601" spans="12:13" x14ac:dyDescent="0.35">
      <c r="L601" s="52" t="str">
        <f t="shared" si="20"/>
        <v/>
      </c>
      <c r="M601" t="str">
        <f t="shared" si="21"/>
        <v/>
      </c>
    </row>
    <row r="602" spans="12:13" x14ac:dyDescent="0.35">
      <c r="L602" s="52" t="str">
        <f t="shared" si="20"/>
        <v/>
      </c>
      <c r="M602" t="str">
        <f t="shared" si="21"/>
        <v/>
      </c>
    </row>
    <row r="603" spans="12:13" x14ac:dyDescent="0.35">
      <c r="L603" s="52" t="str">
        <f t="shared" si="20"/>
        <v/>
      </c>
      <c r="M603" t="str">
        <f t="shared" si="21"/>
        <v/>
      </c>
    </row>
    <row r="604" spans="12:13" x14ac:dyDescent="0.35">
      <c r="L604" s="52" t="str">
        <f t="shared" si="20"/>
        <v/>
      </c>
      <c r="M604" t="str">
        <f t="shared" si="21"/>
        <v/>
      </c>
    </row>
    <row r="605" spans="12:13" x14ac:dyDescent="0.35">
      <c r="L605" s="52" t="str">
        <f t="shared" si="20"/>
        <v/>
      </c>
      <c r="M605" t="str">
        <f t="shared" si="21"/>
        <v/>
      </c>
    </row>
    <row r="606" spans="12:13" x14ac:dyDescent="0.35">
      <c r="L606" s="52" t="str">
        <f t="shared" si="20"/>
        <v/>
      </c>
      <c r="M606" t="str">
        <f t="shared" si="21"/>
        <v/>
      </c>
    </row>
    <row r="607" spans="12:13" x14ac:dyDescent="0.35">
      <c r="L607" s="52" t="str">
        <f t="shared" si="20"/>
        <v/>
      </c>
      <c r="M607" t="str">
        <f t="shared" si="21"/>
        <v/>
      </c>
    </row>
    <row r="608" spans="12:13" x14ac:dyDescent="0.35">
      <c r="L608" s="52" t="str">
        <f t="shared" si="20"/>
        <v/>
      </c>
      <c r="M608" t="str">
        <f t="shared" si="21"/>
        <v/>
      </c>
    </row>
    <row r="609" spans="12:13" x14ac:dyDescent="0.35">
      <c r="L609" s="52" t="str">
        <f t="shared" si="20"/>
        <v/>
      </c>
      <c r="M609" t="str">
        <f t="shared" si="21"/>
        <v/>
      </c>
    </row>
    <row r="610" spans="12:13" x14ac:dyDescent="0.35">
      <c r="L610" s="52" t="str">
        <f t="shared" si="20"/>
        <v/>
      </c>
      <c r="M610" t="str">
        <f t="shared" si="21"/>
        <v/>
      </c>
    </row>
    <row r="611" spans="12:13" x14ac:dyDescent="0.35">
      <c r="L611" s="52" t="str">
        <f t="shared" si="20"/>
        <v/>
      </c>
      <c r="M611" t="str">
        <f t="shared" si="21"/>
        <v/>
      </c>
    </row>
    <row r="612" spans="12:13" x14ac:dyDescent="0.35">
      <c r="L612" s="52" t="str">
        <f t="shared" si="20"/>
        <v/>
      </c>
      <c r="M612" t="str">
        <f t="shared" si="21"/>
        <v/>
      </c>
    </row>
    <row r="613" spans="12:13" x14ac:dyDescent="0.35">
      <c r="L613" s="52" t="str">
        <f t="shared" si="20"/>
        <v/>
      </c>
      <c r="M613" t="str">
        <f t="shared" si="21"/>
        <v/>
      </c>
    </row>
    <row r="614" spans="12:13" x14ac:dyDescent="0.35">
      <c r="L614" s="52" t="str">
        <f t="shared" si="20"/>
        <v/>
      </c>
      <c r="M614" t="str">
        <f t="shared" si="21"/>
        <v/>
      </c>
    </row>
    <row r="615" spans="12:13" x14ac:dyDescent="0.35">
      <c r="L615" s="52" t="str">
        <f t="shared" si="20"/>
        <v/>
      </c>
      <c r="M615" t="str">
        <f t="shared" si="21"/>
        <v/>
      </c>
    </row>
    <row r="616" spans="12:13" x14ac:dyDescent="0.35">
      <c r="L616" s="52" t="str">
        <f t="shared" si="20"/>
        <v/>
      </c>
      <c r="M616" t="str">
        <f t="shared" si="21"/>
        <v/>
      </c>
    </row>
    <row r="617" spans="12:13" x14ac:dyDescent="0.35">
      <c r="L617" s="52" t="str">
        <f t="shared" si="20"/>
        <v/>
      </c>
      <c r="M617" t="str">
        <f t="shared" si="21"/>
        <v/>
      </c>
    </row>
    <row r="618" spans="12:13" x14ac:dyDescent="0.35">
      <c r="L618" s="52" t="str">
        <f t="shared" si="20"/>
        <v/>
      </c>
      <c r="M618" t="str">
        <f t="shared" si="21"/>
        <v/>
      </c>
    </row>
    <row r="619" spans="12:13" x14ac:dyDescent="0.35">
      <c r="L619" s="52" t="str">
        <f t="shared" si="20"/>
        <v/>
      </c>
      <c r="M619" t="str">
        <f t="shared" si="21"/>
        <v/>
      </c>
    </row>
    <row r="620" spans="12:13" x14ac:dyDescent="0.35">
      <c r="L620" s="52" t="str">
        <f t="shared" si="20"/>
        <v/>
      </c>
      <c r="M620" t="str">
        <f t="shared" si="21"/>
        <v/>
      </c>
    </row>
    <row r="621" spans="12:13" x14ac:dyDescent="0.35">
      <c r="L621" s="52" t="str">
        <f t="shared" si="20"/>
        <v/>
      </c>
      <c r="M621" t="str">
        <f t="shared" si="21"/>
        <v/>
      </c>
    </row>
    <row r="622" spans="12:13" x14ac:dyDescent="0.35">
      <c r="L622" s="52" t="str">
        <f t="shared" si="20"/>
        <v/>
      </c>
      <c r="M622" t="str">
        <f t="shared" si="21"/>
        <v/>
      </c>
    </row>
    <row r="623" spans="12:13" x14ac:dyDescent="0.35">
      <c r="L623" s="52" t="str">
        <f t="shared" si="20"/>
        <v/>
      </c>
      <c r="M623" t="str">
        <f t="shared" si="21"/>
        <v/>
      </c>
    </row>
    <row r="624" spans="12:13" x14ac:dyDescent="0.35">
      <c r="L624" s="52" t="str">
        <f t="shared" si="20"/>
        <v/>
      </c>
      <c r="M624" t="str">
        <f t="shared" si="21"/>
        <v/>
      </c>
    </row>
    <row r="625" spans="12:13" x14ac:dyDescent="0.35">
      <c r="L625" s="52" t="str">
        <f t="shared" si="20"/>
        <v/>
      </c>
      <c r="M625" t="str">
        <f t="shared" si="21"/>
        <v/>
      </c>
    </row>
    <row r="626" spans="12:13" x14ac:dyDescent="0.35">
      <c r="L626" s="52" t="str">
        <f t="shared" si="20"/>
        <v/>
      </c>
      <c r="M626" t="str">
        <f t="shared" si="21"/>
        <v/>
      </c>
    </row>
    <row r="627" spans="12:13" x14ac:dyDescent="0.35">
      <c r="L627" s="52" t="str">
        <f t="shared" si="20"/>
        <v/>
      </c>
      <c r="M627" t="str">
        <f t="shared" si="21"/>
        <v/>
      </c>
    </row>
    <row r="628" spans="12:13" x14ac:dyDescent="0.35">
      <c r="L628" s="52" t="str">
        <f t="shared" si="20"/>
        <v/>
      </c>
      <c r="M628" t="str">
        <f t="shared" si="21"/>
        <v/>
      </c>
    </row>
    <row r="629" spans="12:13" x14ac:dyDescent="0.35">
      <c r="L629" s="52" t="str">
        <f t="shared" si="20"/>
        <v/>
      </c>
      <c r="M629" t="str">
        <f t="shared" si="21"/>
        <v/>
      </c>
    </row>
    <row r="630" spans="12:13" x14ac:dyDescent="0.35">
      <c r="L630" s="52" t="str">
        <f t="shared" si="20"/>
        <v/>
      </c>
      <c r="M630" t="str">
        <f t="shared" si="21"/>
        <v/>
      </c>
    </row>
    <row r="631" spans="12:13" x14ac:dyDescent="0.35">
      <c r="L631" s="52" t="str">
        <f t="shared" si="20"/>
        <v/>
      </c>
      <c r="M631" t="str">
        <f t="shared" si="21"/>
        <v/>
      </c>
    </row>
    <row r="632" spans="12:13" x14ac:dyDescent="0.35">
      <c r="L632" s="52" t="str">
        <f t="shared" si="20"/>
        <v/>
      </c>
      <c r="M632" t="str">
        <f t="shared" si="21"/>
        <v/>
      </c>
    </row>
    <row r="633" spans="12:13" x14ac:dyDescent="0.35">
      <c r="L633" s="52" t="str">
        <f t="shared" si="20"/>
        <v/>
      </c>
      <c r="M633" t="str">
        <f t="shared" si="21"/>
        <v/>
      </c>
    </row>
    <row r="634" spans="12:13" x14ac:dyDescent="0.35">
      <c r="L634" s="52" t="str">
        <f t="shared" si="20"/>
        <v/>
      </c>
      <c r="M634" t="str">
        <f t="shared" si="21"/>
        <v/>
      </c>
    </row>
    <row r="635" spans="12:13" x14ac:dyDescent="0.35">
      <c r="L635" s="52" t="str">
        <f t="shared" si="20"/>
        <v/>
      </c>
      <c r="M635" t="str">
        <f t="shared" si="21"/>
        <v/>
      </c>
    </row>
    <row r="636" spans="12:13" x14ac:dyDescent="0.35">
      <c r="L636" s="52" t="str">
        <f t="shared" si="20"/>
        <v/>
      </c>
      <c r="M636" t="str">
        <f t="shared" si="21"/>
        <v/>
      </c>
    </row>
    <row r="637" spans="12:13" x14ac:dyDescent="0.35">
      <c r="L637" s="52" t="str">
        <f t="shared" si="20"/>
        <v/>
      </c>
      <c r="M637" t="str">
        <f t="shared" si="21"/>
        <v/>
      </c>
    </row>
    <row r="638" spans="12:13" x14ac:dyDescent="0.35">
      <c r="L638" s="52" t="str">
        <f t="shared" si="20"/>
        <v/>
      </c>
      <c r="M638" t="str">
        <f t="shared" si="21"/>
        <v/>
      </c>
    </row>
    <row r="639" spans="12:13" x14ac:dyDescent="0.35">
      <c r="L639" s="52" t="str">
        <f t="shared" si="20"/>
        <v/>
      </c>
      <c r="M639" t="str">
        <f t="shared" si="21"/>
        <v/>
      </c>
    </row>
    <row r="640" spans="12:13" x14ac:dyDescent="0.35">
      <c r="L640" s="52" t="str">
        <f t="shared" si="20"/>
        <v/>
      </c>
      <c r="M640" t="str">
        <f t="shared" si="21"/>
        <v/>
      </c>
    </row>
    <row r="641" spans="12:13" x14ac:dyDescent="0.35">
      <c r="L641" s="52" t="str">
        <f t="shared" si="20"/>
        <v/>
      </c>
      <c r="M641" t="str">
        <f t="shared" si="21"/>
        <v/>
      </c>
    </row>
    <row r="642" spans="12:13" x14ac:dyDescent="0.35">
      <c r="L642" s="52" t="str">
        <f t="shared" si="20"/>
        <v/>
      </c>
      <c r="M642" t="str">
        <f t="shared" si="21"/>
        <v/>
      </c>
    </row>
    <row r="643" spans="12:13" x14ac:dyDescent="0.35">
      <c r="L643" s="52" t="str">
        <f t="shared" si="20"/>
        <v/>
      </c>
      <c r="M643" t="str">
        <f t="shared" si="21"/>
        <v/>
      </c>
    </row>
    <row r="644" spans="12:13" x14ac:dyDescent="0.35">
      <c r="L644" s="52" t="str">
        <f t="shared" si="20"/>
        <v/>
      </c>
      <c r="M644" t="str">
        <f t="shared" si="21"/>
        <v/>
      </c>
    </row>
    <row r="645" spans="12:13" x14ac:dyDescent="0.35">
      <c r="L645" s="52" t="str">
        <f t="shared" si="20"/>
        <v/>
      </c>
      <c r="M645" t="str">
        <f t="shared" si="21"/>
        <v/>
      </c>
    </row>
    <row r="646" spans="12:13" x14ac:dyDescent="0.35">
      <c r="L646" s="52" t="str">
        <f t="shared" si="20"/>
        <v/>
      </c>
      <c r="M646" t="str">
        <f t="shared" si="21"/>
        <v/>
      </c>
    </row>
    <row r="647" spans="12:13" x14ac:dyDescent="0.35">
      <c r="L647" s="52" t="str">
        <f t="shared" si="20"/>
        <v/>
      </c>
      <c r="M647" t="str">
        <f t="shared" si="21"/>
        <v/>
      </c>
    </row>
    <row r="648" spans="12:13" x14ac:dyDescent="0.35">
      <c r="L648" s="52" t="str">
        <f t="shared" si="20"/>
        <v/>
      </c>
      <c r="M648" t="str">
        <f t="shared" si="21"/>
        <v/>
      </c>
    </row>
    <row r="649" spans="12:13" x14ac:dyDescent="0.35">
      <c r="L649" s="52" t="str">
        <f t="shared" si="20"/>
        <v/>
      </c>
      <c r="M649" t="str">
        <f t="shared" si="21"/>
        <v/>
      </c>
    </row>
    <row r="650" spans="12:13" x14ac:dyDescent="0.35">
      <c r="L650" s="52" t="str">
        <f t="shared" si="20"/>
        <v/>
      </c>
      <c r="M650" t="str">
        <f t="shared" si="21"/>
        <v/>
      </c>
    </row>
    <row r="651" spans="12:13" x14ac:dyDescent="0.35">
      <c r="L651" s="52" t="str">
        <f t="shared" si="20"/>
        <v/>
      </c>
      <c r="M651" t="str">
        <f t="shared" si="21"/>
        <v/>
      </c>
    </row>
    <row r="652" spans="12:13" x14ac:dyDescent="0.35">
      <c r="L652" s="52" t="str">
        <f t="shared" ref="L652:L715" si="22">IF(B652="Total general","",IF(K652="","",CONCATENATE("Q",IF(K652&gt;$U$11,1,IF((AND(K652&gt;$V$11,K652&lt;=$U$11)),2,IF(AND(K652&gt;$W$11,K652&lt;=$V$11),3,IF(K652&lt;=$W$11,4)))))))</f>
        <v/>
      </c>
      <c r="M652" t="str">
        <f t="shared" ref="M652:M715" si="23">IF(B652="Total general","",IF(K652="","",IF(AND(C652=$T$16,K652&gt;=$T$17),"Cumple",IF(AND(C652=$U$16,K652&gt;=$U$17),"Cumple",IF(AND(C652=$V$16,K652&gt;=$V$17),"Cumple","No Cumple")))))</f>
        <v/>
      </c>
    </row>
    <row r="653" spans="12:13" x14ac:dyDescent="0.35">
      <c r="L653" s="52" t="str">
        <f t="shared" si="22"/>
        <v/>
      </c>
      <c r="M653" t="str">
        <f t="shared" si="23"/>
        <v/>
      </c>
    </row>
    <row r="654" spans="12:13" x14ac:dyDescent="0.35">
      <c r="L654" s="52" t="str">
        <f t="shared" si="22"/>
        <v/>
      </c>
      <c r="M654" t="str">
        <f t="shared" si="23"/>
        <v/>
      </c>
    </row>
    <row r="655" spans="12:13" x14ac:dyDescent="0.35">
      <c r="L655" s="52" t="str">
        <f t="shared" si="22"/>
        <v/>
      </c>
      <c r="M655" t="str">
        <f t="shared" si="23"/>
        <v/>
      </c>
    </row>
    <row r="656" spans="12:13" x14ac:dyDescent="0.35">
      <c r="L656" s="52" t="str">
        <f t="shared" si="22"/>
        <v/>
      </c>
      <c r="M656" t="str">
        <f t="shared" si="23"/>
        <v/>
      </c>
    </row>
    <row r="657" spans="12:13" x14ac:dyDescent="0.35">
      <c r="L657" s="52" t="str">
        <f t="shared" si="22"/>
        <v/>
      </c>
      <c r="M657" t="str">
        <f t="shared" si="23"/>
        <v/>
      </c>
    </row>
    <row r="658" spans="12:13" x14ac:dyDescent="0.35">
      <c r="L658" s="52" t="str">
        <f t="shared" si="22"/>
        <v/>
      </c>
      <c r="M658" t="str">
        <f t="shared" si="23"/>
        <v/>
      </c>
    </row>
    <row r="659" spans="12:13" x14ac:dyDescent="0.35">
      <c r="L659" s="52" t="str">
        <f t="shared" si="22"/>
        <v/>
      </c>
      <c r="M659" t="str">
        <f t="shared" si="23"/>
        <v/>
      </c>
    </row>
    <row r="660" spans="12:13" x14ac:dyDescent="0.35">
      <c r="L660" s="52" t="str">
        <f t="shared" si="22"/>
        <v/>
      </c>
      <c r="M660" t="str">
        <f t="shared" si="23"/>
        <v/>
      </c>
    </row>
    <row r="661" spans="12:13" x14ac:dyDescent="0.35">
      <c r="L661" s="52" t="str">
        <f t="shared" si="22"/>
        <v/>
      </c>
      <c r="M661" t="str">
        <f t="shared" si="23"/>
        <v/>
      </c>
    </row>
    <row r="662" spans="12:13" x14ac:dyDescent="0.35">
      <c r="L662" s="52" t="str">
        <f t="shared" si="22"/>
        <v/>
      </c>
      <c r="M662" t="str">
        <f t="shared" si="23"/>
        <v/>
      </c>
    </row>
    <row r="663" spans="12:13" x14ac:dyDescent="0.35">
      <c r="L663" s="52" t="str">
        <f t="shared" si="22"/>
        <v/>
      </c>
      <c r="M663" t="str">
        <f t="shared" si="23"/>
        <v/>
      </c>
    </row>
    <row r="664" spans="12:13" x14ac:dyDescent="0.35">
      <c r="L664" s="52" t="str">
        <f t="shared" si="22"/>
        <v/>
      </c>
      <c r="M664" t="str">
        <f t="shared" si="23"/>
        <v/>
      </c>
    </row>
    <row r="665" spans="12:13" x14ac:dyDescent="0.35">
      <c r="L665" s="52" t="str">
        <f t="shared" si="22"/>
        <v/>
      </c>
      <c r="M665" t="str">
        <f t="shared" si="23"/>
        <v/>
      </c>
    </row>
    <row r="666" spans="12:13" x14ac:dyDescent="0.35">
      <c r="L666" s="52" t="str">
        <f t="shared" si="22"/>
        <v/>
      </c>
      <c r="M666" t="str">
        <f t="shared" si="23"/>
        <v/>
      </c>
    </row>
    <row r="667" spans="12:13" x14ac:dyDescent="0.35">
      <c r="L667" s="52" t="str">
        <f t="shared" si="22"/>
        <v/>
      </c>
      <c r="M667" t="str">
        <f t="shared" si="23"/>
        <v/>
      </c>
    </row>
    <row r="668" spans="12:13" x14ac:dyDescent="0.35">
      <c r="L668" s="52" t="str">
        <f t="shared" si="22"/>
        <v/>
      </c>
      <c r="M668" t="str">
        <f t="shared" si="23"/>
        <v/>
      </c>
    </row>
    <row r="669" spans="12:13" x14ac:dyDescent="0.35">
      <c r="L669" s="52" t="str">
        <f t="shared" si="22"/>
        <v/>
      </c>
      <c r="M669" t="str">
        <f t="shared" si="23"/>
        <v/>
      </c>
    </row>
    <row r="670" spans="12:13" x14ac:dyDescent="0.35">
      <c r="L670" s="52" t="str">
        <f t="shared" si="22"/>
        <v/>
      </c>
      <c r="M670" t="str">
        <f t="shared" si="23"/>
        <v/>
      </c>
    </row>
    <row r="671" spans="12:13" x14ac:dyDescent="0.35">
      <c r="L671" s="52" t="str">
        <f t="shared" si="22"/>
        <v/>
      </c>
      <c r="M671" t="str">
        <f t="shared" si="23"/>
        <v/>
      </c>
    </row>
    <row r="672" spans="12:13" x14ac:dyDescent="0.35">
      <c r="L672" s="52" t="str">
        <f t="shared" si="22"/>
        <v/>
      </c>
      <c r="M672" t="str">
        <f t="shared" si="23"/>
        <v/>
      </c>
    </row>
    <row r="673" spans="12:13" x14ac:dyDescent="0.35">
      <c r="L673" s="52" t="str">
        <f t="shared" si="22"/>
        <v/>
      </c>
      <c r="M673" t="str">
        <f t="shared" si="23"/>
        <v/>
      </c>
    </row>
    <row r="674" spans="12:13" x14ac:dyDescent="0.35">
      <c r="L674" s="52" t="str">
        <f t="shared" si="22"/>
        <v/>
      </c>
      <c r="M674" t="str">
        <f t="shared" si="23"/>
        <v/>
      </c>
    </row>
    <row r="675" spans="12:13" x14ac:dyDescent="0.35">
      <c r="L675" s="52" t="str">
        <f t="shared" si="22"/>
        <v/>
      </c>
      <c r="M675" t="str">
        <f t="shared" si="23"/>
        <v/>
      </c>
    </row>
    <row r="676" spans="12:13" x14ac:dyDescent="0.35">
      <c r="L676" s="52" t="str">
        <f t="shared" si="22"/>
        <v/>
      </c>
      <c r="M676" t="str">
        <f t="shared" si="23"/>
        <v/>
      </c>
    </row>
    <row r="677" spans="12:13" x14ac:dyDescent="0.35">
      <c r="L677" s="52" t="str">
        <f t="shared" si="22"/>
        <v/>
      </c>
      <c r="M677" t="str">
        <f t="shared" si="23"/>
        <v/>
      </c>
    </row>
    <row r="678" spans="12:13" x14ac:dyDescent="0.35">
      <c r="L678" s="52" t="str">
        <f t="shared" si="22"/>
        <v/>
      </c>
      <c r="M678" t="str">
        <f t="shared" si="23"/>
        <v/>
      </c>
    </row>
    <row r="679" spans="12:13" x14ac:dyDescent="0.35">
      <c r="L679" s="52" t="str">
        <f t="shared" si="22"/>
        <v/>
      </c>
      <c r="M679" t="str">
        <f t="shared" si="23"/>
        <v/>
      </c>
    </row>
    <row r="680" spans="12:13" x14ac:dyDescent="0.35">
      <c r="L680" s="52" t="str">
        <f t="shared" si="22"/>
        <v/>
      </c>
      <c r="M680" t="str">
        <f t="shared" si="23"/>
        <v/>
      </c>
    </row>
    <row r="681" spans="12:13" x14ac:dyDescent="0.35">
      <c r="L681" s="52" t="str">
        <f t="shared" si="22"/>
        <v/>
      </c>
      <c r="M681" t="str">
        <f t="shared" si="23"/>
        <v/>
      </c>
    </row>
    <row r="682" spans="12:13" x14ac:dyDescent="0.35">
      <c r="L682" s="52" t="str">
        <f t="shared" si="22"/>
        <v/>
      </c>
      <c r="M682" t="str">
        <f t="shared" si="23"/>
        <v/>
      </c>
    </row>
    <row r="683" spans="12:13" x14ac:dyDescent="0.35">
      <c r="L683" s="52" t="str">
        <f t="shared" si="22"/>
        <v/>
      </c>
      <c r="M683" t="str">
        <f t="shared" si="23"/>
        <v/>
      </c>
    </row>
    <row r="684" spans="12:13" x14ac:dyDescent="0.35">
      <c r="L684" s="52" t="str">
        <f t="shared" si="22"/>
        <v/>
      </c>
      <c r="M684" t="str">
        <f t="shared" si="23"/>
        <v/>
      </c>
    </row>
    <row r="685" spans="12:13" x14ac:dyDescent="0.35">
      <c r="L685" s="52" t="str">
        <f t="shared" si="22"/>
        <v/>
      </c>
      <c r="M685" t="str">
        <f t="shared" si="23"/>
        <v/>
      </c>
    </row>
    <row r="686" spans="12:13" x14ac:dyDescent="0.35">
      <c r="L686" s="52" t="str">
        <f t="shared" si="22"/>
        <v/>
      </c>
      <c r="M686" t="str">
        <f t="shared" si="23"/>
        <v/>
      </c>
    </row>
    <row r="687" spans="12:13" x14ac:dyDescent="0.35">
      <c r="L687" s="52" t="str">
        <f t="shared" si="22"/>
        <v/>
      </c>
      <c r="M687" t="str">
        <f t="shared" si="23"/>
        <v/>
      </c>
    </row>
    <row r="688" spans="12:13" x14ac:dyDescent="0.35">
      <c r="L688" s="52" t="str">
        <f t="shared" si="22"/>
        <v/>
      </c>
      <c r="M688" t="str">
        <f t="shared" si="23"/>
        <v/>
      </c>
    </row>
    <row r="689" spans="12:13" x14ac:dyDescent="0.35">
      <c r="L689" s="52" t="str">
        <f t="shared" si="22"/>
        <v/>
      </c>
      <c r="M689" t="str">
        <f t="shared" si="23"/>
        <v/>
      </c>
    </row>
    <row r="690" spans="12:13" x14ac:dyDescent="0.35">
      <c r="L690" s="52" t="str">
        <f t="shared" si="22"/>
        <v/>
      </c>
      <c r="M690" t="str">
        <f t="shared" si="23"/>
        <v/>
      </c>
    </row>
    <row r="691" spans="12:13" x14ac:dyDescent="0.35">
      <c r="L691" s="52" t="str">
        <f t="shared" si="22"/>
        <v/>
      </c>
      <c r="M691" t="str">
        <f t="shared" si="23"/>
        <v/>
      </c>
    </row>
    <row r="692" spans="12:13" x14ac:dyDescent="0.35">
      <c r="L692" s="52" t="str">
        <f t="shared" si="22"/>
        <v/>
      </c>
      <c r="M692" t="str">
        <f t="shared" si="23"/>
        <v/>
      </c>
    </row>
    <row r="693" spans="12:13" x14ac:dyDescent="0.35">
      <c r="L693" s="52" t="str">
        <f t="shared" si="22"/>
        <v/>
      </c>
      <c r="M693" t="str">
        <f t="shared" si="23"/>
        <v/>
      </c>
    </row>
    <row r="694" spans="12:13" x14ac:dyDescent="0.35">
      <c r="L694" s="52" t="str">
        <f t="shared" si="22"/>
        <v/>
      </c>
      <c r="M694" t="str">
        <f t="shared" si="23"/>
        <v/>
      </c>
    </row>
    <row r="695" spans="12:13" x14ac:dyDescent="0.35">
      <c r="L695" s="52" t="str">
        <f t="shared" si="22"/>
        <v/>
      </c>
      <c r="M695" t="str">
        <f t="shared" si="23"/>
        <v/>
      </c>
    </row>
    <row r="696" spans="12:13" x14ac:dyDescent="0.35">
      <c r="L696" s="52" t="str">
        <f t="shared" si="22"/>
        <v/>
      </c>
      <c r="M696" t="str">
        <f t="shared" si="23"/>
        <v/>
      </c>
    </row>
    <row r="697" spans="12:13" x14ac:dyDescent="0.35">
      <c r="L697" s="52" t="str">
        <f t="shared" si="22"/>
        <v/>
      </c>
      <c r="M697" t="str">
        <f t="shared" si="23"/>
        <v/>
      </c>
    </row>
    <row r="698" spans="12:13" x14ac:dyDescent="0.35">
      <c r="L698" s="52" t="str">
        <f t="shared" si="22"/>
        <v/>
      </c>
      <c r="M698" t="str">
        <f t="shared" si="23"/>
        <v/>
      </c>
    </row>
    <row r="699" spans="12:13" x14ac:dyDescent="0.35">
      <c r="L699" s="52" t="str">
        <f t="shared" si="22"/>
        <v/>
      </c>
      <c r="M699" t="str">
        <f t="shared" si="23"/>
        <v/>
      </c>
    </row>
    <row r="700" spans="12:13" x14ac:dyDescent="0.35">
      <c r="L700" s="52" t="str">
        <f t="shared" si="22"/>
        <v/>
      </c>
      <c r="M700" t="str">
        <f t="shared" si="23"/>
        <v/>
      </c>
    </row>
    <row r="701" spans="12:13" x14ac:dyDescent="0.35">
      <c r="L701" s="52" t="str">
        <f t="shared" si="22"/>
        <v/>
      </c>
      <c r="M701" t="str">
        <f t="shared" si="23"/>
        <v/>
      </c>
    </row>
    <row r="702" spans="12:13" x14ac:dyDescent="0.35">
      <c r="L702" s="52" t="str">
        <f t="shared" si="22"/>
        <v/>
      </c>
      <c r="M702" t="str">
        <f t="shared" si="23"/>
        <v/>
      </c>
    </row>
    <row r="703" spans="12:13" x14ac:dyDescent="0.35">
      <c r="L703" s="52" t="str">
        <f t="shared" si="22"/>
        <v/>
      </c>
      <c r="M703" t="str">
        <f t="shared" si="23"/>
        <v/>
      </c>
    </row>
    <row r="704" spans="12:13" x14ac:dyDescent="0.35">
      <c r="L704" s="52" t="str">
        <f t="shared" si="22"/>
        <v/>
      </c>
      <c r="M704" t="str">
        <f t="shared" si="23"/>
        <v/>
      </c>
    </row>
    <row r="705" spans="12:13" x14ac:dyDescent="0.35">
      <c r="L705" s="52" t="str">
        <f t="shared" si="22"/>
        <v/>
      </c>
      <c r="M705" t="str">
        <f t="shared" si="23"/>
        <v/>
      </c>
    </row>
    <row r="706" spans="12:13" x14ac:dyDescent="0.35">
      <c r="L706" s="52" t="str">
        <f t="shared" si="22"/>
        <v/>
      </c>
      <c r="M706" t="str">
        <f t="shared" si="23"/>
        <v/>
      </c>
    </row>
    <row r="707" spans="12:13" x14ac:dyDescent="0.35">
      <c r="L707" s="52" t="str">
        <f t="shared" si="22"/>
        <v/>
      </c>
      <c r="M707" t="str">
        <f t="shared" si="23"/>
        <v/>
      </c>
    </row>
    <row r="708" spans="12:13" x14ac:dyDescent="0.35">
      <c r="L708" s="52" t="str">
        <f t="shared" si="22"/>
        <v/>
      </c>
      <c r="M708" t="str">
        <f t="shared" si="23"/>
        <v/>
      </c>
    </row>
    <row r="709" spans="12:13" x14ac:dyDescent="0.35">
      <c r="L709" s="52" t="str">
        <f t="shared" si="22"/>
        <v/>
      </c>
      <c r="M709" t="str">
        <f t="shared" si="23"/>
        <v/>
      </c>
    </row>
    <row r="710" spans="12:13" x14ac:dyDescent="0.35">
      <c r="L710" s="52" t="str">
        <f t="shared" si="22"/>
        <v/>
      </c>
      <c r="M710" t="str">
        <f t="shared" si="23"/>
        <v/>
      </c>
    </row>
    <row r="711" spans="12:13" x14ac:dyDescent="0.35">
      <c r="L711" s="52" t="str">
        <f t="shared" si="22"/>
        <v/>
      </c>
      <c r="M711" t="str">
        <f t="shared" si="23"/>
        <v/>
      </c>
    </row>
    <row r="712" spans="12:13" x14ac:dyDescent="0.35">
      <c r="L712" s="52" t="str">
        <f t="shared" si="22"/>
        <v/>
      </c>
      <c r="M712" t="str">
        <f t="shared" si="23"/>
        <v/>
      </c>
    </row>
    <row r="713" spans="12:13" x14ac:dyDescent="0.35">
      <c r="L713" s="52" t="str">
        <f t="shared" si="22"/>
        <v/>
      </c>
      <c r="M713" t="str">
        <f t="shared" si="23"/>
        <v/>
      </c>
    </row>
    <row r="714" spans="12:13" x14ac:dyDescent="0.35">
      <c r="L714" s="52" t="str">
        <f t="shared" si="22"/>
        <v/>
      </c>
      <c r="M714" t="str">
        <f t="shared" si="23"/>
        <v/>
      </c>
    </row>
    <row r="715" spans="12:13" x14ac:dyDescent="0.35">
      <c r="L715" s="52" t="str">
        <f t="shared" si="22"/>
        <v/>
      </c>
      <c r="M715" t="str">
        <f t="shared" si="23"/>
        <v/>
      </c>
    </row>
    <row r="716" spans="12:13" x14ac:dyDescent="0.35">
      <c r="L716" s="52" t="str">
        <f t="shared" ref="L716:L779" si="24">IF(B716="Total general","",IF(K716="","",CONCATENATE("Q",IF(K716&gt;$U$11,1,IF((AND(K716&gt;$V$11,K716&lt;=$U$11)),2,IF(AND(K716&gt;$W$11,K716&lt;=$V$11),3,IF(K716&lt;=$W$11,4)))))))</f>
        <v/>
      </c>
      <c r="M716" t="str">
        <f t="shared" ref="M716:M779" si="25">IF(B716="Total general","",IF(K716="","",IF(AND(C716=$T$16,K716&gt;=$T$17),"Cumple",IF(AND(C716=$U$16,K716&gt;=$U$17),"Cumple",IF(AND(C716=$V$16,K716&gt;=$V$17),"Cumple","No Cumple")))))</f>
        <v/>
      </c>
    </row>
    <row r="717" spans="12:13" x14ac:dyDescent="0.35">
      <c r="L717" s="52" t="str">
        <f t="shared" si="24"/>
        <v/>
      </c>
      <c r="M717" t="str">
        <f t="shared" si="25"/>
        <v/>
      </c>
    </row>
    <row r="718" spans="12:13" x14ac:dyDescent="0.35">
      <c r="L718" s="52" t="str">
        <f t="shared" si="24"/>
        <v/>
      </c>
      <c r="M718" t="str">
        <f t="shared" si="25"/>
        <v/>
      </c>
    </row>
    <row r="719" spans="12:13" x14ac:dyDescent="0.35">
      <c r="L719" s="52" t="str">
        <f t="shared" si="24"/>
        <v/>
      </c>
      <c r="M719" t="str">
        <f t="shared" si="25"/>
        <v/>
      </c>
    </row>
    <row r="720" spans="12:13" x14ac:dyDescent="0.35">
      <c r="L720" s="52" t="str">
        <f t="shared" si="24"/>
        <v/>
      </c>
      <c r="M720" t="str">
        <f t="shared" si="25"/>
        <v/>
      </c>
    </row>
    <row r="721" spans="12:13" x14ac:dyDescent="0.35">
      <c r="L721" s="52" t="str">
        <f t="shared" si="24"/>
        <v/>
      </c>
      <c r="M721" t="str">
        <f t="shared" si="25"/>
        <v/>
      </c>
    </row>
    <row r="722" spans="12:13" x14ac:dyDescent="0.35">
      <c r="L722" s="52" t="str">
        <f t="shared" si="24"/>
        <v/>
      </c>
      <c r="M722" t="str">
        <f t="shared" si="25"/>
        <v/>
      </c>
    </row>
    <row r="723" spans="12:13" x14ac:dyDescent="0.35">
      <c r="L723" s="52" t="str">
        <f t="shared" si="24"/>
        <v/>
      </c>
      <c r="M723" t="str">
        <f t="shared" si="25"/>
        <v/>
      </c>
    </row>
    <row r="724" spans="12:13" x14ac:dyDescent="0.35">
      <c r="L724" s="52" t="str">
        <f t="shared" si="24"/>
        <v/>
      </c>
      <c r="M724" t="str">
        <f t="shared" si="25"/>
        <v/>
      </c>
    </row>
    <row r="725" spans="12:13" x14ac:dyDescent="0.35">
      <c r="L725" s="52" t="str">
        <f t="shared" si="24"/>
        <v/>
      </c>
      <c r="M725" t="str">
        <f t="shared" si="25"/>
        <v/>
      </c>
    </row>
    <row r="726" spans="12:13" x14ac:dyDescent="0.35">
      <c r="L726" s="52" t="str">
        <f t="shared" si="24"/>
        <v/>
      </c>
      <c r="M726" t="str">
        <f t="shared" si="25"/>
        <v/>
      </c>
    </row>
    <row r="727" spans="12:13" x14ac:dyDescent="0.35">
      <c r="L727" s="52" t="str">
        <f t="shared" si="24"/>
        <v/>
      </c>
      <c r="M727" t="str">
        <f t="shared" si="25"/>
        <v/>
      </c>
    </row>
    <row r="728" spans="12:13" x14ac:dyDescent="0.35">
      <c r="L728" s="52" t="str">
        <f t="shared" si="24"/>
        <v/>
      </c>
      <c r="M728" t="str">
        <f t="shared" si="25"/>
        <v/>
      </c>
    </row>
    <row r="729" spans="12:13" x14ac:dyDescent="0.35">
      <c r="L729" s="52" t="str">
        <f t="shared" si="24"/>
        <v/>
      </c>
      <c r="M729" t="str">
        <f t="shared" si="25"/>
        <v/>
      </c>
    </row>
    <row r="730" spans="12:13" x14ac:dyDescent="0.35">
      <c r="L730" s="52" t="str">
        <f t="shared" si="24"/>
        <v/>
      </c>
      <c r="M730" t="str">
        <f t="shared" si="25"/>
        <v/>
      </c>
    </row>
    <row r="731" spans="12:13" x14ac:dyDescent="0.35">
      <c r="L731" s="52" t="str">
        <f t="shared" si="24"/>
        <v/>
      </c>
      <c r="M731" t="str">
        <f t="shared" si="25"/>
        <v/>
      </c>
    </row>
    <row r="732" spans="12:13" x14ac:dyDescent="0.35">
      <c r="L732" s="52" t="str">
        <f t="shared" si="24"/>
        <v/>
      </c>
      <c r="M732" t="str">
        <f t="shared" si="25"/>
        <v/>
      </c>
    </row>
    <row r="733" spans="12:13" x14ac:dyDescent="0.35">
      <c r="L733" s="52" t="str">
        <f t="shared" si="24"/>
        <v/>
      </c>
      <c r="M733" t="str">
        <f t="shared" si="25"/>
        <v/>
      </c>
    </row>
    <row r="734" spans="12:13" x14ac:dyDescent="0.35">
      <c r="L734" s="52" t="str">
        <f t="shared" si="24"/>
        <v/>
      </c>
      <c r="M734" t="str">
        <f t="shared" si="25"/>
        <v/>
      </c>
    </row>
    <row r="735" spans="12:13" x14ac:dyDescent="0.35">
      <c r="L735" s="52" t="str">
        <f t="shared" si="24"/>
        <v/>
      </c>
      <c r="M735" t="str">
        <f t="shared" si="25"/>
        <v/>
      </c>
    </row>
    <row r="736" spans="12:13" x14ac:dyDescent="0.35">
      <c r="L736" s="52" t="str">
        <f t="shared" si="24"/>
        <v/>
      </c>
      <c r="M736" t="str">
        <f t="shared" si="25"/>
        <v/>
      </c>
    </row>
    <row r="737" spans="12:13" x14ac:dyDescent="0.35">
      <c r="L737" s="52" t="str">
        <f t="shared" si="24"/>
        <v/>
      </c>
      <c r="M737" t="str">
        <f t="shared" si="25"/>
        <v/>
      </c>
    </row>
    <row r="738" spans="12:13" x14ac:dyDescent="0.35">
      <c r="L738" s="52" t="str">
        <f t="shared" si="24"/>
        <v/>
      </c>
      <c r="M738" t="str">
        <f t="shared" si="25"/>
        <v/>
      </c>
    </row>
    <row r="739" spans="12:13" x14ac:dyDescent="0.35">
      <c r="L739" s="52" t="str">
        <f t="shared" si="24"/>
        <v/>
      </c>
      <c r="M739" t="str">
        <f t="shared" si="25"/>
        <v/>
      </c>
    </row>
    <row r="740" spans="12:13" x14ac:dyDescent="0.35">
      <c r="L740" s="52" t="str">
        <f t="shared" si="24"/>
        <v/>
      </c>
      <c r="M740" t="str">
        <f t="shared" si="25"/>
        <v/>
      </c>
    </row>
    <row r="741" spans="12:13" x14ac:dyDescent="0.35">
      <c r="L741" s="52" t="str">
        <f t="shared" si="24"/>
        <v/>
      </c>
      <c r="M741" t="str">
        <f t="shared" si="25"/>
        <v/>
      </c>
    </row>
    <row r="742" spans="12:13" x14ac:dyDescent="0.35">
      <c r="L742" s="52" t="str">
        <f t="shared" si="24"/>
        <v/>
      </c>
      <c r="M742" t="str">
        <f t="shared" si="25"/>
        <v/>
      </c>
    </row>
    <row r="743" spans="12:13" x14ac:dyDescent="0.35">
      <c r="L743" s="52" t="str">
        <f t="shared" si="24"/>
        <v/>
      </c>
      <c r="M743" t="str">
        <f t="shared" si="25"/>
        <v/>
      </c>
    </row>
    <row r="744" spans="12:13" x14ac:dyDescent="0.35">
      <c r="L744" s="52" t="str">
        <f t="shared" si="24"/>
        <v/>
      </c>
      <c r="M744" t="str">
        <f t="shared" si="25"/>
        <v/>
      </c>
    </row>
    <row r="745" spans="12:13" x14ac:dyDescent="0.35">
      <c r="L745" s="52" t="str">
        <f t="shared" si="24"/>
        <v/>
      </c>
      <c r="M745" t="str">
        <f t="shared" si="25"/>
        <v/>
      </c>
    </row>
    <row r="746" spans="12:13" x14ac:dyDescent="0.35">
      <c r="L746" s="52" t="str">
        <f t="shared" si="24"/>
        <v/>
      </c>
      <c r="M746" t="str">
        <f t="shared" si="25"/>
        <v/>
      </c>
    </row>
    <row r="747" spans="12:13" x14ac:dyDescent="0.35">
      <c r="L747" s="52" t="str">
        <f t="shared" si="24"/>
        <v/>
      </c>
      <c r="M747" t="str">
        <f t="shared" si="25"/>
        <v/>
      </c>
    </row>
    <row r="748" spans="12:13" x14ac:dyDescent="0.35">
      <c r="L748" s="52" t="str">
        <f t="shared" si="24"/>
        <v/>
      </c>
      <c r="M748" t="str">
        <f t="shared" si="25"/>
        <v/>
      </c>
    </row>
    <row r="749" spans="12:13" x14ac:dyDescent="0.35">
      <c r="L749" s="52" t="str">
        <f t="shared" si="24"/>
        <v/>
      </c>
      <c r="M749" t="str">
        <f t="shared" si="25"/>
        <v/>
      </c>
    </row>
    <row r="750" spans="12:13" x14ac:dyDescent="0.35">
      <c r="L750" s="52" t="str">
        <f t="shared" si="24"/>
        <v/>
      </c>
      <c r="M750" t="str">
        <f t="shared" si="25"/>
        <v/>
      </c>
    </row>
    <row r="751" spans="12:13" x14ac:dyDescent="0.35">
      <c r="L751" s="52" t="str">
        <f t="shared" si="24"/>
        <v/>
      </c>
      <c r="M751" t="str">
        <f t="shared" si="25"/>
        <v/>
      </c>
    </row>
    <row r="752" spans="12:13" x14ac:dyDescent="0.35">
      <c r="L752" s="52" t="str">
        <f t="shared" si="24"/>
        <v/>
      </c>
      <c r="M752" t="str">
        <f t="shared" si="25"/>
        <v/>
      </c>
    </row>
    <row r="753" spans="12:13" x14ac:dyDescent="0.35">
      <c r="L753" s="52" t="str">
        <f t="shared" si="24"/>
        <v/>
      </c>
      <c r="M753" t="str">
        <f t="shared" si="25"/>
        <v/>
      </c>
    </row>
    <row r="754" spans="12:13" x14ac:dyDescent="0.35">
      <c r="L754" s="52" t="str">
        <f t="shared" si="24"/>
        <v/>
      </c>
      <c r="M754" t="str">
        <f t="shared" si="25"/>
        <v/>
      </c>
    </row>
    <row r="755" spans="12:13" x14ac:dyDescent="0.35">
      <c r="L755" s="52" t="str">
        <f t="shared" si="24"/>
        <v/>
      </c>
      <c r="M755" t="str">
        <f t="shared" si="25"/>
        <v/>
      </c>
    </row>
    <row r="756" spans="12:13" x14ac:dyDescent="0.35">
      <c r="L756" s="52" t="str">
        <f t="shared" si="24"/>
        <v/>
      </c>
      <c r="M756" t="str">
        <f t="shared" si="25"/>
        <v/>
      </c>
    </row>
    <row r="757" spans="12:13" x14ac:dyDescent="0.35">
      <c r="L757" s="52" t="str">
        <f t="shared" si="24"/>
        <v/>
      </c>
      <c r="M757" t="str">
        <f t="shared" si="25"/>
        <v/>
      </c>
    </row>
    <row r="758" spans="12:13" x14ac:dyDescent="0.35">
      <c r="L758" s="52" t="str">
        <f t="shared" si="24"/>
        <v/>
      </c>
      <c r="M758" t="str">
        <f t="shared" si="25"/>
        <v/>
      </c>
    </row>
    <row r="759" spans="12:13" x14ac:dyDescent="0.35">
      <c r="L759" s="52" t="str">
        <f t="shared" si="24"/>
        <v/>
      </c>
      <c r="M759" t="str">
        <f t="shared" si="25"/>
        <v/>
      </c>
    </row>
    <row r="760" spans="12:13" x14ac:dyDescent="0.35">
      <c r="L760" s="52" t="str">
        <f t="shared" si="24"/>
        <v/>
      </c>
      <c r="M760" t="str">
        <f t="shared" si="25"/>
        <v/>
      </c>
    </row>
    <row r="761" spans="12:13" x14ac:dyDescent="0.35">
      <c r="L761" s="52" t="str">
        <f t="shared" si="24"/>
        <v/>
      </c>
      <c r="M761" t="str">
        <f t="shared" si="25"/>
        <v/>
      </c>
    </row>
    <row r="762" spans="12:13" x14ac:dyDescent="0.35">
      <c r="L762" s="52" t="str">
        <f t="shared" si="24"/>
        <v/>
      </c>
      <c r="M762" t="str">
        <f t="shared" si="25"/>
        <v/>
      </c>
    </row>
    <row r="763" spans="12:13" x14ac:dyDescent="0.35">
      <c r="L763" s="52" t="str">
        <f t="shared" si="24"/>
        <v/>
      </c>
      <c r="M763" t="str">
        <f t="shared" si="25"/>
        <v/>
      </c>
    </row>
    <row r="764" spans="12:13" x14ac:dyDescent="0.35">
      <c r="L764" s="52" t="str">
        <f t="shared" si="24"/>
        <v/>
      </c>
      <c r="M764" t="str">
        <f t="shared" si="25"/>
        <v/>
      </c>
    </row>
    <row r="765" spans="12:13" x14ac:dyDescent="0.35">
      <c r="L765" s="52" t="str">
        <f t="shared" si="24"/>
        <v/>
      </c>
      <c r="M765" t="str">
        <f t="shared" si="25"/>
        <v/>
      </c>
    </row>
    <row r="766" spans="12:13" x14ac:dyDescent="0.35">
      <c r="L766" s="52" t="str">
        <f t="shared" si="24"/>
        <v/>
      </c>
      <c r="M766" t="str">
        <f t="shared" si="25"/>
        <v/>
      </c>
    </row>
    <row r="767" spans="12:13" x14ac:dyDescent="0.35">
      <c r="L767" s="52" t="str">
        <f t="shared" si="24"/>
        <v/>
      </c>
      <c r="M767" t="str">
        <f t="shared" si="25"/>
        <v/>
      </c>
    </row>
    <row r="768" spans="12:13" x14ac:dyDescent="0.35">
      <c r="L768" s="52" t="str">
        <f t="shared" si="24"/>
        <v/>
      </c>
      <c r="M768" t="str">
        <f t="shared" si="25"/>
        <v/>
      </c>
    </row>
    <row r="769" spans="12:13" x14ac:dyDescent="0.35">
      <c r="L769" s="52" t="str">
        <f t="shared" si="24"/>
        <v/>
      </c>
      <c r="M769" t="str">
        <f t="shared" si="25"/>
        <v/>
      </c>
    </row>
    <row r="770" spans="12:13" x14ac:dyDescent="0.35">
      <c r="L770" s="52" t="str">
        <f t="shared" si="24"/>
        <v/>
      </c>
      <c r="M770" t="str">
        <f t="shared" si="25"/>
        <v/>
      </c>
    </row>
    <row r="771" spans="12:13" x14ac:dyDescent="0.35">
      <c r="L771" s="52" t="str">
        <f t="shared" si="24"/>
        <v/>
      </c>
      <c r="M771" t="str">
        <f t="shared" si="25"/>
        <v/>
      </c>
    </row>
    <row r="772" spans="12:13" x14ac:dyDescent="0.35">
      <c r="L772" s="52" t="str">
        <f t="shared" si="24"/>
        <v/>
      </c>
      <c r="M772" t="str">
        <f t="shared" si="25"/>
        <v/>
      </c>
    </row>
    <row r="773" spans="12:13" x14ac:dyDescent="0.35">
      <c r="L773" s="52" t="str">
        <f t="shared" si="24"/>
        <v/>
      </c>
      <c r="M773" t="str">
        <f t="shared" si="25"/>
        <v/>
      </c>
    </row>
    <row r="774" spans="12:13" x14ac:dyDescent="0.35">
      <c r="L774" s="52" t="str">
        <f t="shared" si="24"/>
        <v/>
      </c>
      <c r="M774" t="str">
        <f t="shared" si="25"/>
        <v/>
      </c>
    </row>
    <row r="775" spans="12:13" x14ac:dyDescent="0.35">
      <c r="L775" s="52" t="str">
        <f t="shared" si="24"/>
        <v/>
      </c>
      <c r="M775" t="str">
        <f t="shared" si="25"/>
        <v/>
      </c>
    </row>
    <row r="776" spans="12:13" x14ac:dyDescent="0.35">
      <c r="L776" s="52" t="str">
        <f t="shared" si="24"/>
        <v/>
      </c>
      <c r="M776" t="str">
        <f t="shared" si="25"/>
        <v/>
      </c>
    </row>
    <row r="777" spans="12:13" x14ac:dyDescent="0.35">
      <c r="L777" s="52" t="str">
        <f t="shared" si="24"/>
        <v/>
      </c>
      <c r="M777" t="str">
        <f t="shared" si="25"/>
        <v/>
      </c>
    </row>
    <row r="778" spans="12:13" x14ac:dyDescent="0.35">
      <c r="L778" s="52" t="str">
        <f t="shared" si="24"/>
        <v/>
      </c>
      <c r="M778" t="str">
        <f t="shared" si="25"/>
        <v/>
      </c>
    </row>
    <row r="779" spans="12:13" x14ac:dyDescent="0.35">
      <c r="L779" s="52" t="str">
        <f t="shared" si="24"/>
        <v/>
      </c>
      <c r="M779" t="str">
        <f t="shared" si="25"/>
        <v/>
      </c>
    </row>
    <row r="780" spans="12:13" x14ac:dyDescent="0.35">
      <c r="L780" s="52" t="str">
        <f t="shared" ref="L780:L843" si="26">IF(B780="Total general","",IF(K780="","",CONCATENATE("Q",IF(K780&gt;$U$11,1,IF((AND(K780&gt;$V$11,K780&lt;=$U$11)),2,IF(AND(K780&gt;$W$11,K780&lt;=$V$11),3,IF(K780&lt;=$W$11,4)))))))</f>
        <v/>
      </c>
      <c r="M780" t="str">
        <f t="shared" ref="M780:M843" si="27">IF(B780="Total general","",IF(K780="","",IF(AND(C780=$T$16,K780&gt;=$T$17),"Cumple",IF(AND(C780=$U$16,K780&gt;=$U$17),"Cumple",IF(AND(C780=$V$16,K780&gt;=$V$17),"Cumple","No Cumple")))))</f>
        <v/>
      </c>
    </row>
    <row r="781" spans="12:13" x14ac:dyDescent="0.35">
      <c r="L781" s="52" t="str">
        <f t="shared" si="26"/>
        <v/>
      </c>
      <c r="M781" t="str">
        <f t="shared" si="27"/>
        <v/>
      </c>
    </row>
    <row r="782" spans="12:13" x14ac:dyDescent="0.35">
      <c r="L782" s="52" t="str">
        <f t="shared" si="26"/>
        <v/>
      </c>
      <c r="M782" t="str">
        <f t="shared" si="27"/>
        <v/>
      </c>
    </row>
    <row r="783" spans="12:13" x14ac:dyDescent="0.35">
      <c r="L783" s="52" t="str">
        <f t="shared" si="26"/>
        <v/>
      </c>
      <c r="M783" t="str">
        <f t="shared" si="27"/>
        <v/>
      </c>
    </row>
    <row r="784" spans="12:13" x14ac:dyDescent="0.35">
      <c r="L784" s="52" t="str">
        <f t="shared" si="26"/>
        <v/>
      </c>
      <c r="M784" t="str">
        <f t="shared" si="27"/>
        <v/>
      </c>
    </row>
    <row r="785" spans="12:13" x14ac:dyDescent="0.35">
      <c r="L785" s="52" t="str">
        <f t="shared" si="26"/>
        <v/>
      </c>
      <c r="M785" t="str">
        <f t="shared" si="27"/>
        <v/>
      </c>
    </row>
    <row r="786" spans="12:13" x14ac:dyDescent="0.35">
      <c r="L786" s="52" t="str">
        <f t="shared" si="26"/>
        <v/>
      </c>
      <c r="M786" t="str">
        <f t="shared" si="27"/>
        <v/>
      </c>
    </row>
    <row r="787" spans="12:13" x14ac:dyDescent="0.35">
      <c r="L787" s="52" t="str">
        <f t="shared" si="26"/>
        <v/>
      </c>
      <c r="M787" t="str">
        <f t="shared" si="27"/>
        <v/>
      </c>
    </row>
    <row r="788" spans="12:13" x14ac:dyDescent="0.35">
      <c r="L788" s="52" t="str">
        <f t="shared" si="26"/>
        <v/>
      </c>
      <c r="M788" t="str">
        <f t="shared" si="27"/>
        <v/>
      </c>
    </row>
    <row r="789" spans="12:13" x14ac:dyDescent="0.35">
      <c r="L789" s="52" t="str">
        <f t="shared" si="26"/>
        <v/>
      </c>
      <c r="M789" t="str">
        <f t="shared" si="27"/>
        <v/>
      </c>
    </row>
    <row r="790" spans="12:13" x14ac:dyDescent="0.35">
      <c r="L790" s="52" t="str">
        <f t="shared" si="26"/>
        <v/>
      </c>
      <c r="M790" t="str">
        <f t="shared" si="27"/>
        <v/>
      </c>
    </row>
    <row r="791" spans="12:13" x14ac:dyDescent="0.35">
      <c r="L791" s="52" t="str">
        <f t="shared" si="26"/>
        <v/>
      </c>
      <c r="M791" t="str">
        <f t="shared" si="27"/>
        <v/>
      </c>
    </row>
    <row r="792" spans="12:13" x14ac:dyDescent="0.35">
      <c r="L792" s="52" t="str">
        <f t="shared" si="26"/>
        <v/>
      </c>
      <c r="M792" t="str">
        <f t="shared" si="27"/>
        <v/>
      </c>
    </row>
    <row r="793" spans="12:13" x14ac:dyDescent="0.35">
      <c r="L793" s="52" t="str">
        <f t="shared" si="26"/>
        <v/>
      </c>
      <c r="M793" t="str">
        <f t="shared" si="27"/>
        <v/>
      </c>
    </row>
    <row r="794" spans="12:13" x14ac:dyDescent="0.35">
      <c r="L794" s="52" t="str">
        <f t="shared" si="26"/>
        <v/>
      </c>
      <c r="M794" t="str">
        <f t="shared" si="27"/>
        <v/>
      </c>
    </row>
    <row r="795" spans="12:13" x14ac:dyDescent="0.35">
      <c r="L795" s="52" t="str">
        <f t="shared" si="26"/>
        <v/>
      </c>
      <c r="M795" t="str">
        <f t="shared" si="27"/>
        <v/>
      </c>
    </row>
    <row r="796" spans="12:13" x14ac:dyDescent="0.35">
      <c r="L796" s="52" t="str">
        <f t="shared" si="26"/>
        <v/>
      </c>
      <c r="M796" t="str">
        <f t="shared" si="27"/>
        <v/>
      </c>
    </row>
    <row r="797" spans="12:13" x14ac:dyDescent="0.35">
      <c r="L797" s="52" t="str">
        <f t="shared" si="26"/>
        <v/>
      </c>
      <c r="M797" t="str">
        <f t="shared" si="27"/>
        <v/>
      </c>
    </row>
    <row r="798" spans="12:13" x14ac:dyDescent="0.35">
      <c r="L798" s="52" t="str">
        <f t="shared" si="26"/>
        <v/>
      </c>
      <c r="M798" t="str">
        <f t="shared" si="27"/>
        <v/>
      </c>
    </row>
    <row r="799" spans="12:13" x14ac:dyDescent="0.35">
      <c r="L799" s="52" t="str">
        <f t="shared" si="26"/>
        <v/>
      </c>
      <c r="M799" t="str">
        <f t="shared" si="27"/>
        <v/>
      </c>
    </row>
    <row r="800" spans="12:13" x14ac:dyDescent="0.35">
      <c r="L800" s="52" t="str">
        <f t="shared" si="26"/>
        <v/>
      </c>
      <c r="M800" t="str">
        <f t="shared" si="27"/>
        <v/>
      </c>
    </row>
    <row r="801" spans="12:13" x14ac:dyDescent="0.35">
      <c r="L801" s="52" t="str">
        <f t="shared" si="26"/>
        <v/>
      </c>
      <c r="M801" t="str">
        <f t="shared" si="27"/>
        <v/>
      </c>
    </row>
    <row r="802" spans="12:13" x14ac:dyDescent="0.35">
      <c r="L802" s="52" t="str">
        <f t="shared" si="26"/>
        <v/>
      </c>
      <c r="M802" t="str">
        <f t="shared" si="27"/>
        <v/>
      </c>
    </row>
    <row r="803" spans="12:13" x14ac:dyDescent="0.35">
      <c r="L803" s="52" t="str">
        <f t="shared" si="26"/>
        <v/>
      </c>
      <c r="M803" t="str">
        <f t="shared" si="27"/>
        <v/>
      </c>
    </row>
    <row r="804" spans="12:13" x14ac:dyDescent="0.35">
      <c r="L804" s="52" t="str">
        <f t="shared" si="26"/>
        <v/>
      </c>
      <c r="M804" t="str">
        <f t="shared" si="27"/>
        <v/>
      </c>
    </row>
    <row r="805" spans="12:13" x14ac:dyDescent="0.35">
      <c r="L805" s="52" t="str">
        <f t="shared" si="26"/>
        <v/>
      </c>
      <c r="M805" t="str">
        <f t="shared" si="27"/>
        <v/>
      </c>
    </row>
    <row r="806" spans="12:13" x14ac:dyDescent="0.35">
      <c r="L806" s="52" t="str">
        <f t="shared" si="26"/>
        <v/>
      </c>
      <c r="M806" t="str">
        <f t="shared" si="27"/>
        <v/>
      </c>
    </row>
    <row r="807" spans="12:13" x14ac:dyDescent="0.35">
      <c r="L807" s="52" t="str">
        <f t="shared" si="26"/>
        <v/>
      </c>
      <c r="M807" t="str">
        <f t="shared" si="27"/>
        <v/>
      </c>
    </row>
    <row r="808" spans="12:13" x14ac:dyDescent="0.35">
      <c r="L808" s="52" t="str">
        <f t="shared" si="26"/>
        <v/>
      </c>
      <c r="M808" t="str">
        <f t="shared" si="27"/>
        <v/>
      </c>
    </row>
    <row r="809" spans="12:13" x14ac:dyDescent="0.35">
      <c r="L809" s="52" t="str">
        <f t="shared" si="26"/>
        <v/>
      </c>
      <c r="M809" t="str">
        <f t="shared" si="27"/>
        <v/>
      </c>
    </row>
    <row r="810" spans="12:13" x14ac:dyDescent="0.35">
      <c r="L810" s="52" t="str">
        <f t="shared" si="26"/>
        <v/>
      </c>
      <c r="M810" t="str">
        <f t="shared" si="27"/>
        <v/>
      </c>
    </row>
    <row r="811" spans="12:13" x14ac:dyDescent="0.35">
      <c r="L811" s="52" t="str">
        <f t="shared" si="26"/>
        <v/>
      </c>
      <c r="M811" t="str">
        <f t="shared" si="27"/>
        <v/>
      </c>
    </row>
    <row r="812" spans="12:13" x14ac:dyDescent="0.35">
      <c r="L812" s="52" t="str">
        <f t="shared" si="26"/>
        <v/>
      </c>
      <c r="M812" t="str">
        <f t="shared" si="27"/>
        <v/>
      </c>
    </row>
    <row r="813" spans="12:13" x14ac:dyDescent="0.35">
      <c r="L813" s="52" t="str">
        <f t="shared" si="26"/>
        <v/>
      </c>
      <c r="M813" t="str">
        <f t="shared" si="27"/>
        <v/>
      </c>
    </row>
    <row r="814" spans="12:13" x14ac:dyDescent="0.35">
      <c r="L814" s="52" t="str">
        <f t="shared" si="26"/>
        <v/>
      </c>
      <c r="M814" t="str">
        <f t="shared" si="27"/>
        <v/>
      </c>
    </row>
    <row r="815" spans="12:13" x14ac:dyDescent="0.35">
      <c r="L815" s="52" t="str">
        <f t="shared" si="26"/>
        <v/>
      </c>
      <c r="M815" t="str">
        <f t="shared" si="27"/>
        <v/>
      </c>
    </row>
    <row r="816" spans="12:13" x14ac:dyDescent="0.35">
      <c r="L816" s="52" t="str">
        <f t="shared" si="26"/>
        <v/>
      </c>
      <c r="M816" t="str">
        <f t="shared" si="27"/>
        <v/>
      </c>
    </row>
    <row r="817" spans="12:13" x14ac:dyDescent="0.35">
      <c r="L817" s="52" t="str">
        <f t="shared" si="26"/>
        <v/>
      </c>
      <c r="M817" t="str">
        <f t="shared" si="27"/>
        <v/>
      </c>
    </row>
    <row r="818" spans="12:13" x14ac:dyDescent="0.35">
      <c r="L818" s="52" t="str">
        <f t="shared" si="26"/>
        <v/>
      </c>
      <c r="M818" t="str">
        <f t="shared" si="27"/>
        <v/>
      </c>
    </row>
    <row r="819" spans="12:13" x14ac:dyDescent="0.35">
      <c r="L819" s="52" t="str">
        <f t="shared" si="26"/>
        <v/>
      </c>
      <c r="M819" t="str">
        <f t="shared" si="27"/>
        <v/>
      </c>
    </row>
    <row r="820" spans="12:13" x14ac:dyDescent="0.35">
      <c r="L820" s="52" t="str">
        <f t="shared" si="26"/>
        <v/>
      </c>
      <c r="M820" t="str">
        <f t="shared" si="27"/>
        <v/>
      </c>
    </row>
    <row r="821" spans="12:13" x14ac:dyDescent="0.35">
      <c r="L821" s="52" t="str">
        <f t="shared" si="26"/>
        <v/>
      </c>
      <c r="M821" t="str">
        <f t="shared" si="27"/>
        <v/>
      </c>
    </row>
    <row r="822" spans="12:13" x14ac:dyDescent="0.35">
      <c r="L822" s="52" t="str">
        <f t="shared" si="26"/>
        <v/>
      </c>
      <c r="M822" t="str">
        <f t="shared" si="27"/>
        <v/>
      </c>
    </row>
    <row r="823" spans="12:13" x14ac:dyDescent="0.35">
      <c r="L823" s="52" t="str">
        <f t="shared" si="26"/>
        <v/>
      </c>
      <c r="M823" t="str">
        <f t="shared" si="27"/>
        <v/>
      </c>
    </row>
    <row r="824" spans="12:13" x14ac:dyDescent="0.35">
      <c r="L824" s="52" t="str">
        <f t="shared" si="26"/>
        <v/>
      </c>
      <c r="M824" t="str">
        <f t="shared" si="27"/>
        <v/>
      </c>
    </row>
    <row r="825" spans="12:13" x14ac:dyDescent="0.35">
      <c r="L825" s="52" t="str">
        <f t="shared" si="26"/>
        <v/>
      </c>
      <c r="M825" t="str">
        <f t="shared" si="27"/>
        <v/>
      </c>
    </row>
    <row r="826" spans="12:13" x14ac:dyDescent="0.35">
      <c r="L826" s="52" t="str">
        <f t="shared" si="26"/>
        <v/>
      </c>
      <c r="M826" t="str">
        <f t="shared" si="27"/>
        <v/>
      </c>
    </row>
    <row r="827" spans="12:13" x14ac:dyDescent="0.35">
      <c r="L827" s="52" t="str">
        <f t="shared" si="26"/>
        <v/>
      </c>
      <c r="M827" t="str">
        <f t="shared" si="27"/>
        <v/>
      </c>
    </row>
    <row r="828" spans="12:13" x14ac:dyDescent="0.35">
      <c r="L828" s="52" t="str">
        <f t="shared" si="26"/>
        <v/>
      </c>
      <c r="M828" t="str">
        <f t="shared" si="27"/>
        <v/>
      </c>
    </row>
    <row r="829" spans="12:13" x14ac:dyDescent="0.35">
      <c r="L829" s="52" t="str">
        <f t="shared" si="26"/>
        <v/>
      </c>
      <c r="M829" t="str">
        <f t="shared" si="27"/>
        <v/>
      </c>
    </row>
    <row r="830" spans="12:13" x14ac:dyDescent="0.35">
      <c r="L830" s="52" t="str">
        <f t="shared" si="26"/>
        <v/>
      </c>
      <c r="M830" t="str">
        <f t="shared" si="27"/>
        <v/>
      </c>
    </row>
    <row r="831" spans="12:13" x14ac:dyDescent="0.35">
      <c r="L831" s="52" t="str">
        <f t="shared" si="26"/>
        <v/>
      </c>
      <c r="M831" t="str">
        <f t="shared" si="27"/>
        <v/>
      </c>
    </row>
    <row r="832" spans="12:13" x14ac:dyDescent="0.35">
      <c r="L832" s="52" t="str">
        <f t="shared" si="26"/>
        <v/>
      </c>
      <c r="M832" t="str">
        <f t="shared" si="27"/>
        <v/>
      </c>
    </row>
    <row r="833" spans="12:13" x14ac:dyDescent="0.35">
      <c r="L833" s="52" t="str">
        <f t="shared" si="26"/>
        <v/>
      </c>
      <c r="M833" t="str">
        <f t="shared" si="27"/>
        <v/>
      </c>
    </row>
    <row r="834" spans="12:13" x14ac:dyDescent="0.35">
      <c r="L834" s="52" t="str">
        <f t="shared" si="26"/>
        <v/>
      </c>
      <c r="M834" t="str">
        <f t="shared" si="27"/>
        <v/>
      </c>
    </row>
    <row r="835" spans="12:13" x14ac:dyDescent="0.35">
      <c r="L835" s="52" t="str">
        <f t="shared" si="26"/>
        <v/>
      </c>
      <c r="M835" t="str">
        <f t="shared" si="27"/>
        <v/>
      </c>
    </row>
    <row r="836" spans="12:13" x14ac:dyDescent="0.35">
      <c r="L836" s="52" t="str">
        <f t="shared" si="26"/>
        <v/>
      </c>
      <c r="M836" t="str">
        <f t="shared" si="27"/>
        <v/>
      </c>
    </row>
    <row r="837" spans="12:13" x14ac:dyDescent="0.35">
      <c r="L837" s="52" t="str">
        <f t="shared" si="26"/>
        <v/>
      </c>
      <c r="M837" t="str">
        <f t="shared" si="27"/>
        <v/>
      </c>
    </row>
    <row r="838" spans="12:13" x14ac:dyDescent="0.35">
      <c r="L838" s="52" t="str">
        <f t="shared" si="26"/>
        <v/>
      </c>
      <c r="M838" t="str">
        <f t="shared" si="27"/>
        <v/>
      </c>
    </row>
    <row r="839" spans="12:13" x14ac:dyDescent="0.35">
      <c r="L839" s="52" t="str">
        <f t="shared" si="26"/>
        <v/>
      </c>
      <c r="M839" t="str">
        <f t="shared" si="27"/>
        <v/>
      </c>
    </row>
    <row r="840" spans="12:13" x14ac:dyDescent="0.35">
      <c r="L840" s="52" t="str">
        <f t="shared" si="26"/>
        <v/>
      </c>
      <c r="M840" t="str">
        <f t="shared" si="27"/>
        <v/>
      </c>
    </row>
    <row r="841" spans="12:13" x14ac:dyDescent="0.35">
      <c r="L841" s="52" t="str">
        <f t="shared" si="26"/>
        <v/>
      </c>
      <c r="M841" t="str">
        <f t="shared" si="27"/>
        <v/>
      </c>
    </row>
    <row r="842" spans="12:13" x14ac:dyDescent="0.35">
      <c r="L842" s="52" t="str">
        <f t="shared" si="26"/>
        <v/>
      </c>
      <c r="M842" t="str">
        <f t="shared" si="27"/>
        <v/>
      </c>
    </row>
    <row r="843" spans="12:13" x14ac:dyDescent="0.35">
      <c r="L843" s="52" t="str">
        <f t="shared" si="26"/>
        <v/>
      </c>
      <c r="M843" t="str">
        <f t="shared" si="27"/>
        <v/>
      </c>
    </row>
    <row r="844" spans="12:13" x14ac:dyDescent="0.35">
      <c r="L844" s="52" t="str">
        <f t="shared" ref="L844:L907" si="28">IF(B844="Total general","",IF(K844="","",CONCATENATE("Q",IF(K844&gt;$U$11,1,IF((AND(K844&gt;$V$11,K844&lt;=$U$11)),2,IF(AND(K844&gt;$W$11,K844&lt;=$V$11),3,IF(K844&lt;=$W$11,4)))))))</f>
        <v/>
      </c>
      <c r="M844" t="str">
        <f t="shared" ref="M844:M907" si="29">IF(B844="Total general","",IF(K844="","",IF(AND(C844=$T$16,K844&gt;=$T$17),"Cumple",IF(AND(C844=$U$16,K844&gt;=$U$17),"Cumple",IF(AND(C844=$V$16,K844&gt;=$V$17),"Cumple","No Cumple")))))</f>
        <v/>
      </c>
    </row>
    <row r="845" spans="12:13" x14ac:dyDescent="0.35">
      <c r="L845" s="52" t="str">
        <f t="shared" si="28"/>
        <v/>
      </c>
      <c r="M845" t="str">
        <f t="shared" si="29"/>
        <v/>
      </c>
    </row>
    <row r="846" spans="12:13" x14ac:dyDescent="0.35">
      <c r="L846" s="52" t="str">
        <f t="shared" si="28"/>
        <v/>
      </c>
      <c r="M846" t="str">
        <f t="shared" si="29"/>
        <v/>
      </c>
    </row>
    <row r="847" spans="12:13" x14ac:dyDescent="0.35">
      <c r="L847" s="52" t="str">
        <f t="shared" si="28"/>
        <v/>
      </c>
      <c r="M847" t="str">
        <f t="shared" si="29"/>
        <v/>
      </c>
    </row>
    <row r="848" spans="12:13" x14ac:dyDescent="0.35">
      <c r="L848" s="52" t="str">
        <f t="shared" si="28"/>
        <v/>
      </c>
      <c r="M848" t="str">
        <f t="shared" si="29"/>
        <v/>
      </c>
    </row>
    <row r="849" spans="12:13" x14ac:dyDescent="0.35">
      <c r="L849" s="52" t="str">
        <f t="shared" si="28"/>
        <v/>
      </c>
      <c r="M849" t="str">
        <f t="shared" si="29"/>
        <v/>
      </c>
    </row>
    <row r="850" spans="12:13" x14ac:dyDescent="0.35">
      <c r="L850" s="52" t="str">
        <f t="shared" si="28"/>
        <v/>
      </c>
      <c r="M850" t="str">
        <f t="shared" si="29"/>
        <v/>
      </c>
    </row>
    <row r="851" spans="12:13" x14ac:dyDescent="0.35">
      <c r="L851" s="52" t="str">
        <f t="shared" si="28"/>
        <v/>
      </c>
      <c r="M851" t="str">
        <f t="shared" si="29"/>
        <v/>
      </c>
    </row>
    <row r="852" spans="12:13" x14ac:dyDescent="0.35">
      <c r="L852" s="52" t="str">
        <f t="shared" si="28"/>
        <v/>
      </c>
      <c r="M852" t="str">
        <f t="shared" si="29"/>
        <v/>
      </c>
    </row>
    <row r="853" spans="12:13" x14ac:dyDescent="0.35">
      <c r="L853" s="52" t="str">
        <f t="shared" si="28"/>
        <v/>
      </c>
      <c r="M853" t="str">
        <f t="shared" si="29"/>
        <v/>
      </c>
    </row>
    <row r="854" spans="12:13" x14ac:dyDescent="0.35">
      <c r="L854" s="52" t="str">
        <f t="shared" si="28"/>
        <v/>
      </c>
      <c r="M854" t="str">
        <f t="shared" si="29"/>
        <v/>
      </c>
    </row>
    <row r="855" spans="12:13" x14ac:dyDescent="0.35">
      <c r="L855" s="52" t="str">
        <f t="shared" si="28"/>
        <v/>
      </c>
      <c r="M855" t="str">
        <f t="shared" si="29"/>
        <v/>
      </c>
    </row>
    <row r="856" spans="12:13" x14ac:dyDescent="0.35">
      <c r="L856" s="52" t="str">
        <f t="shared" si="28"/>
        <v/>
      </c>
      <c r="M856" t="str">
        <f t="shared" si="29"/>
        <v/>
      </c>
    </row>
    <row r="857" spans="12:13" x14ac:dyDescent="0.35">
      <c r="L857" s="52" t="str">
        <f t="shared" si="28"/>
        <v/>
      </c>
      <c r="M857" t="str">
        <f t="shared" si="29"/>
        <v/>
      </c>
    </row>
    <row r="858" spans="12:13" x14ac:dyDescent="0.35">
      <c r="L858" s="52" t="str">
        <f t="shared" si="28"/>
        <v/>
      </c>
      <c r="M858" t="str">
        <f t="shared" si="29"/>
        <v/>
      </c>
    </row>
    <row r="859" spans="12:13" x14ac:dyDescent="0.35">
      <c r="L859" s="52" t="str">
        <f t="shared" si="28"/>
        <v/>
      </c>
      <c r="M859" t="str">
        <f t="shared" si="29"/>
        <v/>
      </c>
    </row>
    <row r="860" spans="12:13" x14ac:dyDescent="0.35">
      <c r="L860" s="52" t="str">
        <f t="shared" si="28"/>
        <v/>
      </c>
      <c r="M860" t="str">
        <f t="shared" si="29"/>
        <v/>
      </c>
    </row>
    <row r="861" spans="12:13" x14ac:dyDescent="0.35">
      <c r="L861" s="52" t="str">
        <f t="shared" si="28"/>
        <v/>
      </c>
      <c r="M861" t="str">
        <f t="shared" si="29"/>
        <v/>
      </c>
    </row>
    <row r="862" spans="12:13" x14ac:dyDescent="0.35">
      <c r="L862" s="52" t="str">
        <f t="shared" si="28"/>
        <v/>
      </c>
      <c r="M862" t="str">
        <f t="shared" si="29"/>
        <v/>
      </c>
    </row>
    <row r="863" spans="12:13" x14ac:dyDescent="0.35">
      <c r="L863" s="52" t="str">
        <f t="shared" si="28"/>
        <v/>
      </c>
      <c r="M863" t="str">
        <f t="shared" si="29"/>
        <v/>
      </c>
    </row>
    <row r="864" spans="12:13" x14ac:dyDescent="0.35">
      <c r="L864" s="52" t="str">
        <f t="shared" si="28"/>
        <v/>
      </c>
      <c r="M864" t="str">
        <f t="shared" si="29"/>
        <v/>
      </c>
    </row>
    <row r="865" spans="12:13" x14ac:dyDescent="0.35">
      <c r="L865" s="52" t="str">
        <f t="shared" si="28"/>
        <v/>
      </c>
      <c r="M865" t="str">
        <f t="shared" si="29"/>
        <v/>
      </c>
    </row>
    <row r="866" spans="12:13" x14ac:dyDescent="0.35">
      <c r="L866" s="52" t="str">
        <f t="shared" si="28"/>
        <v/>
      </c>
      <c r="M866" t="str">
        <f t="shared" si="29"/>
        <v/>
      </c>
    </row>
    <row r="867" spans="12:13" x14ac:dyDescent="0.35">
      <c r="L867" s="52" t="str">
        <f t="shared" si="28"/>
        <v/>
      </c>
      <c r="M867" t="str">
        <f t="shared" si="29"/>
        <v/>
      </c>
    </row>
    <row r="868" spans="12:13" x14ac:dyDescent="0.35">
      <c r="L868" s="52" t="str">
        <f t="shared" si="28"/>
        <v/>
      </c>
      <c r="M868" t="str">
        <f t="shared" si="29"/>
        <v/>
      </c>
    </row>
    <row r="869" spans="12:13" x14ac:dyDescent="0.35">
      <c r="L869" s="52" t="str">
        <f t="shared" si="28"/>
        <v/>
      </c>
      <c r="M869" t="str">
        <f t="shared" si="29"/>
        <v/>
      </c>
    </row>
    <row r="870" spans="12:13" x14ac:dyDescent="0.35">
      <c r="L870" s="52" t="str">
        <f t="shared" si="28"/>
        <v/>
      </c>
      <c r="M870" t="str">
        <f t="shared" si="29"/>
        <v/>
      </c>
    </row>
    <row r="871" spans="12:13" x14ac:dyDescent="0.35">
      <c r="L871" s="52" t="str">
        <f t="shared" si="28"/>
        <v/>
      </c>
      <c r="M871" t="str">
        <f t="shared" si="29"/>
        <v/>
      </c>
    </row>
    <row r="872" spans="12:13" x14ac:dyDescent="0.35">
      <c r="L872" s="52" t="str">
        <f t="shared" si="28"/>
        <v/>
      </c>
      <c r="M872" t="str">
        <f t="shared" si="29"/>
        <v/>
      </c>
    </row>
    <row r="873" spans="12:13" x14ac:dyDescent="0.35">
      <c r="L873" s="52" t="str">
        <f t="shared" si="28"/>
        <v/>
      </c>
      <c r="M873" t="str">
        <f t="shared" si="29"/>
        <v/>
      </c>
    </row>
    <row r="874" spans="12:13" x14ac:dyDescent="0.35">
      <c r="L874" s="52" t="str">
        <f t="shared" si="28"/>
        <v/>
      </c>
      <c r="M874" t="str">
        <f t="shared" si="29"/>
        <v/>
      </c>
    </row>
    <row r="875" spans="12:13" x14ac:dyDescent="0.35">
      <c r="L875" s="52" t="str">
        <f t="shared" si="28"/>
        <v/>
      </c>
      <c r="M875" t="str">
        <f t="shared" si="29"/>
        <v/>
      </c>
    </row>
    <row r="876" spans="12:13" x14ac:dyDescent="0.35">
      <c r="L876" s="52" t="str">
        <f t="shared" si="28"/>
        <v/>
      </c>
      <c r="M876" t="str">
        <f t="shared" si="29"/>
        <v/>
      </c>
    </row>
    <row r="877" spans="12:13" x14ac:dyDescent="0.35">
      <c r="L877" s="52" t="str">
        <f t="shared" si="28"/>
        <v/>
      </c>
      <c r="M877" t="str">
        <f t="shared" si="29"/>
        <v/>
      </c>
    </row>
    <row r="878" spans="12:13" x14ac:dyDescent="0.35">
      <c r="L878" s="52" t="str">
        <f t="shared" si="28"/>
        <v/>
      </c>
      <c r="M878" t="str">
        <f t="shared" si="29"/>
        <v/>
      </c>
    </row>
    <row r="879" spans="12:13" x14ac:dyDescent="0.35">
      <c r="L879" s="52" t="str">
        <f t="shared" si="28"/>
        <v/>
      </c>
      <c r="M879" t="str">
        <f t="shared" si="29"/>
        <v/>
      </c>
    </row>
    <row r="880" spans="12:13" x14ac:dyDescent="0.35">
      <c r="L880" s="52" t="str">
        <f t="shared" si="28"/>
        <v/>
      </c>
      <c r="M880" t="str">
        <f t="shared" si="29"/>
        <v/>
      </c>
    </row>
    <row r="881" spans="12:13" x14ac:dyDescent="0.35">
      <c r="L881" s="52" t="str">
        <f t="shared" si="28"/>
        <v/>
      </c>
      <c r="M881" t="str">
        <f t="shared" si="29"/>
        <v/>
      </c>
    </row>
    <row r="882" spans="12:13" x14ac:dyDescent="0.35">
      <c r="L882" s="52" t="str">
        <f t="shared" si="28"/>
        <v/>
      </c>
      <c r="M882" t="str">
        <f t="shared" si="29"/>
        <v/>
      </c>
    </row>
    <row r="883" spans="12:13" x14ac:dyDescent="0.35">
      <c r="L883" s="52" t="str">
        <f t="shared" si="28"/>
        <v/>
      </c>
      <c r="M883" t="str">
        <f t="shared" si="29"/>
        <v/>
      </c>
    </row>
    <row r="884" spans="12:13" x14ac:dyDescent="0.35">
      <c r="L884" s="52" t="str">
        <f t="shared" si="28"/>
        <v/>
      </c>
      <c r="M884" t="str">
        <f t="shared" si="29"/>
        <v/>
      </c>
    </row>
    <row r="885" spans="12:13" x14ac:dyDescent="0.35">
      <c r="L885" s="52" t="str">
        <f t="shared" si="28"/>
        <v/>
      </c>
      <c r="M885" t="str">
        <f t="shared" si="29"/>
        <v/>
      </c>
    </row>
    <row r="886" spans="12:13" x14ac:dyDescent="0.35">
      <c r="L886" s="52" t="str">
        <f t="shared" si="28"/>
        <v/>
      </c>
      <c r="M886" t="str">
        <f t="shared" si="29"/>
        <v/>
      </c>
    </row>
    <row r="887" spans="12:13" x14ac:dyDescent="0.35">
      <c r="L887" s="52" t="str">
        <f t="shared" si="28"/>
        <v/>
      </c>
      <c r="M887" t="str">
        <f t="shared" si="29"/>
        <v/>
      </c>
    </row>
    <row r="888" spans="12:13" x14ac:dyDescent="0.35">
      <c r="L888" s="52" t="str">
        <f t="shared" si="28"/>
        <v/>
      </c>
      <c r="M888" t="str">
        <f t="shared" si="29"/>
        <v/>
      </c>
    </row>
    <row r="889" spans="12:13" x14ac:dyDescent="0.35">
      <c r="L889" s="52" t="str">
        <f t="shared" si="28"/>
        <v/>
      </c>
      <c r="M889" t="str">
        <f t="shared" si="29"/>
        <v/>
      </c>
    </row>
    <row r="890" spans="12:13" x14ac:dyDescent="0.35">
      <c r="L890" s="52" t="str">
        <f t="shared" si="28"/>
        <v/>
      </c>
      <c r="M890" t="str">
        <f t="shared" si="29"/>
        <v/>
      </c>
    </row>
    <row r="891" spans="12:13" x14ac:dyDescent="0.35">
      <c r="L891" s="52" t="str">
        <f t="shared" si="28"/>
        <v/>
      </c>
      <c r="M891" t="str">
        <f t="shared" si="29"/>
        <v/>
      </c>
    </row>
    <row r="892" spans="12:13" x14ac:dyDescent="0.35">
      <c r="L892" s="52" t="str">
        <f t="shared" si="28"/>
        <v/>
      </c>
      <c r="M892" t="str">
        <f t="shared" si="29"/>
        <v/>
      </c>
    </row>
    <row r="893" spans="12:13" x14ac:dyDescent="0.35">
      <c r="L893" s="52" t="str">
        <f t="shared" si="28"/>
        <v/>
      </c>
      <c r="M893" t="str">
        <f t="shared" si="29"/>
        <v/>
      </c>
    </row>
    <row r="894" spans="12:13" x14ac:dyDescent="0.35">
      <c r="L894" s="52" t="str">
        <f t="shared" si="28"/>
        <v/>
      </c>
      <c r="M894" t="str">
        <f t="shared" si="29"/>
        <v/>
      </c>
    </row>
    <row r="895" spans="12:13" x14ac:dyDescent="0.35">
      <c r="L895" s="52" t="str">
        <f t="shared" si="28"/>
        <v/>
      </c>
      <c r="M895" t="str">
        <f t="shared" si="29"/>
        <v/>
      </c>
    </row>
    <row r="896" spans="12:13" x14ac:dyDescent="0.35">
      <c r="L896" s="52" t="str">
        <f t="shared" si="28"/>
        <v/>
      </c>
      <c r="M896" t="str">
        <f t="shared" si="29"/>
        <v/>
      </c>
    </row>
    <row r="897" spans="12:13" x14ac:dyDescent="0.35">
      <c r="L897" s="52" t="str">
        <f t="shared" si="28"/>
        <v/>
      </c>
      <c r="M897" t="str">
        <f t="shared" si="29"/>
        <v/>
      </c>
    </row>
    <row r="898" spans="12:13" x14ac:dyDescent="0.35">
      <c r="L898" s="52" t="str">
        <f t="shared" si="28"/>
        <v/>
      </c>
      <c r="M898" t="str">
        <f t="shared" si="29"/>
        <v/>
      </c>
    </row>
    <row r="899" spans="12:13" x14ac:dyDescent="0.35">
      <c r="L899" s="52" t="str">
        <f t="shared" si="28"/>
        <v/>
      </c>
      <c r="M899" t="str">
        <f t="shared" si="29"/>
        <v/>
      </c>
    </row>
    <row r="900" spans="12:13" x14ac:dyDescent="0.35">
      <c r="L900" s="52" t="str">
        <f t="shared" si="28"/>
        <v/>
      </c>
      <c r="M900" t="str">
        <f t="shared" si="29"/>
        <v/>
      </c>
    </row>
    <row r="901" spans="12:13" x14ac:dyDescent="0.35">
      <c r="L901" s="52" t="str">
        <f t="shared" si="28"/>
        <v/>
      </c>
      <c r="M901" t="str">
        <f t="shared" si="29"/>
        <v/>
      </c>
    </row>
    <row r="902" spans="12:13" x14ac:dyDescent="0.35">
      <c r="L902" s="52" t="str">
        <f t="shared" si="28"/>
        <v/>
      </c>
      <c r="M902" t="str">
        <f t="shared" si="29"/>
        <v/>
      </c>
    </row>
    <row r="903" spans="12:13" x14ac:dyDescent="0.35">
      <c r="L903" s="52" t="str">
        <f t="shared" si="28"/>
        <v/>
      </c>
      <c r="M903" t="str">
        <f t="shared" si="29"/>
        <v/>
      </c>
    </row>
    <row r="904" spans="12:13" x14ac:dyDescent="0.35">
      <c r="L904" s="52" t="str">
        <f t="shared" si="28"/>
        <v/>
      </c>
      <c r="M904" t="str">
        <f t="shared" si="29"/>
        <v/>
      </c>
    </row>
    <row r="905" spans="12:13" x14ac:dyDescent="0.35">
      <c r="L905" s="52" t="str">
        <f t="shared" si="28"/>
        <v/>
      </c>
      <c r="M905" t="str">
        <f t="shared" si="29"/>
        <v/>
      </c>
    </row>
    <row r="906" spans="12:13" x14ac:dyDescent="0.35">
      <c r="L906" s="52" t="str">
        <f t="shared" si="28"/>
        <v/>
      </c>
      <c r="M906" t="str">
        <f t="shared" si="29"/>
        <v/>
      </c>
    </row>
    <row r="907" spans="12:13" x14ac:dyDescent="0.35">
      <c r="L907" s="52" t="str">
        <f t="shared" si="28"/>
        <v/>
      </c>
      <c r="M907" t="str">
        <f t="shared" si="29"/>
        <v/>
      </c>
    </row>
    <row r="908" spans="12:13" x14ac:dyDescent="0.35">
      <c r="L908" s="52" t="str">
        <f t="shared" ref="L908:L971" si="30">IF(B908="Total general","",IF(K908="","",CONCATENATE("Q",IF(K908&gt;$U$11,1,IF((AND(K908&gt;$V$11,K908&lt;=$U$11)),2,IF(AND(K908&gt;$W$11,K908&lt;=$V$11),3,IF(K908&lt;=$W$11,4)))))))</f>
        <v/>
      </c>
      <c r="M908" t="str">
        <f t="shared" ref="M908:M971" si="31">IF(B908="Total general","",IF(K908="","",IF(AND(C908=$T$16,K908&gt;=$T$17),"Cumple",IF(AND(C908=$U$16,K908&gt;=$U$17),"Cumple",IF(AND(C908=$V$16,K908&gt;=$V$17),"Cumple","No Cumple")))))</f>
        <v/>
      </c>
    </row>
    <row r="909" spans="12:13" x14ac:dyDescent="0.35">
      <c r="L909" s="52" t="str">
        <f t="shared" si="30"/>
        <v/>
      </c>
      <c r="M909" t="str">
        <f t="shared" si="31"/>
        <v/>
      </c>
    </row>
    <row r="910" spans="12:13" x14ac:dyDescent="0.35">
      <c r="L910" s="52" t="str">
        <f t="shared" si="30"/>
        <v/>
      </c>
      <c r="M910" t="str">
        <f t="shared" si="31"/>
        <v/>
      </c>
    </row>
    <row r="911" spans="12:13" x14ac:dyDescent="0.35">
      <c r="L911" s="52" t="str">
        <f t="shared" si="30"/>
        <v/>
      </c>
      <c r="M911" t="str">
        <f t="shared" si="31"/>
        <v/>
      </c>
    </row>
    <row r="912" spans="12:13" x14ac:dyDescent="0.35">
      <c r="L912" s="52" t="str">
        <f t="shared" si="30"/>
        <v/>
      </c>
      <c r="M912" t="str">
        <f t="shared" si="31"/>
        <v/>
      </c>
    </row>
    <row r="913" spans="12:13" x14ac:dyDescent="0.35">
      <c r="L913" s="52" t="str">
        <f t="shared" si="30"/>
        <v/>
      </c>
      <c r="M913" t="str">
        <f t="shared" si="31"/>
        <v/>
      </c>
    </row>
    <row r="914" spans="12:13" x14ac:dyDescent="0.35">
      <c r="L914" s="52" t="str">
        <f t="shared" si="30"/>
        <v/>
      </c>
      <c r="M914" t="str">
        <f t="shared" si="31"/>
        <v/>
      </c>
    </row>
    <row r="915" spans="12:13" x14ac:dyDescent="0.35">
      <c r="L915" s="52" t="str">
        <f t="shared" si="30"/>
        <v/>
      </c>
      <c r="M915" t="str">
        <f t="shared" si="31"/>
        <v/>
      </c>
    </row>
    <row r="916" spans="12:13" x14ac:dyDescent="0.35">
      <c r="L916" s="52" t="str">
        <f t="shared" si="30"/>
        <v/>
      </c>
      <c r="M916" t="str">
        <f t="shared" si="31"/>
        <v/>
      </c>
    </row>
    <row r="917" spans="12:13" x14ac:dyDescent="0.35">
      <c r="L917" s="52" t="str">
        <f t="shared" si="30"/>
        <v/>
      </c>
      <c r="M917" t="str">
        <f t="shared" si="31"/>
        <v/>
      </c>
    </row>
    <row r="918" spans="12:13" x14ac:dyDescent="0.35">
      <c r="L918" s="52" t="str">
        <f t="shared" si="30"/>
        <v/>
      </c>
      <c r="M918" t="str">
        <f t="shared" si="31"/>
        <v/>
      </c>
    </row>
    <row r="919" spans="12:13" x14ac:dyDescent="0.35">
      <c r="L919" s="52" t="str">
        <f t="shared" si="30"/>
        <v/>
      </c>
      <c r="M919" t="str">
        <f t="shared" si="31"/>
        <v/>
      </c>
    </row>
    <row r="920" spans="12:13" x14ac:dyDescent="0.35">
      <c r="L920" s="52" t="str">
        <f t="shared" si="30"/>
        <v/>
      </c>
      <c r="M920" t="str">
        <f t="shared" si="31"/>
        <v/>
      </c>
    </row>
    <row r="921" spans="12:13" x14ac:dyDescent="0.35">
      <c r="L921" s="52" t="str">
        <f t="shared" si="30"/>
        <v/>
      </c>
      <c r="M921" t="str">
        <f t="shared" si="31"/>
        <v/>
      </c>
    </row>
    <row r="922" spans="12:13" x14ac:dyDescent="0.35">
      <c r="L922" s="52" t="str">
        <f t="shared" si="30"/>
        <v/>
      </c>
      <c r="M922" t="str">
        <f t="shared" si="31"/>
        <v/>
      </c>
    </row>
    <row r="923" spans="12:13" x14ac:dyDescent="0.35">
      <c r="L923" s="52" t="str">
        <f t="shared" si="30"/>
        <v/>
      </c>
      <c r="M923" t="str">
        <f t="shared" si="31"/>
        <v/>
      </c>
    </row>
    <row r="924" spans="12:13" x14ac:dyDescent="0.35">
      <c r="L924" s="52" t="str">
        <f t="shared" si="30"/>
        <v/>
      </c>
      <c r="M924" t="str">
        <f t="shared" si="31"/>
        <v/>
      </c>
    </row>
    <row r="925" spans="12:13" x14ac:dyDescent="0.35">
      <c r="L925" s="52" t="str">
        <f t="shared" si="30"/>
        <v/>
      </c>
      <c r="M925" t="str">
        <f t="shared" si="31"/>
        <v/>
      </c>
    </row>
    <row r="926" spans="12:13" x14ac:dyDescent="0.35">
      <c r="L926" s="52" t="str">
        <f t="shared" si="30"/>
        <v/>
      </c>
      <c r="M926" t="str">
        <f t="shared" si="31"/>
        <v/>
      </c>
    </row>
    <row r="927" spans="12:13" x14ac:dyDescent="0.35">
      <c r="L927" s="52" t="str">
        <f t="shared" si="30"/>
        <v/>
      </c>
      <c r="M927" t="str">
        <f t="shared" si="31"/>
        <v/>
      </c>
    </row>
    <row r="928" spans="12:13" x14ac:dyDescent="0.35">
      <c r="L928" s="52" t="str">
        <f t="shared" si="30"/>
        <v/>
      </c>
      <c r="M928" t="str">
        <f t="shared" si="31"/>
        <v/>
      </c>
    </row>
    <row r="929" spans="12:13" x14ac:dyDescent="0.35">
      <c r="L929" s="52" t="str">
        <f t="shared" si="30"/>
        <v/>
      </c>
      <c r="M929" t="str">
        <f t="shared" si="31"/>
        <v/>
      </c>
    </row>
    <row r="930" spans="12:13" x14ac:dyDescent="0.35">
      <c r="L930" s="52" t="str">
        <f t="shared" si="30"/>
        <v/>
      </c>
      <c r="M930" t="str">
        <f t="shared" si="31"/>
        <v/>
      </c>
    </row>
    <row r="931" spans="12:13" x14ac:dyDescent="0.35">
      <c r="L931" s="52" t="str">
        <f t="shared" si="30"/>
        <v/>
      </c>
      <c r="M931" t="str">
        <f t="shared" si="31"/>
        <v/>
      </c>
    </row>
    <row r="932" spans="12:13" x14ac:dyDescent="0.35">
      <c r="L932" s="52" t="str">
        <f t="shared" si="30"/>
        <v/>
      </c>
      <c r="M932" t="str">
        <f t="shared" si="31"/>
        <v/>
      </c>
    </row>
    <row r="933" spans="12:13" x14ac:dyDescent="0.35">
      <c r="L933" s="52" t="str">
        <f t="shared" si="30"/>
        <v/>
      </c>
      <c r="M933" t="str">
        <f t="shared" si="31"/>
        <v/>
      </c>
    </row>
    <row r="934" spans="12:13" x14ac:dyDescent="0.35">
      <c r="L934" s="52" t="str">
        <f t="shared" si="30"/>
        <v/>
      </c>
      <c r="M934" t="str">
        <f t="shared" si="31"/>
        <v/>
      </c>
    </row>
    <row r="935" spans="12:13" x14ac:dyDescent="0.35">
      <c r="L935" s="52" t="str">
        <f t="shared" si="30"/>
        <v/>
      </c>
      <c r="M935" t="str">
        <f t="shared" si="31"/>
        <v/>
      </c>
    </row>
    <row r="936" spans="12:13" x14ac:dyDescent="0.35">
      <c r="L936" s="52" t="str">
        <f t="shared" si="30"/>
        <v/>
      </c>
      <c r="M936" t="str">
        <f t="shared" si="31"/>
        <v/>
      </c>
    </row>
    <row r="937" spans="12:13" x14ac:dyDescent="0.35">
      <c r="L937" s="52" t="str">
        <f t="shared" si="30"/>
        <v/>
      </c>
      <c r="M937" t="str">
        <f t="shared" si="31"/>
        <v/>
      </c>
    </row>
    <row r="938" spans="12:13" x14ac:dyDescent="0.35">
      <c r="L938" s="52" t="str">
        <f t="shared" si="30"/>
        <v/>
      </c>
      <c r="M938" t="str">
        <f t="shared" si="31"/>
        <v/>
      </c>
    </row>
    <row r="939" spans="12:13" x14ac:dyDescent="0.35">
      <c r="L939" s="52" t="str">
        <f t="shared" si="30"/>
        <v/>
      </c>
      <c r="M939" t="str">
        <f t="shared" si="31"/>
        <v/>
      </c>
    </row>
    <row r="940" spans="12:13" x14ac:dyDescent="0.35">
      <c r="L940" s="52" t="str">
        <f t="shared" si="30"/>
        <v/>
      </c>
      <c r="M940" t="str">
        <f t="shared" si="31"/>
        <v/>
      </c>
    </row>
    <row r="941" spans="12:13" x14ac:dyDescent="0.35">
      <c r="L941" s="52" t="str">
        <f t="shared" si="30"/>
        <v/>
      </c>
      <c r="M941" t="str">
        <f t="shared" si="31"/>
        <v/>
      </c>
    </row>
    <row r="942" spans="12:13" x14ac:dyDescent="0.35">
      <c r="L942" s="52" t="str">
        <f t="shared" si="30"/>
        <v/>
      </c>
      <c r="M942" t="str">
        <f t="shared" si="31"/>
        <v/>
      </c>
    </row>
    <row r="943" spans="12:13" x14ac:dyDescent="0.35">
      <c r="L943" s="52" t="str">
        <f t="shared" si="30"/>
        <v/>
      </c>
      <c r="M943" t="str">
        <f t="shared" si="31"/>
        <v/>
      </c>
    </row>
    <row r="944" spans="12:13" x14ac:dyDescent="0.35">
      <c r="L944" s="52" t="str">
        <f t="shared" si="30"/>
        <v/>
      </c>
      <c r="M944" t="str">
        <f t="shared" si="31"/>
        <v/>
      </c>
    </row>
    <row r="945" spans="12:13" x14ac:dyDescent="0.35">
      <c r="L945" s="52" t="str">
        <f t="shared" si="30"/>
        <v/>
      </c>
      <c r="M945" t="str">
        <f t="shared" si="31"/>
        <v/>
      </c>
    </row>
    <row r="946" spans="12:13" x14ac:dyDescent="0.35">
      <c r="L946" s="52" t="str">
        <f t="shared" si="30"/>
        <v/>
      </c>
      <c r="M946" t="str">
        <f t="shared" si="31"/>
        <v/>
      </c>
    </row>
    <row r="947" spans="12:13" x14ac:dyDescent="0.35">
      <c r="L947" s="52" t="str">
        <f t="shared" si="30"/>
        <v/>
      </c>
      <c r="M947" t="str">
        <f t="shared" si="31"/>
        <v/>
      </c>
    </row>
    <row r="948" spans="12:13" x14ac:dyDescent="0.35">
      <c r="L948" s="52" t="str">
        <f t="shared" si="30"/>
        <v/>
      </c>
      <c r="M948" t="str">
        <f t="shared" si="31"/>
        <v/>
      </c>
    </row>
    <row r="949" spans="12:13" x14ac:dyDescent="0.35">
      <c r="L949" s="52" t="str">
        <f t="shared" si="30"/>
        <v/>
      </c>
      <c r="M949" t="str">
        <f t="shared" si="31"/>
        <v/>
      </c>
    </row>
    <row r="950" spans="12:13" x14ac:dyDescent="0.35">
      <c r="L950" s="52" t="str">
        <f t="shared" si="30"/>
        <v/>
      </c>
      <c r="M950" t="str">
        <f t="shared" si="31"/>
        <v/>
      </c>
    </row>
    <row r="951" spans="12:13" x14ac:dyDescent="0.35">
      <c r="L951" s="52" t="str">
        <f t="shared" si="30"/>
        <v/>
      </c>
      <c r="M951" t="str">
        <f t="shared" si="31"/>
        <v/>
      </c>
    </row>
    <row r="952" spans="12:13" x14ac:dyDescent="0.35">
      <c r="L952" s="52" t="str">
        <f t="shared" si="30"/>
        <v/>
      </c>
      <c r="M952" t="str">
        <f t="shared" si="31"/>
        <v/>
      </c>
    </row>
    <row r="953" spans="12:13" x14ac:dyDescent="0.35">
      <c r="L953" s="52" t="str">
        <f t="shared" si="30"/>
        <v/>
      </c>
      <c r="M953" t="str">
        <f t="shared" si="31"/>
        <v/>
      </c>
    </row>
    <row r="954" spans="12:13" x14ac:dyDescent="0.35">
      <c r="L954" s="52" t="str">
        <f t="shared" si="30"/>
        <v/>
      </c>
      <c r="M954" t="str">
        <f t="shared" si="31"/>
        <v/>
      </c>
    </row>
    <row r="955" spans="12:13" x14ac:dyDescent="0.35">
      <c r="L955" s="52" t="str">
        <f t="shared" si="30"/>
        <v/>
      </c>
      <c r="M955" t="str">
        <f t="shared" si="31"/>
        <v/>
      </c>
    </row>
    <row r="956" spans="12:13" x14ac:dyDescent="0.35">
      <c r="L956" s="52" t="str">
        <f t="shared" si="30"/>
        <v/>
      </c>
      <c r="M956" t="str">
        <f t="shared" si="31"/>
        <v/>
      </c>
    </row>
    <row r="957" spans="12:13" x14ac:dyDescent="0.35">
      <c r="L957" s="52" t="str">
        <f t="shared" si="30"/>
        <v/>
      </c>
      <c r="M957" t="str">
        <f t="shared" si="31"/>
        <v/>
      </c>
    </row>
    <row r="958" spans="12:13" x14ac:dyDescent="0.35">
      <c r="L958" s="52" t="str">
        <f t="shared" si="30"/>
        <v/>
      </c>
      <c r="M958" t="str">
        <f t="shared" si="31"/>
        <v/>
      </c>
    </row>
    <row r="959" spans="12:13" x14ac:dyDescent="0.35">
      <c r="L959" s="52" t="str">
        <f t="shared" si="30"/>
        <v/>
      </c>
      <c r="M959" t="str">
        <f t="shared" si="31"/>
        <v/>
      </c>
    </row>
    <row r="960" spans="12:13" x14ac:dyDescent="0.35">
      <c r="L960" s="52" t="str">
        <f t="shared" si="30"/>
        <v/>
      </c>
      <c r="M960" t="str">
        <f t="shared" si="31"/>
        <v/>
      </c>
    </row>
    <row r="961" spans="12:13" x14ac:dyDescent="0.35">
      <c r="L961" s="52" t="str">
        <f t="shared" si="30"/>
        <v/>
      </c>
      <c r="M961" t="str">
        <f t="shared" si="31"/>
        <v/>
      </c>
    </row>
    <row r="962" spans="12:13" x14ac:dyDescent="0.35">
      <c r="L962" s="52" t="str">
        <f t="shared" si="30"/>
        <v/>
      </c>
      <c r="M962" t="str">
        <f t="shared" si="31"/>
        <v/>
      </c>
    </row>
    <row r="963" spans="12:13" x14ac:dyDescent="0.35">
      <c r="L963" s="52" t="str">
        <f t="shared" si="30"/>
        <v/>
      </c>
      <c r="M963" t="str">
        <f t="shared" si="31"/>
        <v/>
      </c>
    </row>
    <row r="964" spans="12:13" x14ac:dyDescent="0.35">
      <c r="L964" s="52" t="str">
        <f t="shared" si="30"/>
        <v/>
      </c>
      <c r="M964" t="str">
        <f t="shared" si="31"/>
        <v/>
      </c>
    </row>
    <row r="965" spans="12:13" x14ac:dyDescent="0.35">
      <c r="L965" s="52" t="str">
        <f t="shared" si="30"/>
        <v/>
      </c>
      <c r="M965" t="str">
        <f t="shared" si="31"/>
        <v/>
      </c>
    </row>
    <row r="966" spans="12:13" x14ac:dyDescent="0.35">
      <c r="L966" s="52" t="str">
        <f t="shared" si="30"/>
        <v/>
      </c>
      <c r="M966" t="str">
        <f t="shared" si="31"/>
        <v/>
      </c>
    </row>
    <row r="967" spans="12:13" x14ac:dyDescent="0.35">
      <c r="L967" s="52" t="str">
        <f t="shared" si="30"/>
        <v/>
      </c>
      <c r="M967" t="str">
        <f t="shared" si="31"/>
        <v/>
      </c>
    </row>
    <row r="968" spans="12:13" x14ac:dyDescent="0.35">
      <c r="L968" s="52" t="str">
        <f t="shared" si="30"/>
        <v/>
      </c>
      <c r="M968" t="str">
        <f t="shared" si="31"/>
        <v/>
      </c>
    </row>
    <row r="969" spans="12:13" x14ac:dyDescent="0.35">
      <c r="L969" s="52" t="str">
        <f t="shared" si="30"/>
        <v/>
      </c>
      <c r="M969" t="str">
        <f t="shared" si="31"/>
        <v/>
      </c>
    </row>
    <row r="970" spans="12:13" x14ac:dyDescent="0.35">
      <c r="L970" s="52" t="str">
        <f t="shared" si="30"/>
        <v/>
      </c>
      <c r="M970" t="str">
        <f t="shared" si="31"/>
        <v/>
      </c>
    </row>
    <row r="971" spans="12:13" x14ac:dyDescent="0.35">
      <c r="L971" s="52" t="str">
        <f t="shared" si="30"/>
        <v/>
      </c>
      <c r="M971" t="str">
        <f t="shared" si="31"/>
        <v/>
      </c>
    </row>
    <row r="972" spans="12:13" x14ac:dyDescent="0.35">
      <c r="L972" s="52" t="str">
        <f t="shared" ref="L972:L1007" si="32">IF(B972="Total general","",IF(K972="","",CONCATENATE("Q",IF(K972&gt;$U$11,1,IF((AND(K972&gt;$V$11,K972&lt;=$U$11)),2,IF(AND(K972&gt;$W$11,K972&lt;=$V$11),3,IF(K972&lt;=$W$11,4)))))))</f>
        <v/>
      </c>
      <c r="M972" t="str">
        <f t="shared" ref="M972:M1007" si="33">IF(B972="Total general","",IF(K972="","",IF(AND(C972=$T$16,K972&gt;=$T$17),"Cumple",IF(AND(C972=$U$16,K972&gt;=$U$17),"Cumple",IF(AND(C972=$V$16,K972&gt;=$V$17),"Cumple","No Cumple")))))</f>
        <v/>
      </c>
    </row>
    <row r="973" spans="12:13" x14ac:dyDescent="0.35">
      <c r="L973" s="52" t="str">
        <f t="shared" si="32"/>
        <v/>
      </c>
      <c r="M973" t="str">
        <f t="shared" si="33"/>
        <v/>
      </c>
    </row>
    <row r="974" spans="12:13" x14ac:dyDescent="0.35">
      <c r="L974" s="52" t="str">
        <f t="shared" si="32"/>
        <v/>
      </c>
      <c r="M974" t="str">
        <f t="shared" si="33"/>
        <v/>
      </c>
    </row>
    <row r="975" spans="12:13" x14ac:dyDescent="0.35">
      <c r="L975" s="52" t="str">
        <f t="shared" si="32"/>
        <v/>
      </c>
      <c r="M975" t="str">
        <f t="shared" si="33"/>
        <v/>
      </c>
    </row>
    <row r="976" spans="12:13" x14ac:dyDescent="0.35">
      <c r="L976" s="52" t="str">
        <f t="shared" si="32"/>
        <v/>
      </c>
      <c r="M976" t="str">
        <f t="shared" si="33"/>
        <v/>
      </c>
    </row>
    <row r="977" spans="12:13" x14ac:dyDescent="0.35">
      <c r="L977" s="52" t="str">
        <f t="shared" si="32"/>
        <v/>
      </c>
      <c r="M977" t="str">
        <f t="shared" si="33"/>
        <v/>
      </c>
    </row>
    <row r="978" spans="12:13" x14ac:dyDescent="0.35">
      <c r="L978" s="52" t="str">
        <f t="shared" si="32"/>
        <v/>
      </c>
      <c r="M978" t="str">
        <f t="shared" si="33"/>
        <v/>
      </c>
    </row>
    <row r="979" spans="12:13" x14ac:dyDescent="0.35">
      <c r="L979" s="52" t="str">
        <f t="shared" si="32"/>
        <v/>
      </c>
      <c r="M979" t="str">
        <f t="shared" si="33"/>
        <v/>
      </c>
    </row>
    <row r="980" spans="12:13" x14ac:dyDescent="0.35">
      <c r="L980" s="52" t="str">
        <f t="shared" si="32"/>
        <v/>
      </c>
      <c r="M980" t="str">
        <f t="shared" si="33"/>
        <v/>
      </c>
    </row>
    <row r="981" spans="12:13" x14ac:dyDescent="0.35">
      <c r="L981" s="52" t="str">
        <f t="shared" si="32"/>
        <v/>
      </c>
      <c r="M981" t="str">
        <f t="shared" si="33"/>
        <v/>
      </c>
    </row>
    <row r="982" spans="12:13" x14ac:dyDescent="0.35">
      <c r="L982" s="52" t="str">
        <f t="shared" si="32"/>
        <v/>
      </c>
      <c r="M982" t="str">
        <f t="shared" si="33"/>
        <v/>
      </c>
    </row>
    <row r="983" spans="12:13" x14ac:dyDescent="0.35">
      <c r="L983" s="52" t="str">
        <f t="shared" si="32"/>
        <v/>
      </c>
      <c r="M983" t="str">
        <f t="shared" si="33"/>
        <v/>
      </c>
    </row>
    <row r="984" spans="12:13" x14ac:dyDescent="0.35">
      <c r="L984" s="52" t="str">
        <f t="shared" si="32"/>
        <v/>
      </c>
      <c r="M984" t="str">
        <f t="shared" si="33"/>
        <v/>
      </c>
    </row>
    <row r="985" spans="12:13" x14ac:dyDescent="0.35">
      <c r="L985" s="52" t="str">
        <f t="shared" si="32"/>
        <v/>
      </c>
      <c r="M985" t="str">
        <f t="shared" si="33"/>
        <v/>
      </c>
    </row>
    <row r="986" spans="12:13" x14ac:dyDescent="0.35">
      <c r="L986" s="52" t="str">
        <f t="shared" si="32"/>
        <v/>
      </c>
      <c r="M986" t="str">
        <f t="shared" si="33"/>
        <v/>
      </c>
    </row>
    <row r="987" spans="12:13" x14ac:dyDescent="0.35">
      <c r="L987" s="52" t="str">
        <f t="shared" si="32"/>
        <v/>
      </c>
      <c r="M987" t="str">
        <f t="shared" si="33"/>
        <v/>
      </c>
    </row>
    <row r="988" spans="12:13" x14ac:dyDescent="0.35">
      <c r="L988" s="52" t="str">
        <f t="shared" si="32"/>
        <v/>
      </c>
      <c r="M988" t="str">
        <f t="shared" si="33"/>
        <v/>
      </c>
    </row>
    <row r="989" spans="12:13" x14ac:dyDescent="0.35">
      <c r="L989" s="52" t="str">
        <f t="shared" si="32"/>
        <v/>
      </c>
      <c r="M989" t="str">
        <f t="shared" si="33"/>
        <v/>
      </c>
    </row>
    <row r="990" spans="12:13" x14ac:dyDescent="0.35">
      <c r="L990" s="52" t="str">
        <f t="shared" si="32"/>
        <v/>
      </c>
      <c r="M990" t="str">
        <f t="shared" si="33"/>
        <v/>
      </c>
    </row>
    <row r="991" spans="12:13" x14ac:dyDescent="0.35">
      <c r="L991" s="52" t="str">
        <f t="shared" si="32"/>
        <v/>
      </c>
      <c r="M991" t="str">
        <f t="shared" si="33"/>
        <v/>
      </c>
    </row>
    <row r="992" spans="12:13" x14ac:dyDescent="0.35">
      <c r="L992" s="52" t="str">
        <f t="shared" si="32"/>
        <v/>
      </c>
      <c r="M992" t="str">
        <f t="shared" si="33"/>
        <v/>
      </c>
    </row>
    <row r="993" spans="12:13" x14ac:dyDescent="0.35">
      <c r="L993" s="52" t="str">
        <f t="shared" si="32"/>
        <v/>
      </c>
      <c r="M993" t="str">
        <f t="shared" si="33"/>
        <v/>
      </c>
    </row>
    <row r="994" spans="12:13" x14ac:dyDescent="0.35">
      <c r="L994" s="52" t="str">
        <f t="shared" si="32"/>
        <v/>
      </c>
      <c r="M994" t="str">
        <f t="shared" si="33"/>
        <v/>
      </c>
    </row>
    <row r="995" spans="12:13" x14ac:dyDescent="0.35">
      <c r="L995" s="52" t="str">
        <f t="shared" si="32"/>
        <v/>
      </c>
      <c r="M995" t="str">
        <f t="shared" si="33"/>
        <v/>
      </c>
    </row>
    <row r="996" spans="12:13" x14ac:dyDescent="0.35">
      <c r="L996" s="52" t="str">
        <f t="shared" si="32"/>
        <v/>
      </c>
      <c r="M996" t="str">
        <f t="shared" si="33"/>
        <v/>
      </c>
    </row>
    <row r="997" spans="12:13" x14ac:dyDescent="0.35">
      <c r="L997" s="52" t="str">
        <f t="shared" si="32"/>
        <v/>
      </c>
      <c r="M997" t="str">
        <f t="shared" si="33"/>
        <v/>
      </c>
    </row>
    <row r="998" spans="12:13" x14ac:dyDescent="0.35">
      <c r="L998" s="52" t="str">
        <f t="shared" si="32"/>
        <v/>
      </c>
      <c r="M998" t="str">
        <f t="shared" si="33"/>
        <v/>
      </c>
    </row>
    <row r="999" spans="12:13" x14ac:dyDescent="0.35">
      <c r="L999" s="52" t="str">
        <f t="shared" si="32"/>
        <v/>
      </c>
      <c r="M999" t="str">
        <f t="shared" si="33"/>
        <v/>
      </c>
    </row>
    <row r="1000" spans="12:13" x14ac:dyDescent="0.35">
      <c r="L1000" s="52" t="str">
        <f t="shared" si="32"/>
        <v/>
      </c>
      <c r="M1000" t="str">
        <f t="shared" si="33"/>
        <v/>
      </c>
    </row>
    <row r="1001" spans="12:13" x14ac:dyDescent="0.35">
      <c r="L1001" s="52" t="str">
        <f t="shared" si="32"/>
        <v/>
      </c>
      <c r="M1001" t="str">
        <f t="shared" si="33"/>
        <v/>
      </c>
    </row>
    <row r="1002" spans="12:13" x14ac:dyDescent="0.35">
      <c r="L1002" s="52" t="str">
        <f t="shared" si="32"/>
        <v/>
      </c>
      <c r="M1002" t="str">
        <f t="shared" si="33"/>
        <v/>
      </c>
    </row>
    <row r="1003" spans="12:13" x14ac:dyDescent="0.35">
      <c r="L1003" s="52" t="str">
        <f t="shared" si="32"/>
        <v/>
      </c>
      <c r="M1003" t="str">
        <f t="shared" si="33"/>
        <v/>
      </c>
    </row>
    <row r="1004" spans="12:13" x14ac:dyDescent="0.35">
      <c r="L1004" s="52" t="str">
        <f t="shared" si="32"/>
        <v/>
      </c>
      <c r="M1004" t="str">
        <f t="shared" si="33"/>
        <v/>
      </c>
    </row>
    <row r="1005" spans="12:13" x14ac:dyDescent="0.35">
      <c r="L1005" s="52" t="str">
        <f t="shared" si="32"/>
        <v/>
      </c>
      <c r="M1005" t="str">
        <f t="shared" si="33"/>
        <v/>
      </c>
    </row>
    <row r="1006" spans="12:13" x14ac:dyDescent="0.35">
      <c r="L1006" s="52" t="str">
        <f t="shared" si="32"/>
        <v/>
      </c>
      <c r="M1006" t="str">
        <f t="shared" si="33"/>
        <v/>
      </c>
    </row>
    <row r="1007" spans="12:13" x14ac:dyDescent="0.35">
      <c r="L1007" s="52" t="str">
        <f t="shared" si="32"/>
        <v/>
      </c>
      <c r="M1007" t="str">
        <f t="shared" si="33"/>
        <v/>
      </c>
    </row>
  </sheetData>
  <mergeCells count="2">
    <mergeCell ref="T9:W9"/>
    <mergeCell ref="A1:L3"/>
  </mergeCells>
  <conditionalFormatting sqref="L11:L1007">
    <cfRule type="cellIs" dxfId="91" priority="14" operator="equal">
      <formula>"Q4"</formula>
    </cfRule>
    <cfRule type="cellIs" dxfId="90" priority="15" operator="equal">
      <formula>"Q3"</formula>
    </cfRule>
    <cfRule type="cellIs" dxfId="89" priority="16" operator="equal">
      <formula>"Q2"</formula>
    </cfRule>
    <cfRule type="cellIs" dxfId="88" priority="17" operator="equal">
      <formula>"Q1"</formula>
    </cfRule>
  </conditionalFormatting>
  <conditionalFormatting sqref="M11:M26">
    <cfRule type="cellIs" dxfId="87" priority="12" operator="equal">
      <formula>"No Cumple"</formula>
    </cfRule>
  </conditionalFormatting>
  <conditionalFormatting sqref="M1:M1048576">
    <cfRule type="cellIs" dxfId="86" priority="10" operator="equal">
      <formula>"Cumple"</formula>
    </cfRule>
    <cfRule type="cellIs" dxfId="85" priority="11" operator="equal">
      <formula>"No Cumple"</formula>
    </cfRule>
  </conditionalFormatting>
  <conditionalFormatting pivot="1" sqref="K11:K17">
    <cfRule type="cellIs" dxfId="84" priority="4" operator="between">
      <formula>70%</formula>
      <formula>79%</formula>
    </cfRule>
  </conditionalFormatting>
  <conditionalFormatting pivot="1" sqref="K11:K17">
    <cfRule type="cellIs" dxfId="83" priority="3" operator="lessThanOrEqual">
      <formula>0.69</formula>
    </cfRule>
  </conditionalFormatting>
  <pageMargins left="0.7" right="0.7" top="0.75" bottom="0.75" header="0.3" footer="0.3"/>
  <pageSetup orientation="portrait" r:id="rId3"/>
  <drawing r:id="rId4"/>
  <extLst>
    <ext xmlns:x14="http://schemas.microsoft.com/office/spreadsheetml/2009/9/main" uri="{A8765BA9-456A-4dab-B4F3-ACF838C121DE}">
      <x14:slicerList>
        <x14:slicer r:id="rId5"/>
      </x14:slicerList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9"/>
  <dimension ref="A1:P90"/>
  <sheetViews>
    <sheetView showGridLines="0" zoomScale="87" zoomScaleNormal="87" workbookViewId="0">
      <selection activeCell="F30" sqref="F30"/>
    </sheetView>
  </sheetViews>
  <sheetFormatPr baseColWidth="10" defaultColWidth="10.54296875" defaultRowHeight="14.5" outlineLevelRow="1" x14ac:dyDescent="0.35"/>
  <cols>
    <col min="1" max="1" width="13.1796875" customWidth="1"/>
    <col min="2" max="2" width="67.7265625" bestFit="1" customWidth="1"/>
    <col min="3" max="3" width="8.1796875" style="9" bestFit="1" customWidth="1"/>
    <col min="4" max="4" width="11.81640625" style="9" bestFit="1" customWidth="1"/>
    <col min="5" max="6" width="9.453125" style="9" bestFit="1" customWidth="1"/>
    <col min="7" max="7" width="12.54296875" style="9" bestFit="1" customWidth="1"/>
    <col min="8" max="9" width="10.453125" bestFit="1" customWidth="1"/>
    <col min="10" max="15" width="9.453125" bestFit="1" customWidth="1"/>
    <col min="16" max="16" width="12.54296875" bestFit="1" customWidth="1"/>
  </cols>
  <sheetData>
    <row r="1" spans="1:12" s="67" customFormat="1" ht="21" customHeight="1" x14ac:dyDescent="0.35">
      <c r="A1" s="339" t="s">
        <v>305</v>
      </c>
      <c r="B1" s="339"/>
      <c r="C1" s="339"/>
      <c r="D1" s="339"/>
      <c r="E1" s="339"/>
      <c r="F1" s="339"/>
      <c r="G1" s="339"/>
      <c r="H1" s="339"/>
      <c r="I1" s="339"/>
      <c r="J1" s="339"/>
      <c r="K1" s="339"/>
      <c r="L1" s="339"/>
    </row>
    <row r="2" spans="1:12" s="67" customFormat="1" x14ac:dyDescent="0.35">
      <c r="A2" s="339"/>
      <c r="B2" s="339"/>
      <c r="C2" s="339"/>
      <c r="D2" s="339"/>
      <c r="E2" s="339"/>
      <c r="F2" s="339"/>
      <c r="G2" s="339"/>
      <c r="H2" s="339"/>
      <c r="I2" s="339"/>
      <c r="J2" s="339"/>
      <c r="K2" s="339"/>
      <c r="L2" s="339"/>
    </row>
    <row r="3" spans="1:12" s="67" customFormat="1" x14ac:dyDescent="0.35">
      <c r="A3" s="339"/>
      <c r="B3" s="339"/>
      <c r="C3" s="339"/>
      <c r="D3" s="339"/>
      <c r="E3" s="339"/>
      <c r="F3" s="339"/>
      <c r="G3" s="339"/>
      <c r="H3" s="339"/>
      <c r="I3" s="339"/>
      <c r="J3" s="339"/>
      <c r="K3" s="339"/>
      <c r="L3" s="339"/>
    </row>
    <row r="14" spans="1:12" x14ac:dyDescent="0.35">
      <c r="B14" s="74" t="s">
        <v>7</v>
      </c>
      <c r="C14" s="77"/>
      <c r="D14"/>
      <c r="E14"/>
      <c r="F14"/>
      <c r="G14"/>
    </row>
    <row r="15" spans="1:12" ht="15.5" x14ac:dyDescent="0.35">
      <c r="B15" s="254" t="s">
        <v>8</v>
      </c>
      <c r="C15" s="11">
        <v>0.95000000000000007</v>
      </c>
      <c r="D15"/>
      <c r="E15"/>
      <c r="F15"/>
      <c r="G15"/>
    </row>
    <row r="16" spans="1:12" ht="15.5" x14ac:dyDescent="0.35">
      <c r="B16" s="251" t="s">
        <v>212</v>
      </c>
      <c r="C16" s="11">
        <v>0.14999999999999997</v>
      </c>
      <c r="D16"/>
      <c r="E16"/>
      <c r="F16"/>
      <c r="G16"/>
    </row>
    <row r="17" spans="2:7" ht="15.5" x14ac:dyDescent="0.35">
      <c r="B17" s="252" t="s">
        <v>213</v>
      </c>
      <c r="C17" s="11">
        <v>0.14999999999999997</v>
      </c>
      <c r="D17"/>
      <c r="E17"/>
      <c r="F17"/>
      <c r="G17"/>
    </row>
    <row r="18" spans="2:7" ht="15.5" outlineLevel="1" x14ac:dyDescent="0.35">
      <c r="B18" s="252" t="s">
        <v>214</v>
      </c>
      <c r="C18" s="11">
        <v>0.14999999999999997</v>
      </c>
      <c r="D18"/>
      <c r="E18"/>
      <c r="F18"/>
      <c r="G18"/>
    </row>
    <row r="19" spans="2:7" ht="15.5" outlineLevel="1" x14ac:dyDescent="0.35">
      <c r="B19" s="252" t="s">
        <v>215</v>
      </c>
      <c r="C19" s="11">
        <v>0.14999999999999997</v>
      </c>
      <c r="D19"/>
      <c r="E19"/>
      <c r="F19"/>
      <c r="G19"/>
    </row>
    <row r="20" spans="2:7" ht="15.5" outlineLevel="1" x14ac:dyDescent="0.35">
      <c r="B20" s="251" t="s">
        <v>216</v>
      </c>
      <c r="C20" s="11">
        <v>0.29999999999999993</v>
      </c>
      <c r="D20"/>
      <c r="E20"/>
      <c r="F20"/>
      <c r="G20"/>
    </row>
    <row r="21" spans="2:7" ht="15.5" x14ac:dyDescent="0.35">
      <c r="B21" s="252" t="s">
        <v>217</v>
      </c>
      <c r="C21" s="11">
        <v>0.29999999999999993</v>
      </c>
      <c r="D21"/>
      <c r="E21"/>
      <c r="F21"/>
      <c r="G21"/>
    </row>
    <row r="22" spans="2:7" ht="15.5" outlineLevel="1" x14ac:dyDescent="0.35">
      <c r="B22" s="252" t="s">
        <v>218</v>
      </c>
      <c r="C22" s="11">
        <v>0.29999999999999993</v>
      </c>
      <c r="D22"/>
      <c r="E22"/>
      <c r="F22"/>
      <c r="G22"/>
    </row>
    <row r="23" spans="2:7" ht="15.5" outlineLevel="1" x14ac:dyDescent="0.35">
      <c r="B23" s="252" t="s">
        <v>219</v>
      </c>
      <c r="C23" s="11">
        <v>0.29999999999999993</v>
      </c>
      <c r="D23"/>
      <c r="E23"/>
      <c r="F23"/>
      <c r="G23"/>
    </row>
    <row r="24" spans="2:7" ht="15.5" outlineLevel="1" x14ac:dyDescent="0.35">
      <c r="B24" s="252" t="s">
        <v>220</v>
      </c>
      <c r="C24" s="11">
        <v>0.29999999999999993</v>
      </c>
      <c r="D24"/>
      <c r="E24"/>
      <c r="F24"/>
      <c r="G24"/>
    </row>
    <row r="25" spans="2:7" ht="15.5" outlineLevel="1" x14ac:dyDescent="0.35">
      <c r="B25" s="251" t="s">
        <v>221</v>
      </c>
      <c r="C25" s="11">
        <v>0.24999999999999997</v>
      </c>
      <c r="D25"/>
      <c r="E25"/>
      <c r="F25"/>
      <c r="G25"/>
    </row>
    <row r="26" spans="2:7" ht="15.5" x14ac:dyDescent="0.35">
      <c r="B26" s="252" t="s">
        <v>223</v>
      </c>
      <c r="C26" s="11">
        <v>0.29999999999999993</v>
      </c>
      <c r="D26"/>
      <c r="E26"/>
      <c r="F26"/>
      <c r="G26"/>
    </row>
    <row r="27" spans="2:7" ht="15.5" outlineLevel="1" x14ac:dyDescent="0.35">
      <c r="B27" s="252" t="s">
        <v>222</v>
      </c>
      <c r="C27" s="11">
        <v>0.24999999999999997</v>
      </c>
      <c r="D27"/>
      <c r="E27"/>
      <c r="F27"/>
      <c r="G27"/>
    </row>
    <row r="28" spans="2:7" ht="15.5" outlineLevel="1" x14ac:dyDescent="0.35">
      <c r="B28" s="252" t="s">
        <v>224</v>
      </c>
      <c r="C28" s="11">
        <v>0.29999999999999993</v>
      </c>
      <c r="D28"/>
      <c r="E28"/>
      <c r="F28"/>
      <c r="G28"/>
    </row>
    <row r="29" spans="2:7" ht="15.5" outlineLevel="1" x14ac:dyDescent="0.35">
      <c r="B29" s="252" t="s">
        <v>225</v>
      </c>
      <c r="C29" s="11">
        <v>0.29999999999999993</v>
      </c>
      <c r="D29"/>
      <c r="E29"/>
      <c r="F29"/>
      <c r="G29"/>
    </row>
    <row r="30" spans="2:7" ht="15.5" outlineLevel="1" x14ac:dyDescent="0.35">
      <c r="B30" s="251" t="s">
        <v>226</v>
      </c>
      <c r="C30" s="11">
        <v>0.25</v>
      </c>
      <c r="D30"/>
      <c r="E30"/>
      <c r="F30"/>
      <c r="G30"/>
    </row>
    <row r="31" spans="2:7" ht="15.5" x14ac:dyDescent="0.35">
      <c r="B31" s="253" t="s">
        <v>227</v>
      </c>
      <c r="C31" s="11">
        <v>0.25</v>
      </c>
      <c r="D31"/>
      <c r="E31"/>
      <c r="F31"/>
      <c r="G31"/>
    </row>
    <row r="32" spans="2:7" ht="15.5" outlineLevel="1" x14ac:dyDescent="0.35">
      <c r="B32" s="254" t="s">
        <v>210</v>
      </c>
      <c r="C32" s="11">
        <v>0.58333333333333337</v>
      </c>
      <c r="D32"/>
      <c r="E32"/>
      <c r="F32"/>
      <c r="G32"/>
    </row>
    <row r="33" spans="2:7" ht="15.5" outlineLevel="1" x14ac:dyDescent="0.35">
      <c r="B33" s="250" t="s">
        <v>306</v>
      </c>
      <c r="C33" s="11">
        <v>0.83333333333333337</v>
      </c>
      <c r="D33"/>
      <c r="E33"/>
      <c r="F33"/>
      <c r="G33"/>
    </row>
    <row r="34" spans="2:7" ht="15.5" x14ac:dyDescent="0.35">
      <c r="B34" s="253" t="s">
        <v>229</v>
      </c>
      <c r="C34" s="11">
        <v>1</v>
      </c>
      <c r="D34"/>
      <c r="E34"/>
      <c r="F34"/>
      <c r="G34"/>
    </row>
    <row r="35" spans="2:7" ht="15.5" x14ac:dyDescent="0.35">
      <c r="B35" s="253" t="s">
        <v>230</v>
      </c>
      <c r="C35" s="11">
        <v>1</v>
      </c>
      <c r="D35"/>
      <c r="E35"/>
      <c r="F35"/>
      <c r="G35"/>
    </row>
    <row r="36" spans="2:7" ht="15.5" outlineLevel="1" x14ac:dyDescent="0.35">
      <c r="B36" s="253" t="s">
        <v>231</v>
      </c>
      <c r="C36" s="11">
        <v>1</v>
      </c>
      <c r="D36"/>
      <c r="E36"/>
      <c r="F36"/>
      <c r="G36"/>
    </row>
    <row r="37" spans="2:7" ht="15.5" outlineLevel="1" x14ac:dyDescent="0.35">
      <c r="B37" s="253" t="s">
        <v>232</v>
      </c>
      <c r="C37" s="11">
        <v>0.83333333333333337</v>
      </c>
      <c r="D37"/>
      <c r="E37"/>
      <c r="F37"/>
      <c r="G37"/>
    </row>
    <row r="38" spans="2:7" ht="15.5" outlineLevel="1" x14ac:dyDescent="0.35">
      <c r="B38" s="250" t="s">
        <v>307</v>
      </c>
      <c r="C38" s="11">
        <v>1</v>
      </c>
      <c r="D38"/>
      <c r="E38"/>
      <c r="F38"/>
      <c r="G38"/>
    </row>
    <row r="39" spans="2:7" ht="15.5" outlineLevel="1" x14ac:dyDescent="0.35">
      <c r="B39" s="253" t="s">
        <v>233</v>
      </c>
      <c r="C39" s="11">
        <v>1</v>
      </c>
      <c r="D39"/>
      <c r="E39"/>
      <c r="F39"/>
      <c r="G39"/>
    </row>
    <row r="40" spans="2:7" ht="15.5" x14ac:dyDescent="0.35">
      <c r="B40" s="253" t="s">
        <v>234</v>
      </c>
      <c r="C40" s="11">
        <v>1</v>
      </c>
      <c r="D40"/>
      <c r="E40"/>
      <c r="F40"/>
      <c r="G40"/>
    </row>
    <row r="41" spans="2:7" ht="15.5" outlineLevel="1" x14ac:dyDescent="0.35">
      <c r="B41" s="250" t="s">
        <v>308</v>
      </c>
      <c r="C41" s="11">
        <v>1</v>
      </c>
      <c r="D41"/>
      <c r="E41"/>
      <c r="F41"/>
      <c r="G41"/>
    </row>
    <row r="42" spans="2:7" ht="15.5" outlineLevel="1" x14ac:dyDescent="0.35">
      <c r="B42" s="253" t="s">
        <v>235</v>
      </c>
      <c r="C42" s="11">
        <v>1</v>
      </c>
      <c r="D42"/>
      <c r="E42"/>
      <c r="F42"/>
      <c r="G42"/>
    </row>
    <row r="43" spans="2:7" ht="15.5" x14ac:dyDescent="0.35">
      <c r="B43" s="253" t="s">
        <v>236</v>
      </c>
      <c r="C43" s="11">
        <v>1</v>
      </c>
      <c r="D43"/>
      <c r="E43"/>
      <c r="F43"/>
      <c r="G43"/>
    </row>
    <row r="44" spans="2:7" ht="15.5" outlineLevel="1" x14ac:dyDescent="0.35">
      <c r="B44" s="253" t="s">
        <v>237</v>
      </c>
      <c r="C44" s="11">
        <v>1</v>
      </c>
      <c r="D44"/>
      <c r="E44"/>
      <c r="F44"/>
      <c r="G44"/>
    </row>
    <row r="45" spans="2:7" ht="15.5" outlineLevel="1" x14ac:dyDescent="0.35">
      <c r="B45" s="250" t="s">
        <v>309</v>
      </c>
      <c r="C45" s="11">
        <v>1</v>
      </c>
      <c r="D45"/>
      <c r="E45"/>
      <c r="F45"/>
      <c r="G45"/>
    </row>
    <row r="46" spans="2:7" ht="15.5" outlineLevel="1" x14ac:dyDescent="0.35">
      <c r="B46" s="253" t="s">
        <v>238</v>
      </c>
      <c r="C46" s="11">
        <v>1</v>
      </c>
      <c r="D46"/>
      <c r="E46"/>
      <c r="F46"/>
      <c r="G46"/>
    </row>
    <row r="47" spans="2:7" ht="15.5" x14ac:dyDescent="0.35">
      <c r="B47" s="250" t="s">
        <v>310</v>
      </c>
      <c r="C47" s="11">
        <v>1</v>
      </c>
      <c r="D47"/>
      <c r="E47"/>
      <c r="F47"/>
      <c r="G47"/>
    </row>
    <row r="48" spans="2:7" ht="15.5" outlineLevel="1" x14ac:dyDescent="0.35">
      <c r="B48" s="253" t="s">
        <v>239</v>
      </c>
      <c r="C48" s="11">
        <v>1</v>
      </c>
      <c r="D48"/>
      <c r="E48"/>
      <c r="F48"/>
      <c r="G48"/>
    </row>
    <row r="49" spans="2:7" ht="15.5" x14ac:dyDescent="0.35">
      <c r="B49" s="250" t="s">
        <v>311</v>
      </c>
      <c r="C49" s="11">
        <v>0.83333333333333337</v>
      </c>
      <c r="D49"/>
      <c r="E49"/>
      <c r="F49"/>
      <c r="G49"/>
    </row>
    <row r="50" spans="2:7" ht="15.5" outlineLevel="1" x14ac:dyDescent="0.35">
      <c r="B50" s="253" t="s">
        <v>240</v>
      </c>
      <c r="C50" s="11">
        <v>1</v>
      </c>
      <c r="D50"/>
      <c r="E50"/>
      <c r="F50"/>
      <c r="G50"/>
    </row>
    <row r="51" spans="2:7" ht="15.5" x14ac:dyDescent="0.35">
      <c r="B51" s="253" t="s">
        <v>241</v>
      </c>
      <c r="C51" s="11">
        <v>1</v>
      </c>
      <c r="D51"/>
      <c r="E51"/>
      <c r="F51"/>
      <c r="G51"/>
    </row>
    <row r="52" spans="2:7" ht="15.5" outlineLevel="1" x14ac:dyDescent="0.35">
      <c r="B52" s="250" t="s">
        <v>312</v>
      </c>
      <c r="C52" s="11">
        <v>0.91666666666666663</v>
      </c>
      <c r="D52"/>
      <c r="E52"/>
      <c r="F52"/>
      <c r="G52"/>
    </row>
    <row r="53" spans="2:7" ht="15.5" outlineLevel="1" x14ac:dyDescent="0.35">
      <c r="B53" s="253" t="s">
        <v>242</v>
      </c>
      <c r="C53" s="11">
        <v>0.83333333333333337</v>
      </c>
      <c r="D53"/>
      <c r="E53"/>
      <c r="F53"/>
      <c r="G53"/>
    </row>
    <row r="54" spans="2:7" ht="15.5" x14ac:dyDescent="0.35">
      <c r="B54" s="253" t="s">
        <v>243</v>
      </c>
      <c r="C54" s="11">
        <v>0.91666666666666663</v>
      </c>
      <c r="D54"/>
      <c r="E54"/>
      <c r="F54"/>
      <c r="G54"/>
    </row>
    <row r="55" spans="2:7" ht="15.5" outlineLevel="1" x14ac:dyDescent="0.35">
      <c r="B55" s="250" t="s">
        <v>313</v>
      </c>
      <c r="C55" s="11">
        <v>1</v>
      </c>
      <c r="D55"/>
      <c r="E55"/>
      <c r="F55"/>
      <c r="G55"/>
    </row>
    <row r="56" spans="2:7" ht="15.5" outlineLevel="1" x14ac:dyDescent="0.35">
      <c r="B56" s="253" t="s">
        <v>244</v>
      </c>
      <c r="C56" s="11">
        <v>1</v>
      </c>
      <c r="D56"/>
      <c r="E56"/>
      <c r="F56"/>
      <c r="G56"/>
    </row>
    <row r="57" spans="2:7" ht="15.5" x14ac:dyDescent="0.35">
      <c r="B57" s="253" t="s">
        <v>245</v>
      </c>
      <c r="C57" s="11">
        <v>1</v>
      </c>
      <c r="D57"/>
      <c r="E57"/>
      <c r="F57"/>
      <c r="G57"/>
    </row>
    <row r="58" spans="2:7" ht="15.5" outlineLevel="1" x14ac:dyDescent="0.35">
      <c r="B58" s="253" t="s">
        <v>246</v>
      </c>
      <c r="C58" s="11">
        <v>1</v>
      </c>
      <c r="D58"/>
      <c r="E58"/>
      <c r="F58"/>
      <c r="G58"/>
    </row>
    <row r="59" spans="2:7" ht="15.5" outlineLevel="1" x14ac:dyDescent="0.35">
      <c r="B59" s="253" t="s">
        <v>247</v>
      </c>
      <c r="C59" s="11">
        <v>1</v>
      </c>
      <c r="D59"/>
      <c r="E59"/>
      <c r="F59"/>
      <c r="G59"/>
    </row>
    <row r="60" spans="2:7" ht="15.5" outlineLevel="1" x14ac:dyDescent="0.35">
      <c r="B60" s="253" t="s">
        <v>248</v>
      </c>
      <c r="C60" s="11">
        <v>1</v>
      </c>
      <c r="D60"/>
      <c r="E60"/>
      <c r="F60"/>
      <c r="G60"/>
    </row>
    <row r="61" spans="2:7" ht="15.5" outlineLevel="1" x14ac:dyDescent="0.35">
      <c r="B61" s="253" t="s">
        <v>249</v>
      </c>
      <c r="C61" s="11">
        <v>1</v>
      </c>
      <c r="D61"/>
      <c r="E61"/>
      <c r="F61"/>
      <c r="G61"/>
    </row>
    <row r="62" spans="2:7" ht="15.5" outlineLevel="1" x14ac:dyDescent="0.35">
      <c r="B62" s="253" t="s">
        <v>251</v>
      </c>
      <c r="C62" s="11">
        <v>1</v>
      </c>
      <c r="D62"/>
      <c r="E62"/>
      <c r="F62"/>
      <c r="G62"/>
    </row>
    <row r="63" spans="2:7" ht="15.5" outlineLevel="1" x14ac:dyDescent="0.35">
      <c r="B63" s="254" t="s">
        <v>314</v>
      </c>
      <c r="C63" s="11">
        <v>0.25</v>
      </c>
      <c r="D63"/>
      <c r="E63"/>
      <c r="F63"/>
      <c r="G63"/>
    </row>
    <row r="64" spans="2:7" ht="15.5" outlineLevel="1" x14ac:dyDescent="0.35">
      <c r="B64" s="250" t="s">
        <v>315</v>
      </c>
      <c r="C64" s="11">
        <v>0.25</v>
      </c>
      <c r="D64"/>
      <c r="E64"/>
      <c r="F64"/>
      <c r="G64"/>
    </row>
    <row r="65" spans="2:7" ht="15.5" outlineLevel="1" x14ac:dyDescent="0.35">
      <c r="B65" s="253" t="s">
        <v>252</v>
      </c>
      <c r="C65" s="11">
        <v>1</v>
      </c>
      <c r="D65"/>
      <c r="E65"/>
      <c r="F65"/>
      <c r="G65"/>
    </row>
    <row r="66" spans="2:7" ht="15.5" x14ac:dyDescent="0.35">
      <c r="B66" s="253" t="s">
        <v>253</v>
      </c>
      <c r="C66" s="11">
        <v>0.91666666666666663</v>
      </c>
      <c r="D66"/>
      <c r="E66"/>
      <c r="F66"/>
      <c r="G66"/>
    </row>
    <row r="67" spans="2:7" ht="15.5" x14ac:dyDescent="0.35">
      <c r="B67" s="253" t="s">
        <v>254</v>
      </c>
      <c r="C67" s="11">
        <v>0.66666666666666663</v>
      </c>
      <c r="D67"/>
      <c r="E67"/>
      <c r="F67"/>
      <c r="G67"/>
    </row>
    <row r="68" spans="2:7" ht="15.5" outlineLevel="1" x14ac:dyDescent="0.35">
      <c r="B68" s="253" t="s">
        <v>255</v>
      </c>
      <c r="C68" s="11">
        <v>1</v>
      </c>
      <c r="D68"/>
      <c r="E68"/>
      <c r="F68"/>
      <c r="G68"/>
    </row>
    <row r="69" spans="2:7" ht="15.5" outlineLevel="1" x14ac:dyDescent="0.35">
      <c r="B69" s="253" t="s">
        <v>256</v>
      </c>
      <c r="C69" s="11">
        <v>0.75</v>
      </c>
      <c r="D69"/>
      <c r="E69"/>
      <c r="F69"/>
      <c r="G69"/>
    </row>
    <row r="70" spans="2:7" ht="15.5" outlineLevel="1" x14ac:dyDescent="0.35">
      <c r="B70" s="253" t="s">
        <v>257</v>
      </c>
      <c r="C70" s="11">
        <v>0.25</v>
      </c>
      <c r="D70"/>
      <c r="E70"/>
      <c r="F70"/>
      <c r="G70"/>
    </row>
    <row r="71" spans="2:7" ht="15.5" outlineLevel="1" x14ac:dyDescent="0.35">
      <c r="B71" s="250" t="s">
        <v>316</v>
      </c>
      <c r="C71" s="11">
        <v>1</v>
      </c>
      <c r="D71"/>
      <c r="E71"/>
      <c r="F71"/>
      <c r="G71"/>
    </row>
    <row r="72" spans="2:7" ht="15.5" outlineLevel="1" x14ac:dyDescent="0.35">
      <c r="B72" s="253" t="s">
        <v>258</v>
      </c>
      <c r="C72" s="11">
        <v>1</v>
      </c>
      <c r="D72"/>
      <c r="E72"/>
      <c r="F72"/>
      <c r="G72"/>
    </row>
    <row r="73" spans="2:7" ht="15.5" outlineLevel="1" x14ac:dyDescent="0.35">
      <c r="B73" s="250" t="s">
        <v>317</v>
      </c>
      <c r="C73" s="11">
        <v>1</v>
      </c>
      <c r="D73"/>
      <c r="E73"/>
      <c r="F73"/>
      <c r="G73"/>
    </row>
    <row r="74" spans="2:7" ht="15.5" x14ac:dyDescent="0.35">
      <c r="B74" s="253" t="s">
        <v>259</v>
      </c>
      <c r="C74" s="11">
        <v>1</v>
      </c>
      <c r="D74"/>
      <c r="E74"/>
      <c r="F74"/>
      <c r="G74"/>
    </row>
    <row r="75" spans="2:7" ht="15.5" outlineLevel="1" x14ac:dyDescent="0.35">
      <c r="B75" s="253" t="s">
        <v>260</v>
      </c>
      <c r="C75" s="11">
        <v>1</v>
      </c>
      <c r="D75"/>
      <c r="E75"/>
      <c r="F75"/>
      <c r="G75"/>
    </row>
    <row r="76" spans="2:7" ht="15.5" x14ac:dyDescent="0.35">
      <c r="B76" s="253" t="s">
        <v>261</v>
      </c>
      <c r="C76" s="11">
        <v>1</v>
      </c>
      <c r="D76"/>
      <c r="E76"/>
      <c r="F76"/>
      <c r="G76"/>
    </row>
    <row r="77" spans="2:7" ht="15.5" outlineLevel="1" x14ac:dyDescent="0.35">
      <c r="B77" s="250" t="s">
        <v>318</v>
      </c>
      <c r="C77" s="11">
        <v>1</v>
      </c>
      <c r="D77"/>
      <c r="E77"/>
      <c r="F77"/>
      <c r="G77"/>
    </row>
    <row r="78" spans="2:7" ht="15.5" outlineLevel="1" x14ac:dyDescent="0.35">
      <c r="B78" s="253" t="s">
        <v>262</v>
      </c>
      <c r="C78" s="11">
        <v>1</v>
      </c>
      <c r="D78"/>
      <c r="E78"/>
      <c r="F78"/>
      <c r="G78"/>
    </row>
    <row r="79" spans="2:7" ht="15.5" outlineLevel="1" x14ac:dyDescent="0.35">
      <c r="B79" s="254" t="s">
        <v>211</v>
      </c>
      <c r="C79" s="11">
        <v>1</v>
      </c>
      <c r="D79"/>
      <c r="E79"/>
      <c r="F79"/>
      <c r="G79"/>
    </row>
    <row r="80" spans="2:7" ht="15.5" x14ac:dyDescent="0.35">
      <c r="B80" s="250" t="s">
        <v>319</v>
      </c>
      <c r="C80" s="11">
        <v>1</v>
      </c>
      <c r="D80"/>
      <c r="E80"/>
      <c r="F80"/>
      <c r="G80"/>
    </row>
    <row r="81" spans="2:16" ht="15.5" outlineLevel="1" x14ac:dyDescent="0.35">
      <c r="B81" s="253" t="s">
        <v>263</v>
      </c>
      <c r="C81" s="11">
        <v>1</v>
      </c>
      <c r="D81"/>
      <c r="E81"/>
      <c r="F81"/>
      <c r="G81"/>
    </row>
    <row r="82" spans="2:16" ht="15.5" x14ac:dyDescent="0.35">
      <c r="B82" s="250" t="s">
        <v>320</v>
      </c>
      <c r="C82" s="11">
        <v>1</v>
      </c>
      <c r="D82"/>
      <c r="E82"/>
      <c r="F82"/>
      <c r="G82"/>
    </row>
    <row r="83" spans="2:16" ht="15.5" x14ac:dyDescent="0.35">
      <c r="B83" s="253" t="s">
        <v>264</v>
      </c>
      <c r="C83" s="11">
        <v>1</v>
      </c>
      <c r="D83"/>
      <c r="E83"/>
      <c r="F83"/>
      <c r="G83"/>
    </row>
    <row r="84" spans="2:16" ht="15.5" outlineLevel="1" x14ac:dyDescent="0.35">
      <c r="B84" s="253" t="s">
        <v>265</v>
      </c>
      <c r="C84" s="11">
        <v>1</v>
      </c>
      <c r="D84"/>
      <c r="E84"/>
      <c r="F84"/>
      <c r="G84"/>
    </row>
    <row r="85" spans="2:16" ht="15.5" x14ac:dyDescent="0.35">
      <c r="B85" s="250" t="s">
        <v>321</v>
      </c>
      <c r="C85" s="11">
        <v>1</v>
      </c>
      <c r="D85"/>
      <c r="E85"/>
      <c r="F85"/>
      <c r="G85"/>
    </row>
    <row r="86" spans="2:16" outlineLevel="1" x14ac:dyDescent="0.35">
      <c r="B86" s="249" t="s">
        <v>266</v>
      </c>
      <c r="C86" s="11">
        <v>1</v>
      </c>
      <c r="D86"/>
      <c r="E86"/>
      <c r="F86"/>
      <c r="G86"/>
    </row>
    <row r="87" spans="2:16" outlineLevel="1" x14ac:dyDescent="0.35">
      <c r="C87"/>
      <c r="D87"/>
      <c r="E87"/>
      <c r="F87"/>
      <c r="G87"/>
    </row>
    <row r="88" spans="2:16" x14ac:dyDescent="0.35">
      <c r="C88"/>
      <c r="D88"/>
      <c r="E88"/>
      <c r="F88"/>
      <c r="G88"/>
    </row>
    <row r="89" spans="2:16" outlineLevel="1" x14ac:dyDescent="0.35">
      <c r="C89"/>
      <c r="D89"/>
      <c r="E89"/>
      <c r="F89"/>
      <c r="G89"/>
    </row>
    <row r="90" spans="2:16" x14ac:dyDescent="0.35">
      <c r="C90" s="11"/>
      <c r="D90" s="11"/>
      <c r="E90" s="11"/>
      <c r="F90" s="11"/>
      <c r="G90" s="11"/>
      <c r="H90" s="83"/>
      <c r="I90" s="83"/>
      <c r="J90" s="83"/>
      <c r="K90" s="83"/>
      <c r="L90" s="83"/>
      <c r="M90" s="83"/>
      <c r="N90" s="83"/>
      <c r="O90" s="83"/>
      <c r="P90" s="83"/>
    </row>
  </sheetData>
  <mergeCells count="1">
    <mergeCell ref="A1:L3"/>
  </mergeCells>
  <pageMargins left="0.7" right="0.7" top="0.75" bottom="0.75" header="0.3" footer="0.3"/>
  <pageSetup orientation="portrait" r:id="rId2"/>
  <drawing r:id="rId3"/>
  <extLst>
    <ext xmlns:x14="http://schemas.microsoft.com/office/spreadsheetml/2009/9/main" uri="{A8765BA9-456A-4dab-B4F3-ACF838C121DE}">
      <x14:slicerList>
        <x14:slicer r:id="rId4"/>
      </x14:slicerList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10"/>
  <dimension ref="A1:Q16"/>
  <sheetViews>
    <sheetView tabSelected="1" workbookViewId="0">
      <selection activeCell="J13" sqref="J13"/>
    </sheetView>
  </sheetViews>
  <sheetFormatPr baseColWidth="10" defaultColWidth="10.81640625" defaultRowHeight="14.5" x14ac:dyDescent="0.35"/>
  <cols>
    <col min="1" max="2" width="11.7265625" bestFit="1" customWidth="1"/>
    <col min="3" max="3" width="7.08984375" customWidth="1"/>
    <col min="4" max="4" width="6.81640625" bestFit="1" customWidth="1"/>
    <col min="5" max="5" width="6.7265625" bestFit="1" customWidth="1"/>
    <col min="6" max="6" width="8.54296875" bestFit="1" customWidth="1"/>
    <col min="7" max="7" width="12.1796875" bestFit="1" customWidth="1"/>
    <col min="8" max="8" width="15.54296875" bestFit="1" customWidth="1"/>
    <col min="10" max="10" width="22.54296875" bestFit="1" customWidth="1"/>
    <col min="11" max="11" width="24.90625" customWidth="1"/>
    <col min="12" max="12" width="12.1796875" bestFit="1" customWidth="1"/>
  </cols>
  <sheetData>
    <row r="1" spans="1:17" x14ac:dyDescent="0.35">
      <c r="M1" s="50" t="s">
        <v>269</v>
      </c>
      <c r="N1" s="10" t="s">
        <v>4</v>
      </c>
      <c r="O1" s="10" t="s">
        <v>5</v>
      </c>
      <c r="P1" s="10" t="s">
        <v>6</v>
      </c>
    </row>
    <row r="2" spans="1:17" x14ac:dyDescent="0.35">
      <c r="J2" s="53" t="s">
        <v>282</v>
      </c>
      <c r="K2" s="56">
        <f>GETPIVOTDATA("Score calidad ",$A$3)</f>
        <v>0.71636363636363587</v>
      </c>
      <c r="M2" s="57">
        <f>GETPIVOTDATA("PENC",$A$3)</f>
        <v>0.98181818181818181</v>
      </c>
      <c r="N2" s="57">
        <f>GETPIVOTDATA(" PECUF",$A$3)</f>
        <v>0.75757575757575757</v>
      </c>
      <c r="O2" s="57">
        <f>GETPIVOTDATA(" PECNE",$A$3)</f>
        <v>0.30303030303030304</v>
      </c>
      <c r="P2" s="57">
        <f>GETPIVOTDATA(" PECCUM",$A$3)</f>
        <v>1</v>
      </c>
    </row>
    <row r="3" spans="1:17" x14ac:dyDescent="0.35">
      <c r="A3" s="8" t="s">
        <v>2</v>
      </c>
      <c r="B3" s="7" t="s">
        <v>3</v>
      </c>
      <c r="C3" s="15" t="s">
        <v>269</v>
      </c>
      <c r="D3" s="10" t="s">
        <v>4</v>
      </c>
      <c r="E3" s="48" t="s">
        <v>5</v>
      </c>
      <c r="F3" s="10" t="s">
        <v>6</v>
      </c>
      <c r="G3" s="10" t="s">
        <v>0</v>
      </c>
      <c r="H3" s="1" t="s">
        <v>413</v>
      </c>
      <c r="J3" s="53" t="s">
        <v>283</v>
      </c>
      <c r="K3" s="52">
        <f>GETPIVOTDATA("Suma de Muestra",$A$3,"mes","jul-26")</f>
        <v>12</v>
      </c>
    </row>
    <row r="4" spans="1:17" x14ac:dyDescent="0.35">
      <c r="A4" s="4" t="s">
        <v>421</v>
      </c>
      <c r="B4" s="255">
        <v>7</v>
      </c>
      <c r="C4" s="48">
        <v>1</v>
      </c>
      <c r="D4" s="5">
        <v>0.8571428571428571</v>
      </c>
      <c r="E4" s="48">
        <v>0.33333333333333331</v>
      </c>
      <c r="F4" s="5">
        <v>1</v>
      </c>
      <c r="G4" s="12">
        <v>0.7571428571428569</v>
      </c>
      <c r="H4" s="213">
        <v>21</v>
      </c>
      <c r="J4" s="53" t="s">
        <v>284</v>
      </c>
      <c r="K4" s="52">
        <f>GETPIVOTDATA("Agente Mon.",$H$5,"mes","jul-26")</f>
        <v>6</v>
      </c>
    </row>
    <row r="5" spans="1:17" x14ac:dyDescent="0.35">
      <c r="A5" s="4" t="s">
        <v>444</v>
      </c>
      <c r="B5" s="255">
        <v>6</v>
      </c>
      <c r="C5" s="48">
        <v>0.95000000000000007</v>
      </c>
      <c r="D5" s="5">
        <v>0.58333333333333337</v>
      </c>
      <c r="E5" s="48">
        <v>0.25</v>
      </c>
      <c r="F5" s="5">
        <v>1</v>
      </c>
      <c r="G5" s="12">
        <v>0.64500000000000013</v>
      </c>
      <c r="H5" s="213">
        <v>12</v>
      </c>
      <c r="J5" s="53" t="s">
        <v>297</v>
      </c>
      <c r="K5" s="365">
        <f>HC!H2</f>
        <v>10</v>
      </c>
    </row>
    <row r="6" spans="1:17" x14ac:dyDescent="0.35">
      <c r="A6" s="2" t="s">
        <v>438</v>
      </c>
      <c r="B6" s="258">
        <v>13</v>
      </c>
      <c r="C6" s="13">
        <v>0.98181818181818181</v>
      </c>
      <c r="D6" s="361">
        <v>0.75757575757575757</v>
      </c>
      <c r="E6" s="78">
        <v>0.30303030303030304</v>
      </c>
      <c r="F6" s="361">
        <v>1</v>
      </c>
      <c r="G6" s="13">
        <v>0.71636363636363587</v>
      </c>
      <c r="H6" s="228">
        <v>33</v>
      </c>
      <c r="J6" s="53" t="s">
        <v>298</v>
      </c>
      <c r="K6" s="366">
        <f>+K4/K5</f>
        <v>0.6</v>
      </c>
      <c r="L6" s="26">
        <f>K6</f>
        <v>0.6</v>
      </c>
    </row>
    <row r="8" spans="1:17" x14ac:dyDescent="0.35">
      <c r="L8" s="47" t="s">
        <v>285</v>
      </c>
      <c r="M8" s="212">
        <v>46174</v>
      </c>
      <c r="N8" s="4"/>
      <c r="O8" s="4"/>
      <c r="P8" s="4"/>
      <c r="Q8" s="59"/>
    </row>
    <row r="9" spans="1:17" x14ac:dyDescent="0.35">
      <c r="L9" s="50" t="s">
        <v>269</v>
      </c>
      <c r="M9" s="54">
        <f>GETPIVOTDATA("PENC",$B$13)</f>
        <v>0.98181818181818181</v>
      </c>
      <c r="N9" s="54"/>
      <c r="O9" s="54"/>
      <c r="P9" s="54"/>
      <c r="Q9" s="54"/>
    </row>
    <row r="10" spans="1:17" x14ac:dyDescent="0.35">
      <c r="L10" s="58" t="s">
        <v>4</v>
      </c>
      <c r="M10" s="54">
        <f>GETPIVOTDATA(" PECUF",$B$13)</f>
        <v>0.75757575757575757</v>
      </c>
      <c r="N10" s="54"/>
      <c r="O10" s="54"/>
      <c r="P10" s="54"/>
    </row>
    <row r="11" spans="1:17" x14ac:dyDescent="0.35">
      <c r="L11" s="58" t="s">
        <v>5</v>
      </c>
      <c r="M11" s="54">
        <f>GETPIVOTDATA(" PECNE",$B$13)</f>
        <v>0.30303030303030304</v>
      </c>
      <c r="N11" s="54"/>
      <c r="O11" s="54"/>
      <c r="P11" s="54"/>
    </row>
    <row r="12" spans="1:17" x14ac:dyDescent="0.35">
      <c r="L12" s="58" t="s">
        <v>6</v>
      </c>
      <c r="M12" s="54">
        <f>GETPIVOTDATA(" PECCUM",$B$13)</f>
        <v>1</v>
      </c>
      <c r="N12" s="54"/>
      <c r="O12" s="54"/>
      <c r="P12" s="54"/>
    </row>
    <row r="13" spans="1:17" x14ac:dyDescent="0.35">
      <c r="B13" s="8" t="s">
        <v>2</v>
      </c>
      <c r="C13" s="15" t="s">
        <v>269</v>
      </c>
      <c r="D13" s="10" t="s">
        <v>4</v>
      </c>
      <c r="E13" s="48" t="s">
        <v>5</v>
      </c>
      <c r="F13" s="10" t="s">
        <v>6</v>
      </c>
      <c r="G13" s="10" t="s">
        <v>0</v>
      </c>
      <c r="L13" s="58" t="s">
        <v>0</v>
      </c>
      <c r="M13" s="54">
        <f>GETPIVOTDATA("Score calidad ",$B$13)</f>
        <v>0.71636363636363587</v>
      </c>
      <c r="N13" s="55"/>
      <c r="O13" s="55"/>
      <c r="P13" s="55"/>
      <c r="Q13" s="54"/>
    </row>
    <row r="14" spans="1:17" x14ac:dyDescent="0.35">
      <c r="B14" s="4" t="s">
        <v>421</v>
      </c>
      <c r="C14" s="48">
        <v>1</v>
      </c>
      <c r="D14" s="5">
        <v>0.8571428571428571</v>
      </c>
      <c r="E14" s="48">
        <v>0.33333333333333331</v>
      </c>
      <c r="F14" s="5">
        <v>1</v>
      </c>
      <c r="G14" s="12">
        <v>0.7571428571428569</v>
      </c>
      <c r="M14" s="54"/>
      <c r="N14" s="54"/>
      <c r="O14" s="54"/>
      <c r="P14" s="54"/>
      <c r="Q14" s="54"/>
    </row>
    <row r="15" spans="1:17" x14ac:dyDescent="0.35">
      <c r="B15" s="4" t="s">
        <v>444</v>
      </c>
      <c r="C15" s="48">
        <v>0.95000000000000007</v>
      </c>
      <c r="D15" s="5">
        <v>0.58333333333333337</v>
      </c>
      <c r="E15" s="48">
        <v>0.25</v>
      </c>
      <c r="F15" s="5">
        <v>1</v>
      </c>
      <c r="G15" s="12">
        <v>0.64500000000000013</v>
      </c>
      <c r="M15" s="54"/>
      <c r="N15" s="54"/>
      <c r="O15" s="54"/>
      <c r="P15" s="54"/>
      <c r="Q15" s="54"/>
    </row>
    <row r="16" spans="1:17" x14ac:dyDescent="0.35">
      <c r="B16" s="2" t="s">
        <v>438</v>
      </c>
      <c r="C16" s="13">
        <v>0.98181818181818181</v>
      </c>
      <c r="D16" s="361">
        <v>0.75757575757575757</v>
      </c>
      <c r="E16" s="78">
        <v>0.30303030303030304</v>
      </c>
      <c r="F16" s="361">
        <v>1</v>
      </c>
      <c r="G16" s="13">
        <v>0.71636363636363587</v>
      </c>
    </row>
  </sheetData>
  <conditionalFormatting pivot="1" sqref="C4:D6 F4:F6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pivot="1" sqref="C14:D16 F14:F16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paperSize="9" orientation="portrait" r:id="rId3"/>
  <drawing r:id="rId4"/>
  <extLst>
    <ext xmlns:x14="http://schemas.microsoft.com/office/spreadsheetml/2009/9/main" uri="{A8765BA9-456A-4dab-B4F3-ACF838C121DE}">
      <x14:slicerList>
        <x14:slicer r:id="rId5"/>
      </x14:slicerList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11"/>
  <dimension ref="A1:T91"/>
  <sheetViews>
    <sheetView workbookViewId="0">
      <selection activeCell="H3" sqref="H3"/>
    </sheetView>
  </sheetViews>
  <sheetFormatPr baseColWidth="10" defaultColWidth="10.81640625" defaultRowHeight="16" customHeight="1" x14ac:dyDescent="0.35"/>
  <cols>
    <col min="1" max="1" width="15.1796875" customWidth="1"/>
    <col min="2" max="2" width="40.54296875" customWidth="1"/>
    <col min="3" max="3" width="17" style="46" customWidth="1"/>
    <col min="5" max="5" width="15.1796875" bestFit="1" customWidth="1"/>
    <col min="13" max="13" width="32.81640625" bestFit="1" customWidth="1"/>
    <col min="14" max="14" width="29.54296875" bestFit="1" customWidth="1"/>
    <col min="15" max="15" width="28.54296875" bestFit="1" customWidth="1"/>
    <col min="16" max="16" width="34.1796875" bestFit="1" customWidth="1"/>
    <col min="18" max="18" width="19.54296875" customWidth="1"/>
  </cols>
  <sheetData>
    <row r="1" spans="1:20" ht="16" customHeight="1" x14ac:dyDescent="0.35">
      <c r="A1" s="138" t="s">
        <v>9</v>
      </c>
      <c r="B1" s="131" t="s">
        <v>270</v>
      </c>
      <c r="C1" s="45" t="s">
        <v>395</v>
      </c>
      <c r="D1" s="93" t="s">
        <v>326</v>
      </c>
      <c r="E1" s="45" t="s">
        <v>271</v>
      </c>
      <c r="H1" s="128" t="s">
        <v>297</v>
      </c>
      <c r="L1" s="145" t="s">
        <v>439</v>
      </c>
      <c r="M1" s="145" t="s">
        <v>399</v>
      </c>
      <c r="N1" s="146" t="s">
        <v>397</v>
      </c>
      <c r="O1" s="137" t="s">
        <v>396</v>
      </c>
      <c r="P1" s="138" t="s">
        <v>398</v>
      </c>
      <c r="Q1" s="144"/>
      <c r="R1" s="155" t="s">
        <v>400</v>
      </c>
      <c r="S1" s="143"/>
      <c r="T1" s="155" t="s">
        <v>403</v>
      </c>
    </row>
    <row r="2" spans="1:20" ht="16" customHeight="1" x14ac:dyDescent="0.35">
      <c r="A2" s="139"/>
      <c r="B2" s="248" t="s">
        <v>428</v>
      </c>
      <c r="C2" s="91">
        <v>46218</v>
      </c>
      <c r="D2" s="86" t="s">
        <v>32</v>
      </c>
      <c r="E2" t="str">
        <f ca="1">IF(TODAY()-C2&lt;=30,"1 a 30 dias",IF(TODAY()-C2&lt;=60,"31 a 60 dias","&gt; 60 dias"))</f>
        <v>1 a 30 dias</v>
      </c>
      <c r="H2" s="52">
        <f>+COUNTA(B2:B73)</f>
        <v>10</v>
      </c>
      <c r="M2" s="147"/>
      <c r="N2" s="142"/>
      <c r="P2" s="148"/>
      <c r="R2" t="s">
        <v>401</v>
      </c>
      <c r="T2" t="e">
        <f>+WEEKNUM(1,_xleta.MONTH)</f>
        <v>#VALUE!</v>
      </c>
    </row>
    <row r="3" spans="1:20" ht="16" customHeight="1" x14ac:dyDescent="0.35">
      <c r="A3" s="139"/>
      <c r="B3" s="248" t="s">
        <v>429</v>
      </c>
      <c r="C3" s="91">
        <v>46218</v>
      </c>
      <c r="D3" s="86" t="s">
        <v>32</v>
      </c>
      <c r="E3" t="str">
        <f t="shared" ref="E3:E33" ca="1" si="0">IF(TODAY()-C3&lt;=30,"1 a 30 dias",IF(TODAY()-C3&lt;=60,"31 a 60 dias","&gt; 60 dias"))</f>
        <v>1 a 30 dias</v>
      </c>
      <c r="M3" s="149"/>
      <c r="N3" s="134"/>
      <c r="P3" s="148"/>
      <c r="R3" t="s">
        <v>402</v>
      </c>
    </row>
    <row r="4" spans="1:20" ht="16" customHeight="1" x14ac:dyDescent="0.35">
      <c r="A4" s="139"/>
      <c r="B4" s="248" t="s">
        <v>430</v>
      </c>
      <c r="C4" s="91">
        <v>46218</v>
      </c>
      <c r="D4" s="86" t="s">
        <v>32</v>
      </c>
      <c r="E4" t="str">
        <f t="shared" ca="1" si="0"/>
        <v>1 a 30 dias</v>
      </c>
      <c r="M4" s="147"/>
      <c r="N4" s="141"/>
      <c r="P4" s="148"/>
      <c r="R4" t="s">
        <v>424</v>
      </c>
    </row>
    <row r="5" spans="1:20" ht="16" customHeight="1" x14ac:dyDescent="0.35">
      <c r="A5" s="139"/>
      <c r="B5" s="248" t="s">
        <v>431</v>
      </c>
      <c r="C5" s="91">
        <v>46218</v>
      </c>
      <c r="D5" s="89" t="s">
        <v>32</v>
      </c>
      <c r="E5" t="str">
        <f t="shared" ca="1" si="0"/>
        <v>1 a 30 dias</v>
      </c>
      <c r="M5" s="147"/>
      <c r="N5" s="141"/>
      <c r="P5" s="148"/>
      <c r="R5" t="s">
        <v>425</v>
      </c>
    </row>
    <row r="6" spans="1:20" ht="16" customHeight="1" x14ac:dyDescent="0.35">
      <c r="A6" s="139"/>
      <c r="B6" s="248" t="s">
        <v>432</v>
      </c>
      <c r="C6" s="91">
        <v>46218</v>
      </c>
      <c r="D6" s="89" t="s">
        <v>32</v>
      </c>
      <c r="E6" t="str">
        <f t="shared" ca="1" si="0"/>
        <v>1 a 30 dias</v>
      </c>
      <c r="M6" s="147"/>
      <c r="N6" s="141"/>
      <c r="P6" s="148"/>
      <c r="R6" t="s">
        <v>398</v>
      </c>
    </row>
    <row r="7" spans="1:20" ht="16" customHeight="1" x14ac:dyDescent="0.35">
      <c r="A7" s="139"/>
      <c r="B7" s="248" t="s">
        <v>433</v>
      </c>
      <c r="C7" s="91">
        <v>46218</v>
      </c>
      <c r="D7" s="86" t="s">
        <v>32</v>
      </c>
      <c r="E7" t="str">
        <f t="shared" ca="1" si="0"/>
        <v>1 a 30 dias</v>
      </c>
      <c r="M7" s="147"/>
      <c r="N7" s="141"/>
      <c r="P7" s="148"/>
      <c r="R7" t="s">
        <v>426</v>
      </c>
    </row>
    <row r="8" spans="1:20" ht="16" customHeight="1" x14ac:dyDescent="0.35">
      <c r="A8" s="139"/>
      <c r="B8" s="248" t="s">
        <v>434</v>
      </c>
      <c r="C8" s="91">
        <v>46218</v>
      </c>
      <c r="D8" s="86" t="s">
        <v>32</v>
      </c>
      <c r="E8" t="str">
        <f t="shared" ca="1" si="0"/>
        <v>1 a 30 dias</v>
      </c>
      <c r="M8" s="147"/>
      <c r="N8" s="141"/>
      <c r="P8" s="148"/>
      <c r="R8" t="s">
        <v>396</v>
      </c>
    </row>
    <row r="9" spans="1:20" ht="16" customHeight="1" x14ac:dyDescent="0.35">
      <c r="A9" s="139"/>
      <c r="B9" s="248" t="s">
        <v>435</v>
      </c>
      <c r="C9" s="91">
        <v>46218</v>
      </c>
      <c r="D9" s="86" t="s">
        <v>32</v>
      </c>
      <c r="E9" t="str">
        <f t="shared" ca="1" si="0"/>
        <v>1 a 30 dias</v>
      </c>
      <c r="M9" s="150"/>
      <c r="N9" s="141"/>
      <c r="P9" s="148"/>
    </row>
    <row r="10" spans="1:20" ht="16" customHeight="1" x14ac:dyDescent="0.35">
      <c r="A10" s="139"/>
      <c r="B10" s="248" t="s">
        <v>436</v>
      </c>
      <c r="C10" s="91">
        <v>46218</v>
      </c>
      <c r="D10" s="87" t="s">
        <v>32</v>
      </c>
      <c r="E10" t="str">
        <f t="shared" ca="1" si="0"/>
        <v>1 a 30 dias</v>
      </c>
      <c r="M10" s="147"/>
      <c r="N10" s="141"/>
      <c r="P10" s="148"/>
    </row>
    <row r="11" spans="1:20" ht="16" customHeight="1" x14ac:dyDescent="0.35">
      <c r="A11" s="139"/>
      <c r="B11" s="248" t="s">
        <v>437</v>
      </c>
      <c r="C11" s="91">
        <v>46218</v>
      </c>
      <c r="D11" s="86" t="s">
        <v>32</v>
      </c>
      <c r="E11" t="str">
        <f t="shared" ca="1" si="0"/>
        <v>1 a 30 dias</v>
      </c>
      <c r="M11" s="147"/>
      <c r="N11" s="141"/>
      <c r="P11" s="148"/>
    </row>
    <row r="12" spans="1:20" ht="16" customHeight="1" x14ac:dyDescent="0.35">
      <c r="A12" s="139"/>
      <c r="B12" s="132"/>
      <c r="C12" s="91"/>
      <c r="D12" s="86" t="s">
        <v>32</v>
      </c>
      <c r="E12" t="str">
        <f t="shared" ca="1" si="0"/>
        <v>&gt; 60 dias</v>
      </c>
      <c r="M12" s="147"/>
      <c r="N12" s="141"/>
      <c r="P12" s="148"/>
    </row>
    <row r="13" spans="1:20" ht="16" customHeight="1" x14ac:dyDescent="0.35">
      <c r="A13" s="139"/>
      <c r="B13" s="132"/>
      <c r="C13" s="92"/>
      <c r="D13" s="86" t="s">
        <v>32</v>
      </c>
      <c r="E13" t="str">
        <f t="shared" ca="1" si="0"/>
        <v>&gt; 60 dias</v>
      </c>
      <c r="M13" s="147"/>
      <c r="N13" s="142"/>
      <c r="P13" s="151"/>
    </row>
    <row r="14" spans="1:20" ht="16" customHeight="1" x14ac:dyDescent="0.35">
      <c r="A14" s="139"/>
      <c r="B14" s="132"/>
      <c r="C14" s="92"/>
      <c r="D14" s="86" t="s">
        <v>32</v>
      </c>
      <c r="E14" t="str">
        <f t="shared" ca="1" si="0"/>
        <v>&gt; 60 dias</v>
      </c>
      <c r="M14" s="147"/>
      <c r="N14" s="141"/>
      <c r="P14" s="148"/>
    </row>
    <row r="15" spans="1:20" ht="16" customHeight="1" x14ac:dyDescent="0.35">
      <c r="A15" s="139"/>
      <c r="B15" s="132"/>
      <c r="C15" s="91"/>
      <c r="D15" s="86" t="s">
        <v>32</v>
      </c>
      <c r="E15" t="str">
        <f t="shared" ca="1" si="0"/>
        <v>&gt; 60 dias</v>
      </c>
      <c r="M15" s="152"/>
      <c r="N15" s="141"/>
      <c r="P15" s="148"/>
    </row>
    <row r="16" spans="1:20" ht="16" customHeight="1" x14ac:dyDescent="0.35">
      <c r="A16" s="139"/>
      <c r="B16" s="132"/>
      <c r="C16" s="88"/>
      <c r="D16" s="87" t="s">
        <v>32</v>
      </c>
      <c r="E16" t="str">
        <f t="shared" ca="1" si="0"/>
        <v>&gt; 60 dias</v>
      </c>
      <c r="M16" s="152"/>
      <c r="N16" s="141"/>
      <c r="P16" s="148"/>
    </row>
    <row r="17" spans="1:16" ht="16" customHeight="1" x14ac:dyDescent="0.35">
      <c r="A17" s="139"/>
      <c r="B17" s="132"/>
      <c r="C17" s="92"/>
      <c r="D17" s="86" t="s">
        <v>32</v>
      </c>
      <c r="E17" t="str">
        <f t="shared" ca="1" si="0"/>
        <v>&gt; 60 dias</v>
      </c>
      <c r="M17" s="147"/>
      <c r="P17" s="148"/>
    </row>
    <row r="18" spans="1:16" ht="16" customHeight="1" x14ac:dyDescent="0.35">
      <c r="A18" s="139"/>
      <c r="B18" s="132"/>
      <c r="C18" s="91"/>
      <c r="D18" s="86" t="s">
        <v>32</v>
      </c>
      <c r="E18" t="str">
        <f t="shared" ca="1" si="0"/>
        <v>&gt; 60 dias</v>
      </c>
      <c r="M18" s="147"/>
      <c r="P18" s="148"/>
    </row>
    <row r="19" spans="1:16" ht="16" customHeight="1" x14ac:dyDescent="0.35">
      <c r="A19" s="139"/>
      <c r="B19" s="132"/>
      <c r="C19" s="90"/>
      <c r="D19" s="89" t="s">
        <v>32</v>
      </c>
      <c r="E19" t="str">
        <f t="shared" ca="1" si="0"/>
        <v>&gt; 60 dias</v>
      </c>
      <c r="M19" s="150"/>
      <c r="P19" s="148"/>
    </row>
    <row r="20" spans="1:16" ht="16" customHeight="1" x14ac:dyDescent="0.35">
      <c r="A20" s="139"/>
      <c r="B20" s="133"/>
      <c r="C20" s="91"/>
      <c r="D20" s="86" t="s">
        <v>32</v>
      </c>
      <c r="E20" t="str">
        <f t="shared" ca="1" si="0"/>
        <v>&gt; 60 dias</v>
      </c>
      <c r="M20" s="150"/>
      <c r="P20" s="148"/>
    </row>
    <row r="21" spans="1:16" ht="16" customHeight="1" thickBot="1" x14ac:dyDescent="0.4">
      <c r="A21" s="139"/>
      <c r="B21" s="135"/>
      <c r="C21" s="90"/>
      <c r="D21" s="87" t="s">
        <v>32</v>
      </c>
      <c r="E21" t="str">
        <f t="shared" ca="1" si="0"/>
        <v>&gt; 60 dias</v>
      </c>
      <c r="M21" s="153"/>
      <c r="N21" s="154"/>
      <c r="O21" s="154"/>
      <c r="P21" s="140"/>
    </row>
    <row r="22" spans="1:16" ht="16" customHeight="1" x14ac:dyDescent="0.35">
      <c r="A22" s="139"/>
      <c r="B22" s="132"/>
      <c r="C22" s="90"/>
      <c r="D22" s="89" t="s">
        <v>32</v>
      </c>
      <c r="E22" t="str">
        <f t="shared" ca="1" si="0"/>
        <v>&gt; 60 dias</v>
      </c>
    </row>
    <row r="23" spans="1:16" ht="16" customHeight="1" x14ac:dyDescent="0.35">
      <c r="A23" s="139"/>
      <c r="B23" s="132"/>
      <c r="C23" s="91"/>
      <c r="D23" s="86" t="s">
        <v>32</v>
      </c>
      <c r="E23" t="str">
        <f t="shared" ca="1" si="0"/>
        <v>&gt; 60 dias</v>
      </c>
    </row>
    <row r="24" spans="1:16" ht="16" customHeight="1" x14ac:dyDescent="0.35">
      <c r="A24" s="139"/>
      <c r="B24" s="132"/>
      <c r="C24" s="91"/>
      <c r="D24" s="86" t="s">
        <v>32</v>
      </c>
      <c r="E24" t="str">
        <f t="shared" ca="1" si="0"/>
        <v>&gt; 60 dias</v>
      </c>
    </row>
    <row r="25" spans="1:16" ht="16" customHeight="1" x14ac:dyDescent="0.35">
      <c r="A25" s="139"/>
      <c r="B25" s="132"/>
      <c r="C25" s="91"/>
      <c r="D25" s="86" t="s">
        <v>32</v>
      </c>
      <c r="E25" t="str">
        <f t="shared" ca="1" si="0"/>
        <v>&gt; 60 dias</v>
      </c>
    </row>
    <row r="26" spans="1:16" ht="16" customHeight="1" x14ac:dyDescent="0.35">
      <c r="A26" s="139"/>
      <c r="B26" s="132"/>
      <c r="C26" s="91"/>
      <c r="D26" s="86" t="s">
        <v>32</v>
      </c>
      <c r="E26" t="str">
        <f t="shared" ca="1" si="0"/>
        <v>&gt; 60 dias</v>
      </c>
    </row>
    <row r="27" spans="1:16" ht="16" customHeight="1" x14ac:dyDescent="0.35">
      <c r="A27" s="139"/>
      <c r="B27" s="132"/>
      <c r="C27" s="90"/>
      <c r="D27" s="89" t="s">
        <v>32</v>
      </c>
      <c r="E27" t="str">
        <f t="shared" ca="1" si="0"/>
        <v>&gt; 60 dias</v>
      </c>
    </row>
    <row r="28" spans="1:16" ht="16" customHeight="1" x14ac:dyDescent="0.35">
      <c r="A28" s="139"/>
      <c r="B28" s="132"/>
      <c r="C28" s="90"/>
      <c r="D28" s="89" t="s">
        <v>32</v>
      </c>
      <c r="E28" t="str">
        <f t="shared" ca="1" si="0"/>
        <v>&gt; 60 dias</v>
      </c>
    </row>
    <row r="29" spans="1:16" ht="16" customHeight="1" x14ac:dyDescent="0.35">
      <c r="A29" s="139"/>
      <c r="B29" s="132"/>
      <c r="C29" s="90"/>
      <c r="D29" s="86" t="s">
        <v>32</v>
      </c>
      <c r="E29" t="str">
        <f t="shared" ca="1" si="0"/>
        <v>&gt; 60 dias</v>
      </c>
    </row>
    <row r="30" spans="1:16" ht="16" customHeight="1" x14ac:dyDescent="0.35">
      <c r="A30" s="139"/>
      <c r="B30" s="132"/>
      <c r="C30" s="90"/>
      <c r="D30" s="89" t="s">
        <v>32</v>
      </c>
      <c r="E30" t="str">
        <f t="shared" ca="1" si="0"/>
        <v>&gt; 60 dias</v>
      </c>
    </row>
    <row r="31" spans="1:16" ht="16" customHeight="1" x14ac:dyDescent="0.35">
      <c r="A31" s="139"/>
      <c r="B31" s="132"/>
      <c r="C31" s="91"/>
      <c r="D31" s="86" t="s">
        <v>32</v>
      </c>
      <c r="E31" t="str">
        <f t="shared" ca="1" si="0"/>
        <v>&gt; 60 dias</v>
      </c>
    </row>
    <row r="32" spans="1:16" ht="16" customHeight="1" x14ac:dyDescent="0.35">
      <c r="A32" s="139"/>
      <c r="B32" s="132"/>
      <c r="C32" s="90"/>
      <c r="D32" s="89" t="s">
        <v>32</v>
      </c>
      <c r="E32" t="str">
        <f t="shared" ca="1" si="0"/>
        <v>&gt; 60 dias</v>
      </c>
    </row>
    <row r="33" spans="1:5" ht="16" customHeight="1" x14ac:dyDescent="0.35">
      <c r="A33" s="139"/>
      <c r="B33" s="132"/>
      <c r="C33" s="91"/>
      <c r="D33" s="86" t="s">
        <v>32</v>
      </c>
      <c r="E33" t="str">
        <f t="shared" ca="1" si="0"/>
        <v>&gt; 60 dias</v>
      </c>
    </row>
    <row r="34" spans="1:5" ht="16" customHeight="1" x14ac:dyDescent="0.35">
      <c r="A34" s="139"/>
      <c r="B34" s="132"/>
      <c r="C34" s="90"/>
      <c r="D34" s="89" t="s">
        <v>32</v>
      </c>
      <c r="E34" t="str">
        <f t="shared" ref="E34:E65" ca="1" si="1">IF(TODAY()-C34&lt;=30,"1 a 30 dias",IF(TODAY()-C34&lt;=60,"31 a 60 dias","&gt; 60 dias"))</f>
        <v>&gt; 60 dias</v>
      </c>
    </row>
    <row r="35" spans="1:5" ht="16" customHeight="1" x14ac:dyDescent="0.35">
      <c r="A35" s="139"/>
      <c r="B35" s="132"/>
      <c r="C35" s="91"/>
      <c r="D35" s="86" t="s">
        <v>32</v>
      </c>
      <c r="E35" t="str">
        <f t="shared" ca="1" si="1"/>
        <v>&gt; 60 dias</v>
      </c>
    </row>
    <row r="36" spans="1:5" ht="16" customHeight="1" x14ac:dyDescent="0.35">
      <c r="A36" s="139"/>
      <c r="B36" s="132"/>
      <c r="C36" s="91"/>
      <c r="D36" s="86" t="s">
        <v>32</v>
      </c>
      <c r="E36" t="str">
        <f t="shared" ca="1" si="1"/>
        <v>&gt; 60 dias</v>
      </c>
    </row>
    <row r="37" spans="1:5" ht="16" customHeight="1" x14ac:dyDescent="0.35">
      <c r="A37" s="139"/>
      <c r="B37" s="132"/>
      <c r="C37" s="91"/>
      <c r="D37" s="86" t="s">
        <v>32</v>
      </c>
      <c r="E37" t="str">
        <f t="shared" ca="1" si="1"/>
        <v>&gt; 60 dias</v>
      </c>
    </row>
    <row r="38" spans="1:5" ht="16" customHeight="1" x14ac:dyDescent="0.35">
      <c r="A38" s="139"/>
      <c r="B38" s="132"/>
      <c r="C38" s="91"/>
      <c r="D38" s="86" t="s">
        <v>32</v>
      </c>
      <c r="E38" t="str">
        <f t="shared" ca="1" si="1"/>
        <v>&gt; 60 dias</v>
      </c>
    </row>
    <row r="39" spans="1:5" ht="16" customHeight="1" x14ac:dyDescent="0.35">
      <c r="A39" s="139"/>
      <c r="B39" s="132"/>
      <c r="C39" s="91"/>
      <c r="D39" s="86" t="s">
        <v>32</v>
      </c>
      <c r="E39" t="str">
        <f t="shared" ca="1" si="1"/>
        <v>&gt; 60 dias</v>
      </c>
    </row>
    <row r="40" spans="1:5" ht="16" customHeight="1" x14ac:dyDescent="0.35">
      <c r="A40" s="139"/>
      <c r="B40" s="132"/>
      <c r="C40" s="92"/>
      <c r="D40" s="86" t="s">
        <v>32</v>
      </c>
      <c r="E40" t="str">
        <f t="shared" ca="1" si="1"/>
        <v>&gt; 60 dias</v>
      </c>
    </row>
    <row r="41" spans="1:5" ht="16" customHeight="1" x14ac:dyDescent="0.35">
      <c r="A41" s="139"/>
      <c r="B41" s="136"/>
      <c r="C41" s="88"/>
      <c r="D41" s="87" t="s">
        <v>32</v>
      </c>
      <c r="E41" t="str">
        <f t="shared" ca="1" si="1"/>
        <v>&gt; 60 dias</v>
      </c>
    </row>
    <row r="42" spans="1:5" ht="16" customHeight="1" x14ac:dyDescent="0.35">
      <c r="A42" s="139"/>
      <c r="B42" s="132"/>
      <c r="C42" s="90"/>
      <c r="D42" s="86" t="s">
        <v>32</v>
      </c>
      <c r="E42" t="str">
        <f t="shared" ca="1" si="1"/>
        <v>&gt; 60 dias</v>
      </c>
    </row>
    <row r="43" spans="1:5" ht="16" customHeight="1" x14ac:dyDescent="0.35">
      <c r="A43" s="139"/>
      <c r="B43" s="132"/>
      <c r="C43" s="91"/>
      <c r="D43" s="86" t="s">
        <v>32</v>
      </c>
      <c r="E43" t="str">
        <f t="shared" ca="1" si="1"/>
        <v>&gt; 60 dias</v>
      </c>
    </row>
    <row r="44" spans="1:5" ht="16" customHeight="1" x14ac:dyDescent="0.35">
      <c r="A44" s="139"/>
      <c r="B44" s="132"/>
      <c r="C44" s="90"/>
      <c r="D44" s="89" t="s">
        <v>32</v>
      </c>
      <c r="E44" t="str">
        <f t="shared" ca="1" si="1"/>
        <v>&gt; 60 dias</v>
      </c>
    </row>
    <row r="45" spans="1:5" ht="16" customHeight="1" x14ac:dyDescent="0.35">
      <c r="A45" s="139"/>
      <c r="B45" s="132"/>
      <c r="C45" s="90"/>
      <c r="D45" s="89" t="s">
        <v>32</v>
      </c>
      <c r="E45" t="str">
        <f t="shared" ca="1" si="1"/>
        <v>&gt; 60 dias</v>
      </c>
    </row>
    <row r="46" spans="1:5" ht="16" customHeight="1" x14ac:dyDescent="0.35">
      <c r="A46" s="139"/>
      <c r="B46" s="132"/>
      <c r="C46" s="91"/>
      <c r="D46" s="86" t="s">
        <v>32</v>
      </c>
      <c r="E46" t="str">
        <f t="shared" ca="1" si="1"/>
        <v>&gt; 60 dias</v>
      </c>
    </row>
    <row r="47" spans="1:5" ht="16" customHeight="1" x14ac:dyDescent="0.35">
      <c r="A47" s="139"/>
      <c r="B47" s="132"/>
      <c r="C47" s="91"/>
      <c r="D47" s="86" t="s">
        <v>32</v>
      </c>
      <c r="E47" t="str">
        <f t="shared" ca="1" si="1"/>
        <v>&gt; 60 dias</v>
      </c>
    </row>
    <row r="48" spans="1:5" ht="16" customHeight="1" x14ac:dyDescent="0.35">
      <c r="A48" s="139"/>
      <c r="B48" s="132"/>
      <c r="C48" s="90"/>
      <c r="D48" s="89" t="s">
        <v>32</v>
      </c>
      <c r="E48" t="str">
        <f t="shared" ca="1" si="1"/>
        <v>&gt; 60 dias</v>
      </c>
    </row>
    <row r="49" spans="1:5" ht="16" customHeight="1" x14ac:dyDescent="0.35">
      <c r="A49" s="139"/>
      <c r="B49" s="132"/>
      <c r="C49" s="91"/>
      <c r="D49" s="86" t="s">
        <v>32</v>
      </c>
      <c r="E49" t="str">
        <f t="shared" ca="1" si="1"/>
        <v>&gt; 60 dias</v>
      </c>
    </row>
    <row r="50" spans="1:5" ht="16" customHeight="1" x14ac:dyDescent="0.35">
      <c r="A50" s="139"/>
      <c r="B50" s="132"/>
      <c r="C50" s="91"/>
      <c r="D50" s="86" t="s">
        <v>32</v>
      </c>
      <c r="E50" t="str">
        <f t="shared" ca="1" si="1"/>
        <v>&gt; 60 dias</v>
      </c>
    </row>
    <row r="51" spans="1:5" ht="16" customHeight="1" x14ac:dyDescent="0.35">
      <c r="A51" s="139"/>
      <c r="B51" s="132"/>
      <c r="C51" s="90"/>
      <c r="D51" s="89" t="s">
        <v>32</v>
      </c>
      <c r="E51" t="str">
        <f t="shared" ca="1" si="1"/>
        <v>&gt; 60 dias</v>
      </c>
    </row>
    <row r="52" spans="1:5" ht="16" customHeight="1" x14ac:dyDescent="0.35">
      <c r="A52" s="139"/>
      <c r="B52" s="132"/>
      <c r="C52" s="91"/>
      <c r="D52" s="86" t="s">
        <v>32</v>
      </c>
      <c r="E52" t="str">
        <f t="shared" ca="1" si="1"/>
        <v>&gt; 60 dias</v>
      </c>
    </row>
    <row r="53" spans="1:5" ht="16" customHeight="1" x14ac:dyDescent="0.35">
      <c r="A53" s="139"/>
      <c r="B53" s="132"/>
      <c r="C53" s="90"/>
      <c r="D53" s="86" t="s">
        <v>32</v>
      </c>
      <c r="E53" t="str">
        <f t="shared" ca="1" si="1"/>
        <v>&gt; 60 dias</v>
      </c>
    </row>
    <row r="54" spans="1:5" ht="16" customHeight="1" x14ac:dyDescent="0.35">
      <c r="A54" s="139"/>
      <c r="B54" s="133"/>
      <c r="C54" s="91"/>
      <c r="D54" s="86" t="s">
        <v>32</v>
      </c>
      <c r="E54" t="str">
        <f t="shared" ca="1" si="1"/>
        <v>&gt; 60 dias</v>
      </c>
    </row>
    <row r="55" spans="1:5" ht="16" customHeight="1" x14ac:dyDescent="0.35">
      <c r="A55" s="139"/>
      <c r="B55" s="136"/>
      <c r="C55" s="127"/>
      <c r="D55" s="85" t="s">
        <v>32</v>
      </c>
      <c r="E55" t="str">
        <f t="shared" ca="1" si="1"/>
        <v>&gt; 60 dias</v>
      </c>
    </row>
    <row r="56" spans="1:5" ht="16" customHeight="1" x14ac:dyDescent="0.35">
      <c r="A56" s="139"/>
      <c r="B56" s="136"/>
      <c r="C56" s="127"/>
      <c r="D56" s="85" t="s">
        <v>32</v>
      </c>
      <c r="E56" t="str">
        <f t="shared" ca="1" si="1"/>
        <v>&gt; 60 dias</v>
      </c>
    </row>
    <row r="57" spans="1:5" ht="16" customHeight="1" x14ac:dyDescent="0.35">
      <c r="A57" s="139"/>
      <c r="B57" s="132"/>
      <c r="C57" s="91"/>
      <c r="D57" s="86" t="s">
        <v>32</v>
      </c>
      <c r="E57" t="str">
        <f t="shared" ca="1" si="1"/>
        <v>&gt; 60 dias</v>
      </c>
    </row>
    <row r="58" spans="1:5" ht="16" customHeight="1" x14ac:dyDescent="0.35">
      <c r="A58" s="139"/>
      <c r="B58" s="132"/>
      <c r="C58" s="91"/>
      <c r="D58" s="86" t="s">
        <v>32</v>
      </c>
      <c r="E58" t="str">
        <f t="shared" ca="1" si="1"/>
        <v>&gt; 60 dias</v>
      </c>
    </row>
    <row r="59" spans="1:5" ht="16" customHeight="1" x14ac:dyDescent="0.35">
      <c r="A59" s="139"/>
      <c r="B59" s="132"/>
      <c r="C59" s="91"/>
      <c r="D59" s="86" t="s">
        <v>32</v>
      </c>
      <c r="E59" t="str">
        <f t="shared" ca="1" si="1"/>
        <v>&gt; 60 dias</v>
      </c>
    </row>
    <row r="60" spans="1:5" ht="16" customHeight="1" x14ac:dyDescent="0.35">
      <c r="A60" s="139"/>
      <c r="B60" s="132"/>
      <c r="C60" s="90"/>
      <c r="D60" s="89" t="s">
        <v>32</v>
      </c>
      <c r="E60" t="str">
        <f t="shared" ca="1" si="1"/>
        <v>&gt; 60 dias</v>
      </c>
    </row>
    <row r="61" spans="1:5" ht="16" customHeight="1" x14ac:dyDescent="0.35">
      <c r="A61" s="139"/>
      <c r="B61" s="132"/>
      <c r="C61" s="91"/>
      <c r="D61" s="86" t="s">
        <v>32</v>
      </c>
      <c r="E61" t="str">
        <f t="shared" ca="1" si="1"/>
        <v>&gt; 60 dias</v>
      </c>
    </row>
    <row r="62" spans="1:5" ht="16" customHeight="1" x14ac:dyDescent="0.35">
      <c r="A62" s="139"/>
      <c r="B62" s="132"/>
      <c r="C62" s="91"/>
      <c r="D62" s="86" t="s">
        <v>32</v>
      </c>
      <c r="E62" t="str">
        <f t="shared" ca="1" si="1"/>
        <v>&gt; 60 dias</v>
      </c>
    </row>
    <row r="63" spans="1:5" ht="16" customHeight="1" x14ac:dyDescent="0.35">
      <c r="A63" s="139"/>
      <c r="B63" s="132"/>
      <c r="C63" s="91"/>
      <c r="D63" s="86" t="s">
        <v>32</v>
      </c>
      <c r="E63" t="str">
        <f t="shared" ca="1" si="1"/>
        <v>&gt; 60 dias</v>
      </c>
    </row>
    <row r="64" spans="1:5" ht="16" customHeight="1" x14ac:dyDescent="0.35">
      <c r="A64" s="139"/>
      <c r="B64" s="132"/>
      <c r="C64" s="91"/>
      <c r="D64" s="86" t="s">
        <v>32</v>
      </c>
      <c r="E64" t="str">
        <f t="shared" ca="1" si="1"/>
        <v>&gt; 60 dias</v>
      </c>
    </row>
    <row r="65" spans="1:5" ht="16" customHeight="1" x14ac:dyDescent="0.35">
      <c r="A65" s="139"/>
      <c r="B65" s="132"/>
      <c r="C65" s="91"/>
      <c r="D65" s="86" t="s">
        <v>32</v>
      </c>
      <c r="E65" t="str">
        <f t="shared" ca="1" si="1"/>
        <v>&gt; 60 dias</v>
      </c>
    </row>
    <row r="66" spans="1:5" ht="16" customHeight="1" x14ac:dyDescent="0.35">
      <c r="A66" s="139"/>
      <c r="B66" s="132"/>
      <c r="C66" s="92"/>
      <c r="D66" s="86" t="s">
        <v>32</v>
      </c>
      <c r="E66" t="str">
        <f t="shared" ref="E66:E73" ca="1" si="2">IF(TODAY()-C66&lt;=30,"1 a 30 dias",IF(TODAY()-C66&lt;=60,"31 a 60 dias","&gt; 60 dias"))</f>
        <v>&gt; 60 dias</v>
      </c>
    </row>
    <row r="67" spans="1:5" ht="16" customHeight="1" x14ac:dyDescent="0.35">
      <c r="A67" s="139"/>
      <c r="B67" s="132"/>
      <c r="C67" s="91"/>
      <c r="D67" s="86" t="s">
        <v>32</v>
      </c>
      <c r="E67" t="str">
        <f t="shared" ca="1" si="2"/>
        <v>&gt; 60 dias</v>
      </c>
    </row>
    <row r="68" spans="1:5" ht="16" customHeight="1" x14ac:dyDescent="0.35">
      <c r="A68" s="139"/>
      <c r="B68" s="132"/>
      <c r="C68" s="92"/>
      <c r="D68" s="86" t="s">
        <v>32</v>
      </c>
      <c r="E68" t="str">
        <f t="shared" ca="1" si="2"/>
        <v>&gt; 60 dias</v>
      </c>
    </row>
    <row r="69" spans="1:5" ht="16" customHeight="1" x14ac:dyDescent="0.35">
      <c r="A69" s="139"/>
      <c r="B69" s="135"/>
      <c r="C69" s="90"/>
      <c r="D69" s="87" t="s">
        <v>32</v>
      </c>
      <c r="E69" t="str">
        <f t="shared" ca="1" si="2"/>
        <v>&gt; 60 dias</v>
      </c>
    </row>
    <row r="70" spans="1:5" ht="16" customHeight="1" x14ac:dyDescent="0.35">
      <c r="A70" s="139"/>
      <c r="B70" s="135"/>
      <c r="C70" s="90"/>
      <c r="D70" s="87" t="s">
        <v>32</v>
      </c>
      <c r="E70" t="str">
        <f t="shared" ca="1" si="2"/>
        <v>&gt; 60 dias</v>
      </c>
    </row>
    <row r="71" spans="1:5" ht="16" customHeight="1" x14ac:dyDescent="0.35">
      <c r="A71" s="139"/>
      <c r="B71" s="132"/>
      <c r="C71" s="92"/>
      <c r="D71" s="86" t="s">
        <v>32</v>
      </c>
      <c r="E71" t="str">
        <f t="shared" ca="1" si="2"/>
        <v>&gt; 60 dias</v>
      </c>
    </row>
    <row r="72" spans="1:5" ht="16" customHeight="1" x14ac:dyDescent="0.35">
      <c r="A72" s="139"/>
      <c r="B72" s="132"/>
      <c r="C72" s="91"/>
      <c r="D72" s="86" t="s">
        <v>32</v>
      </c>
      <c r="E72" t="str">
        <f t="shared" ca="1" si="2"/>
        <v>&gt; 60 dias</v>
      </c>
    </row>
    <row r="73" spans="1:5" ht="16" customHeight="1" thickBot="1" x14ac:dyDescent="0.4">
      <c r="A73" s="140"/>
      <c r="B73" s="132"/>
      <c r="C73" s="91"/>
      <c r="D73" s="86" t="s">
        <v>32</v>
      </c>
      <c r="E73" t="str">
        <f t="shared" ca="1" si="2"/>
        <v>&gt; 60 dias</v>
      </c>
    </row>
    <row r="74" spans="1:5" ht="16" customHeight="1" x14ac:dyDescent="0.35">
      <c r="C74"/>
    </row>
    <row r="75" spans="1:5" ht="16" customHeight="1" x14ac:dyDescent="0.35">
      <c r="C75"/>
    </row>
    <row r="76" spans="1:5" ht="16" customHeight="1" x14ac:dyDescent="0.35">
      <c r="C76"/>
    </row>
    <row r="77" spans="1:5" ht="16" customHeight="1" x14ac:dyDescent="0.35">
      <c r="C77"/>
    </row>
    <row r="78" spans="1:5" ht="16" customHeight="1" x14ac:dyDescent="0.35">
      <c r="C78"/>
    </row>
    <row r="79" spans="1:5" ht="16" customHeight="1" x14ac:dyDescent="0.35">
      <c r="C79"/>
    </row>
    <row r="80" spans="1:5" ht="16" customHeight="1" x14ac:dyDescent="0.35">
      <c r="C80"/>
    </row>
    <row r="81" spans="3:3" ht="16" customHeight="1" x14ac:dyDescent="0.35">
      <c r="C81"/>
    </row>
    <row r="82" spans="3:3" ht="16" customHeight="1" x14ac:dyDescent="0.35">
      <c r="C82"/>
    </row>
    <row r="83" spans="3:3" ht="16" customHeight="1" x14ac:dyDescent="0.35">
      <c r="C83"/>
    </row>
    <row r="84" spans="3:3" ht="16" customHeight="1" x14ac:dyDescent="0.35">
      <c r="C84"/>
    </row>
    <row r="85" spans="3:3" ht="16" customHeight="1" x14ac:dyDescent="0.35">
      <c r="C85"/>
    </row>
    <row r="86" spans="3:3" ht="16" customHeight="1" x14ac:dyDescent="0.35">
      <c r="C86"/>
    </row>
    <row r="87" spans="3:3" ht="16" customHeight="1" x14ac:dyDescent="0.35">
      <c r="C87"/>
    </row>
    <row r="88" spans="3:3" ht="16" customHeight="1" x14ac:dyDescent="0.35">
      <c r="C88"/>
    </row>
    <row r="89" spans="3:3" ht="16" customHeight="1" x14ac:dyDescent="0.35">
      <c r="C89"/>
    </row>
    <row r="90" spans="3:3" ht="16" customHeight="1" x14ac:dyDescent="0.35">
      <c r="C90"/>
    </row>
    <row r="91" spans="3:3" ht="16" customHeight="1" x14ac:dyDescent="0.35">
      <c r="C91"/>
    </row>
  </sheetData>
  <conditionalFormatting sqref="B92:B1048576 B1 B12:B73">
    <cfRule type="duplicateValues" dxfId="82" priority="14"/>
  </conditionalFormatting>
  <conditionalFormatting sqref="A1">
    <cfRule type="duplicateValues" dxfId="81" priority="13"/>
  </conditionalFormatting>
  <conditionalFormatting sqref="L1:N1">
    <cfRule type="duplicateValues" dxfId="80" priority="12"/>
  </conditionalFormatting>
  <conditionalFormatting sqref="P1">
    <cfRule type="duplicateValues" dxfId="79" priority="10"/>
  </conditionalFormatting>
  <conditionalFormatting sqref="O1">
    <cfRule type="duplicateValues" dxfId="78" priority="9"/>
  </conditionalFormatting>
  <conditionalFormatting sqref="R1">
    <cfRule type="duplicateValues" dxfId="77" priority="8"/>
  </conditionalFormatting>
  <conditionalFormatting sqref="Q1">
    <cfRule type="duplicateValues" dxfId="76" priority="7"/>
  </conditionalFormatting>
  <conditionalFormatting sqref="T1">
    <cfRule type="duplicateValues" dxfId="75" priority="6"/>
  </conditionalFormatting>
  <conditionalFormatting sqref="S1">
    <cfRule type="duplicateValues" dxfId="74" priority="5"/>
  </conditionalFormatting>
  <conditionalFormatting sqref="M2:M21">
    <cfRule type="duplicateValues" dxfId="73" priority="4"/>
  </conditionalFormatting>
  <conditionalFormatting sqref="N2:N16">
    <cfRule type="duplicateValues" dxfId="72" priority="3"/>
  </conditionalFormatting>
  <conditionalFormatting sqref="P2:P20">
    <cfRule type="duplicateValues" dxfId="71" priority="2"/>
  </conditionalFormatting>
  <pageMargins left="0.7" right="0.7" top="0.75" bottom="0.75" header="0.3" footer="0.3"/>
  <pageSetup orientation="portrait"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947E685F5F1B8B439682AF21881E4F17" ma:contentTypeVersion="4" ma:contentTypeDescription="Crear nuevo documento." ma:contentTypeScope="" ma:versionID="58d28d9d85110a2fc92e55a9172647ac">
  <xsd:schema xmlns:xsd="http://www.w3.org/2001/XMLSchema" xmlns:xs="http://www.w3.org/2001/XMLSchema" xmlns:p="http://schemas.microsoft.com/office/2006/metadata/properties" xmlns:ns2="bb58900e-8763-4e13-b011-05910b2ed11c" targetNamespace="http://schemas.microsoft.com/office/2006/metadata/properties" ma:root="true" ma:fieldsID="119637995060ccb5fcca4e5aa68f8dda" ns2:_="">
    <xsd:import namespace="bb58900e-8763-4e13-b011-05910b2ed11c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b58900e-8763-4e13-b011-05910b2ed11c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bjectDetectorVersions" ma:index="10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11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37F842FD-F1D2-4479-96F8-BC66161EFE66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E0B3B4B3-3603-4A65-AE9C-F19D60B7777F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bb58900e-8763-4e13-b011-05910b2ed11c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8A46BF21-6719-4D93-AAEC-D62E7E559480}">
  <ds:schemaRefs>
    <ds:schemaRef ds:uri="http://schemas.microsoft.com/office/2006/documentManagement/types"/>
    <ds:schemaRef ds:uri="http://purl.org/dc/terms/"/>
    <ds:schemaRef ds:uri="http://purl.org/dc/dcmitype/"/>
    <ds:schemaRef ds:uri="http://purl.org/dc/elements/1.1/"/>
    <ds:schemaRef ds:uri="bb58900e-8763-4e13-b011-05910b2ed11c"/>
    <ds:schemaRef ds:uri="http://www.w3.org/XML/1998/namespace"/>
    <ds:schemaRef ds:uri="http://schemas.microsoft.com/office/infopath/2007/PartnerControls"/>
    <ds:schemaRef ds:uri="http://schemas.openxmlformats.org/package/2006/metadata/core-properties"/>
    <ds:schemaRef ds:uri="http://schemas.microsoft.com/office/2006/metadata/propertie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11</vt:i4>
      </vt:variant>
      <vt:variant>
        <vt:lpstr>Rangos con nombre</vt:lpstr>
      </vt:variant>
      <vt:variant>
        <vt:i4>3</vt:i4>
      </vt:variant>
    </vt:vector>
  </HeadingPairs>
  <TitlesOfParts>
    <vt:vector size="14" baseType="lpstr">
      <vt:lpstr>Evalucion</vt:lpstr>
      <vt:lpstr>BD</vt:lpstr>
      <vt:lpstr>preguntas vs factores</vt:lpstr>
      <vt:lpstr>Acumulado</vt:lpstr>
      <vt:lpstr>Resultado general</vt:lpstr>
      <vt:lpstr>Resultado por Campaña</vt:lpstr>
      <vt:lpstr>Resultado por supervisor</vt:lpstr>
      <vt:lpstr>Resultado por agente</vt:lpstr>
      <vt:lpstr>Resultado por atributo</vt:lpstr>
      <vt:lpstr>Graficos</vt:lpstr>
      <vt:lpstr>HC</vt:lpstr>
      <vt:lpstr>Agentes</vt:lpstr>
      <vt:lpstr>Supervisor</vt:lpstr>
      <vt:lpstr>Supervisor1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Daniel Anaya</dc:creator>
  <cp:keywords/>
  <dc:description/>
  <cp:lastModifiedBy>Shanyda Botello</cp:lastModifiedBy>
  <cp:revision/>
  <dcterms:created xsi:type="dcterms:W3CDTF">2022-11-02T16:11:27Z</dcterms:created>
  <dcterms:modified xsi:type="dcterms:W3CDTF">2026-07-27T20:38:42Z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0x010100947E685F5F1B8B439682AF21881E4F17</vt:lpwstr>
  </property>
</Properties>
</file>