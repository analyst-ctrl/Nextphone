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2.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Hoja9" sheetId="1" r:id="rId4"/>
    <sheet state="hidden" name="Vendedores Reno" sheetId="2" r:id="rId5"/>
    <sheet state="hidden" name=" Vendedores P2P" sheetId="3" r:id="rId6"/>
    <sheet state="visible" name="Renovaciones" sheetId="4" r:id="rId7"/>
    <sheet state="hidden" name="Hoja2" sheetId="5" r:id="rId8"/>
    <sheet state="visible" name="P2P" sheetId="6" r:id="rId9"/>
    <sheet state="hidden" name="Análisis x Recargador" sheetId="7" r:id="rId10"/>
    <sheet state="hidden" name="Meta diaria" sheetId="8" r:id="rId11"/>
    <sheet state="hidden" name="Hoja1" sheetId="9" r:id="rId12"/>
    <sheet state="hidden" name="evidencia" sheetId="10" r:id="rId13"/>
  </sheets>
  <definedNames>
    <definedName name="ANT">' Vendedores P2P'!#REF!</definedName>
    <definedName name="SegmentaciónDeDatos_Año">#REF!</definedName>
    <definedName name="SegmentaciónDeDatos_Mes1">#REF!</definedName>
    <definedName name="ANTP">' Vendedores P2P'!$V$2:$AC$41</definedName>
    <definedName name="SegmentaciónDeDatos_MES">#REF!</definedName>
    <definedName name="SegmentaciónDeDatos_Año1">#REF!</definedName>
    <definedName name="antR">'Vendedores Reno'!$V$2:$AE$39</definedName>
    <definedName hidden="1" localSheetId="2" name="_xlnm._FilterDatabase">' Vendedores P2P'!$B$2:$Q$38</definedName>
    <definedName hidden="1" localSheetId="3" name="_xlnm._FilterDatabase">Renovaciones!$F$47:$V$83</definedName>
    <definedName hidden="1" localSheetId="5" name="_xlnm._FilterDatabase">P2P!$F$43:$T$72</definedName>
    <definedName hidden="1" localSheetId="3" name="Z_0F4F9DCB_5B4C_45A5_A570_C803B034AC2E_.wvu.FilterData">Renovaciones!$F$7:$AB$26</definedName>
    <definedName hidden="1" localSheetId="5" name="Z_0F4F9DCB_5B4C_45A5_A570_C803B034AC2E_.wvu.FilterData">P2P!$F$8:$AB$23</definedName>
    <definedName hidden="1" localSheetId="3" name="Z_A4C2A468_0581_4164_B1DD_FF740B5AE284_.wvu.FilterData">Renovaciones!$F$7:$AB$26</definedName>
    <definedName hidden="1" localSheetId="5" name="Z_A4C2A468_0581_4164_B1DD_FF740B5AE284_.wvu.FilterData">P2P!$F$8:$AB$23</definedName>
    <definedName name="SlicerCache_Table_1_Col_1">#N/A</definedName>
    <definedName name="SlicerCache_Table_1_Col_2">#N/A</definedName>
    <definedName name="SlicerCache_Table_2_Col_1">#N/A</definedName>
    <definedName name="SlicerCache_Table_2_Col_2">#N/A</definedName>
  </definedNames>
  <calcPr/>
  <customWorkbookViews>
    <customWorkbookView activeSheetId="0" maximized="1" windowHeight="0" windowWidth="0" guid="{0F4F9DCB-5B4C-45A5-A570-C803B034AC2E}" name="Filtro 1"/>
    <customWorkbookView activeSheetId="0" maximized="1" windowHeight="0" windowWidth="0" guid="{A4C2A468-0581-4164-B1DD-FF740B5AE284}" name="Filtro 2"/>
  </customWorkbookViews>
  <extLst>
    <ext uri="GoogleSheetsCustomDataVersion2">
      <go:sheetsCustomData xmlns:go="http://customooxmlschemas.google.com/" r:id="rId18" roundtripDataChecksum="z3a8trSz2SZmtoL2UzvKALXczNfbmoELzfYAq6v+pUE="/>
    </ext>
    <ext uri="{46BE6895-7355-4a93-B00E-2C351335B9C9}">
      <x15:slicerCaches>
        <x14:slicerCache r:id="rId14"/>
        <x14:slicerCache r:id="rId15"/>
        <x14:slicerCache r:id="rId16"/>
        <x14:slicerCache r:id="rId17"/>
      </x15:slicerCaches>
    </ext>
  </extLst>
</workbook>
</file>

<file path=xl/sharedStrings.xml><?xml version="1.0" encoding="utf-8"?>
<sst xmlns="http://schemas.openxmlformats.org/spreadsheetml/2006/main" count="1138" uniqueCount="304">
  <si>
    <t>JUNIO</t>
  </si>
  <si>
    <t>MAYO</t>
  </si>
  <si>
    <t>Supervisor</t>
  </si>
  <si>
    <t>Asesores</t>
  </si>
  <si>
    <t xml:space="preserve">  Contacto Real</t>
  </si>
  <si>
    <t xml:space="preserve"> X diario Contacto Real</t>
  </si>
  <si>
    <t xml:space="preserve">  Ventas Moviles Ingresadas</t>
  </si>
  <si>
    <t xml:space="preserve"> Total Renov. Fact</t>
  </si>
  <si>
    <t xml:space="preserve"> Total FACT Movil</t>
  </si>
  <si>
    <t xml:space="preserve">  Fijo Instalado</t>
  </si>
  <si>
    <t xml:space="preserve"> RGU Inst</t>
  </si>
  <si>
    <t xml:space="preserve">  Tasa de cierre Movl</t>
  </si>
  <si>
    <t xml:space="preserve"> QRT x Ventas Fact</t>
  </si>
  <si>
    <t xml:space="preserve"> FACT Movil</t>
  </si>
  <si>
    <t>Tasa de Cierre Movil</t>
  </si>
  <si>
    <t xml:space="preserve">  MCR</t>
  </si>
  <si>
    <t>Jonathan Ortega</t>
  </si>
  <si>
    <t>Roderick Tack</t>
  </si>
  <si>
    <t>Alma Rosa Delago Garcia</t>
  </si>
  <si>
    <t>Manuel Garcia</t>
  </si>
  <si>
    <t>Yosuany Muñoz</t>
  </si>
  <si>
    <t>Ronaldo Rivera</t>
  </si>
  <si>
    <t>Cristian Vega</t>
  </si>
  <si>
    <t>Ariadna Vasquez</t>
  </si>
  <si>
    <t>Emanuel Velez</t>
  </si>
  <si>
    <t>Valentina Ochoa</t>
  </si>
  <si>
    <t>Josue Vasquez</t>
  </si>
  <si>
    <t>Yadira Isabel Fajardo Gil</t>
  </si>
  <si>
    <t>Gladis Peralta</t>
  </si>
  <si>
    <t>Yeimy Caicedo</t>
  </si>
  <si>
    <t>Abdiel Alberto Vanega Simpson</t>
  </si>
  <si>
    <t>Roberto Palacios</t>
  </si>
  <si>
    <t>Sanneth Soberon</t>
  </si>
  <si>
    <t>Amarilis Ramos</t>
  </si>
  <si>
    <t>Lerys Ariana Barrios Chacon</t>
  </si>
  <si>
    <t>Ashley Sanchez</t>
  </si>
  <si>
    <t>Yatzari Pimentel</t>
  </si>
  <si>
    <t>Valeri Ambulo</t>
  </si>
  <si>
    <t>Aleshka Ambulo</t>
  </si>
  <si>
    <t>Emily Forero</t>
  </si>
  <si>
    <t>Ediany Delgado</t>
  </si>
  <si>
    <t>Yahaira Yorlenes Vega Castañedas</t>
  </si>
  <si>
    <t>Vanessa Guevara</t>
  </si>
  <si>
    <t>Modeiza Rivas</t>
  </si>
  <si>
    <t>Yhilary Frheily Santamaría Acosta</t>
  </si>
  <si>
    <t>Milen Dayanis Julio De La Cruz</t>
  </si>
  <si>
    <t xml:space="preserve">Geraldine Ovalles </t>
  </si>
  <si>
    <t>Alexander Jonathan Coley Ortega</t>
  </si>
  <si>
    <t>Antonio Rivera Ayarza</t>
  </si>
  <si>
    <t>Nazario Rengifo</t>
  </si>
  <si>
    <t>Frank Castillo</t>
  </si>
  <si>
    <t>Jonathan Leonel McClean Marín</t>
  </si>
  <si>
    <t>Kevin Torres</t>
  </si>
  <si>
    <t>Abdiel Meléndez</t>
  </si>
  <si>
    <t>Mónica Pérez</t>
  </si>
  <si>
    <t>Yuleymi Pulgarin</t>
  </si>
  <si>
    <t>Miguel Ángel Flores</t>
  </si>
  <si>
    <t>Kamaris Rogers</t>
  </si>
  <si>
    <t>Vendedor</t>
  </si>
  <si>
    <t>X Contacto Real diario</t>
  </si>
  <si>
    <t xml:space="preserve">  Tasa de cierre</t>
  </si>
  <si>
    <t>Lizeth Gonzalez</t>
  </si>
  <si>
    <t>Rose Cedeño</t>
  </si>
  <si>
    <t>Rafael Alejandro Jordan Garrido</t>
  </si>
  <si>
    <t>Jesus Grant</t>
  </si>
  <si>
    <t>Gustavo Carrión</t>
  </si>
  <si>
    <t>Jose Luis Reyes</t>
  </si>
  <si>
    <t>Viviana Sarria</t>
  </si>
  <si>
    <t>Erika White</t>
  </si>
  <si>
    <t>Roberto Valdiviezo</t>
  </si>
  <si>
    <t>Abdiel Espinosa</t>
  </si>
  <si>
    <t>Eloisa Ojo</t>
  </si>
  <si>
    <t>Madelay Castillo</t>
  </si>
  <si>
    <t>Luis Abdiel Aguilar Pinillo</t>
  </si>
  <si>
    <t>Eleuterio Guevara</t>
  </si>
  <si>
    <t>Joswer Acosta</t>
  </si>
  <si>
    <t>Alejandra Nuñez</t>
  </si>
  <si>
    <t>Anays Ellis</t>
  </si>
  <si>
    <t>Liseth Rangel</t>
  </si>
  <si>
    <t>David Gonzalez</t>
  </si>
  <si>
    <t>Taisha Catillo</t>
  </si>
  <si>
    <t>Nairobu Samaniego</t>
  </si>
  <si>
    <t>Astrid Camaño</t>
  </si>
  <si>
    <t>Yaelin Bethancourt</t>
  </si>
  <si>
    <t>Maycol Lima</t>
  </si>
  <si>
    <t>Rolando Bryan</t>
  </si>
  <si>
    <t>Hazel Bermudez</t>
  </si>
  <si>
    <t>Emily Nicolle Trejos Alvarado</t>
  </si>
  <si>
    <t>Mirna Rodriguez</t>
  </si>
  <si>
    <t>Luis Rafael Gonzalez</t>
  </si>
  <si>
    <t>Greybis Meza</t>
  </si>
  <si>
    <t>Lee Omar Dean Valenzuela</t>
  </si>
  <si>
    <t>Marielvis Sibaja</t>
  </si>
  <si>
    <t>Dianitza De Leon</t>
  </si>
  <si>
    <t>Ruby Yirelis Arauz Rodriguez</t>
  </si>
  <si>
    <t>Max Heurtematte</t>
  </si>
  <si>
    <t>Ainette Balbuena</t>
  </si>
  <si>
    <t>Jaime Villareal</t>
  </si>
  <si>
    <t>Mixely Naar</t>
  </si>
  <si>
    <t>Guillermo Enrique Cherigo Rovira</t>
  </si>
  <si>
    <t>Gina Batista</t>
  </si>
  <si>
    <t>Jairo Espino Garcia</t>
  </si>
  <si>
    <t>Evelyn Torres</t>
  </si>
  <si>
    <t>Pauleth Pamela Rivera Gale</t>
  </si>
  <si>
    <t>Bolivar De Gracia</t>
  </si>
  <si>
    <t>Felix Barrios</t>
  </si>
  <si>
    <t>Jose Javier Velasquez</t>
  </si>
  <si>
    <t>Reporte de Seguimiento</t>
  </si>
  <si>
    <t xml:space="preserve"> </t>
  </si>
  <si>
    <t>Mes</t>
  </si>
  <si>
    <t>JULIO</t>
  </si>
  <si>
    <t>Facturadas a la fecha</t>
  </si>
  <si>
    <t>Proyección de Cierre</t>
  </si>
  <si>
    <t>Frunos</t>
  </si>
  <si>
    <t>Porcentaje de Cumplimiento</t>
  </si>
  <si>
    <t>Meta</t>
  </si>
  <si>
    <t>Variaciòn</t>
  </si>
  <si>
    <t>Comparativo Historicos</t>
  </si>
  <si>
    <t>Año</t>
  </si>
  <si>
    <t>MES</t>
  </si>
  <si>
    <t>Base</t>
  </si>
  <si>
    <t>Recorrido</t>
  </si>
  <si>
    <t>%Recorrido</t>
  </si>
  <si>
    <t>Intentos Totales</t>
  </si>
  <si>
    <t>Ratio llamadas</t>
  </si>
  <si>
    <t>Contactado</t>
  </si>
  <si>
    <t>%Contactado</t>
  </si>
  <si>
    <t>RPC</t>
  </si>
  <si>
    <t>%RPC</t>
  </si>
  <si>
    <t>Renovación</t>
  </si>
  <si>
    <t>% Conv Reno</t>
  </si>
  <si>
    <t>Creadas CLientes Totales Fijo</t>
  </si>
  <si>
    <t>% Conv Creadas Totales Fijo</t>
  </si>
  <si>
    <t>Creadas RGU Fijo</t>
  </si>
  <si>
    <t>% Conv Creadas Fijo</t>
  </si>
  <si>
    <t>Rgu Fijo Fact</t>
  </si>
  <si>
    <t>%Conv Fijo</t>
  </si>
  <si>
    <t>Rgu Movil Fact</t>
  </si>
  <si>
    <t>% Conv Movil</t>
  </si>
  <si>
    <t>Total FACT</t>
  </si>
  <si>
    <t>% Conversion</t>
  </si>
  <si>
    <t>100%</t>
  </si>
  <si>
    <t>94%</t>
  </si>
  <si>
    <t>99%</t>
  </si>
  <si>
    <t>3.2%</t>
  </si>
  <si>
    <t>0.0%</t>
  </si>
  <si>
    <t>0.2%</t>
  </si>
  <si>
    <t>0.1%</t>
  </si>
  <si>
    <t>0.3%</t>
  </si>
  <si>
    <t>52%</t>
  </si>
  <si>
    <t>86%</t>
  </si>
  <si>
    <t>4.6%</t>
  </si>
  <si>
    <t>0.4%</t>
  </si>
  <si>
    <t>0.5%</t>
  </si>
  <si>
    <t>53%</t>
  </si>
  <si>
    <t>47%</t>
  </si>
  <si>
    <t>5.1%</t>
  </si>
  <si>
    <t>80%</t>
  </si>
  <si>
    <t>43%</t>
  </si>
  <si>
    <t>5.6%</t>
  </si>
  <si>
    <t>0.9%</t>
  </si>
  <si>
    <t>0.6%</t>
  </si>
  <si>
    <t>1.1%</t>
  </si>
  <si>
    <t>75%</t>
  </si>
  <si>
    <t>58%</t>
  </si>
  <si>
    <t>45%</t>
  </si>
  <si>
    <t>7.6%</t>
  </si>
  <si>
    <t>1.0%</t>
  </si>
  <si>
    <t>0.7%</t>
  </si>
  <si>
    <t>1.2%</t>
  </si>
  <si>
    <t>38%</t>
  </si>
  <si>
    <t>44%</t>
  </si>
  <si>
    <t>8.3%</t>
  </si>
  <si>
    <t>0.8%</t>
  </si>
  <si>
    <t>1.4%</t>
  </si>
  <si>
    <t>46%</t>
  </si>
  <si>
    <t>7.8%</t>
  </si>
  <si>
    <t>5.9%</t>
  </si>
  <si>
    <t>98%</t>
  </si>
  <si>
    <t>6.1%</t>
  </si>
  <si>
    <t>49%</t>
  </si>
  <si>
    <t>7.0%</t>
  </si>
  <si>
    <t>42%</t>
  </si>
  <si>
    <t>55%</t>
  </si>
  <si>
    <t>4.8%</t>
  </si>
  <si>
    <t>48%</t>
  </si>
  <si>
    <t>97%</t>
  </si>
  <si>
    <t>51%</t>
  </si>
  <si>
    <t>6.4%</t>
  </si>
  <si>
    <t>92%</t>
  </si>
  <si>
    <t>60%</t>
  </si>
  <si>
    <t>5.4%</t>
  </si>
  <si>
    <t>Comportamiento Base Actual</t>
  </si>
  <si>
    <t xml:space="preserve">Renovaciones </t>
  </si>
  <si>
    <t>Base de datos</t>
  </si>
  <si>
    <t>BD Recorrida</t>
  </si>
  <si>
    <t>% de Recorrido</t>
  </si>
  <si>
    <t>Marcaciones</t>
  </si>
  <si>
    <t>Ratio de Llamadas</t>
  </si>
  <si>
    <t>Contactos</t>
  </si>
  <si>
    <t>% Contacto</t>
  </si>
  <si>
    <t>% RPC</t>
  </si>
  <si>
    <t>Total de Ventas Fact</t>
  </si>
  <si>
    <t>Total de Ventas</t>
  </si>
  <si>
    <t>Tasa de Cierre</t>
  </si>
  <si>
    <t>Arrastre</t>
  </si>
  <si>
    <t>MES ANTERIOR</t>
  </si>
  <si>
    <t>**</t>
  </si>
  <si>
    <t>Inactivo</t>
  </si>
  <si>
    <t>Act</t>
  </si>
  <si>
    <t>MOVIL TOTAL</t>
  </si>
  <si>
    <t xml:space="preserve">Movil Facturadas a la fecha </t>
  </si>
  <si>
    <t xml:space="preserve">Proyección de Cierre </t>
  </si>
  <si>
    <t>Porcentaje de cumplimiento</t>
  </si>
  <si>
    <t>Incluye Venta cruzada de renov</t>
  </si>
  <si>
    <t xml:space="preserve">Mes </t>
  </si>
  <si>
    <t>Creadas Clientes Totales Fijo</t>
  </si>
  <si>
    <t>FACTURADAS Fijo</t>
  </si>
  <si>
    <t>% Conv FACT Fijo</t>
  </si>
  <si>
    <t>%Conv Fijo RGU</t>
  </si>
  <si>
    <t>% Conv Total</t>
  </si>
  <si>
    <t>27%</t>
  </si>
  <si>
    <t>3.9%</t>
  </si>
  <si>
    <t>2.6%</t>
  </si>
  <si>
    <t>4.3%</t>
  </si>
  <si>
    <t>33%</t>
  </si>
  <si>
    <t>2.7%</t>
  </si>
  <si>
    <t>5.0%</t>
  </si>
  <si>
    <t>59%</t>
  </si>
  <si>
    <t>32%</t>
  </si>
  <si>
    <t>1.5%</t>
  </si>
  <si>
    <t>5.7%</t>
  </si>
  <si>
    <t>57%</t>
  </si>
  <si>
    <t>35%</t>
  </si>
  <si>
    <t>3.8%</t>
  </si>
  <si>
    <t>4.7%</t>
  </si>
  <si>
    <t>56%</t>
  </si>
  <si>
    <t>3.6%</t>
  </si>
  <si>
    <t>41%</t>
  </si>
  <si>
    <t>3.3%</t>
  </si>
  <si>
    <t>91%</t>
  </si>
  <si>
    <t>50%</t>
  </si>
  <si>
    <t>P2P 1 JULIO</t>
  </si>
  <si>
    <t>P2P AB</t>
  </si>
  <si>
    <t xml:space="preserve">P2P AB Testing </t>
  </si>
  <si>
    <t>Total de ventas</t>
  </si>
  <si>
    <t>abirl</t>
  </si>
  <si>
    <t>Resultado por Vendedor</t>
  </si>
  <si>
    <t>Total de base</t>
  </si>
  <si>
    <t>Referidos</t>
  </si>
  <si>
    <t>Mes Anterior</t>
  </si>
  <si>
    <t>Base al 7 de abril</t>
  </si>
  <si>
    <t>Indicador</t>
  </si>
  <si>
    <t>Total requerido</t>
  </si>
  <si>
    <t xml:space="preserve">  Recorrido Diario</t>
  </si>
  <si>
    <t>Por vendedor/día</t>
  </si>
  <si>
    <t>Contactos esperados</t>
  </si>
  <si>
    <t>RPC efectivos</t>
  </si>
  <si>
    <t>Renovaciones pendientes</t>
  </si>
  <si>
    <t>2.08</t>
  </si>
  <si>
    <t>modelo matematico</t>
  </si>
  <si>
    <t>marcaciones</t>
  </si>
  <si>
    <t>ventas</t>
  </si>
  <si>
    <t>P2P</t>
  </si>
  <si>
    <t>Detalle</t>
  </si>
  <si>
    <t>may-25</t>
  </si>
  <si>
    <t>jun-25</t>
  </si>
  <si>
    <t>jul-25</t>
  </si>
  <si>
    <t>ago-25</t>
  </si>
  <si>
    <t>sep-25</t>
  </si>
  <si>
    <t>oct-25</t>
  </si>
  <si>
    <t>nov-25</t>
  </si>
  <si>
    <t>dic-25</t>
  </si>
  <si>
    <t>ene-26</t>
  </si>
  <si>
    <t>feb-26</t>
  </si>
  <si>
    <t>mar-26</t>
  </si>
  <si>
    <t>Total general</t>
  </si>
  <si>
    <t>37%</t>
  </si>
  <si>
    <t>Creadas Totales Fijo</t>
  </si>
  <si>
    <t>Creadas Fijo</t>
  </si>
  <si>
    <t>SPH Fijo</t>
  </si>
  <si>
    <t>SPH Movil</t>
  </si>
  <si>
    <t>4.0%</t>
  </si>
  <si>
    <t>6.9%</t>
  </si>
  <si>
    <t>7.2%</t>
  </si>
  <si>
    <t>4.4%</t>
  </si>
  <si>
    <t>5.3%</t>
  </si>
  <si>
    <t>4.1%</t>
  </si>
  <si>
    <t>3.7%</t>
  </si>
  <si>
    <t>3.0%</t>
  </si>
  <si>
    <t>renovaciones</t>
  </si>
  <si>
    <t>Columna1</t>
  </si>
  <si>
    <t>Columna2</t>
  </si>
  <si>
    <t>Columna3</t>
  </si>
  <si>
    <t>Columna4</t>
  </si>
  <si>
    <t>Columna5</t>
  </si>
  <si>
    <t>Columna6</t>
  </si>
  <si>
    <t>Columna7</t>
  </si>
  <si>
    <t>Columna8</t>
  </si>
  <si>
    <t>Columna9</t>
  </si>
  <si>
    <t>Columna10</t>
  </si>
  <si>
    <t>Columna11</t>
  </si>
  <si>
    <t>abr-26</t>
  </si>
  <si>
    <t>96%</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</si>
</sst>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00"/>
    <numFmt numFmtId="165" formatCode="[$-C0A]mmmm\-yy"/>
    <numFmt numFmtId="166" formatCode="0.0%"/>
    <numFmt numFmtId="167" formatCode="mmmm-d"/>
    <numFmt numFmtId="168" formatCode="mmmm-yyyy"/>
  </numFmts>
  <fonts count="28">
    <font>
      <sz val="11.0"/>
      <color theme="1"/>
      <name val="Calibri"/>
      <scheme val="minor"/>
    </font>
    <font>
      <sz val="11.0"/>
      <color theme="1"/>
      <name val="Calibri"/>
    </font>
    <font>
      <sz val="16.0"/>
      <color theme="1"/>
      <name val="Calibri"/>
    </font>
    <font/>
    <font>
      <b/>
      <sz val="16.0"/>
      <color theme="0"/>
      <name val="Calibri"/>
    </font>
    <font>
      <b/>
      <sz val="16.0"/>
      <color theme="1"/>
      <name val="Calibri"/>
    </font>
    <font>
      <b/>
      <sz val="11.0"/>
      <color theme="0"/>
      <name val="Calibri"/>
    </font>
    <font>
      <b/>
      <sz val="12.0"/>
      <color theme="0"/>
      <name val="Calibri"/>
    </font>
    <font>
      <sz val="12.0"/>
      <color theme="1"/>
      <name val="Calibri"/>
    </font>
    <font>
      <b/>
      <sz val="12.0"/>
      <color theme="1"/>
      <name val="Calibri"/>
    </font>
    <font>
      <b/>
      <sz val="14.0"/>
      <color theme="1"/>
      <name val="Calibri"/>
    </font>
    <font>
      <b/>
      <u/>
      <sz val="11.0"/>
      <color theme="1"/>
      <name val="Calibri"/>
    </font>
    <font>
      <b/>
      <sz val="11.0"/>
      <color theme="1"/>
      <name val="Calibri"/>
    </font>
    <font>
      <sz val="10.0"/>
      <color rgb="FF00B050"/>
      <name val="Calibri"/>
    </font>
    <font>
      <sz val="10.0"/>
      <color rgb="FFFF0000"/>
      <name val="Calibri"/>
    </font>
    <font>
      <sz val="11.0"/>
      <color rgb="FFFF0000"/>
      <name val="Calibri"/>
    </font>
    <font>
      <sz val="11.0"/>
      <color rgb="FFFFFFFF"/>
      <name val="Calibri"/>
    </font>
    <font>
      <sz val="11.0"/>
      <color rgb="FF000000"/>
      <name val="Calibri"/>
    </font>
    <font>
      <b/>
      <u/>
      <sz val="11.0"/>
      <color theme="1"/>
      <name val="Calibri"/>
    </font>
    <font>
      <sz val="12.0"/>
      <color rgb="FFFFFFFF"/>
      <name val="Calibri"/>
    </font>
    <font>
      <sz val="12.0"/>
      <color theme="0"/>
      <name val="Calibri"/>
    </font>
    <font>
      <sz val="11.0"/>
      <color theme="0"/>
      <name val="Calibri"/>
    </font>
    <font>
      <color theme="1"/>
      <name val="Calibri"/>
      <scheme val="minor"/>
    </font>
    <font>
      <b/>
      <sz val="14.0"/>
      <color theme="0"/>
      <name val="Calibri"/>
    </font>
    <font>
      <b/>
      <sz val="14.0"/>
      <color theme="9"/>
      <name val="Calibri"/>
    </font>
    <font>
      <sz val="11.0"/>
      <color theme="9"/>
      <name val="Calibri"/>
    </font>
    <font>
      <b/>
      <sz val="16.0"/>
      <color rgb="FFFFFFFF"/>
      <name val="Calibri"/>
    </font>
    <font>
      <b/>
      <sz val="11.0"/>
      <color theme="9"/>
      <name val="Calibri"/>
    </font>
  </fonts>
  <fills count="11">
    <fill>
      <patternFill patternType="none"/>
    </fill>
    <fill>
      <patternFill patternType="lightGray"/>
    </fill>
    <fill>
      <patternFill patternType="solid">
        <fgColor theme="9"/>
        <bgColor theme="9"/>
      </patternFill>
    </fill>
    <fill>
      <patternFill patternType="solid">
        <fgColor rgb="FFFABF8F"/>
        <bgColor rgb="FFFABF8F"/>
      </patternFill>
    </fill>
    <fill>
      <patternFill patternType="solid">
        <fgColor rgb="FFED8A05"/>
        <bgColor rgb="FFED8A05"/>
      </patternFill>
    </fill>
    <fill>
      <patternFill patternType="solid">
        <fgColor theme="0"/>
        <bgColor theme="0"/>
      </patternFill>
    </fill>
    <fill>
      <patternFill patternType="solid">
        <fgColor rgb="FFFFFF00"/>
        <bgColor rgb="FFFFFF00"/>
      </patternFill>
    </fill>
    <fill>
      <patternFill patternType="solid">
        <fgColor rgb="FFEEECE1"/>
        <bgColor rgb="FFEEECE1"/>
      </patternFill>
    </fill>
    <fill>
      <patternFill patternType="solid">
        <fgColor rgb="FFA5A5A5"/>
        <bgColor rgb="FFA5A5A5"/>
      </patternFill>
    </fill>
    <fill>
      <patternFill patternType="solid">
        <fgColor rgb="FFF2DBDB"/>
        <bgColor rgb="FFF2DBDB"/>
      </patternFill>
    </fill>
    <fill>
      <patternFill patternType="solid">
        <fgColor rgb="FFE36C09"/>
        <bgColor rgb="FFE36C09"/>
      </patternFill>
    </fill>
  </fills>
  <borders count="64">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top style="medium">
        <color rgb="FF000000"/>
      </top>
      <bottom style="medium">
        <color rgb="FF000000"/>
      </bottom>
    </border>
    <border>
      <left style="thin">
        <color rgb="FF000000"/>
      </left>
      <right style="thin">
        <color rgb="FF000000"/>
      </right>
      <top style="thin">
        <color rgb="FFDBE5F1"/>
      </top>
      <bottom style="thin">
        <color rgb="FF000000"/>
      </bottom>
    </border>
    <border>
      <left/>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style="thin">
        <color rgb="FFDBE5F1"/>
      </top>
      <bottom style="thin">
        <color rgb="FFDBE5F1"/>
      </bottom>
    </border>
    <border>
      <left/>
      <right/>
      <top style="thin">
        <color rgb="FFDBE5F1"/>
      </top>
      <bottom style="thin">
        <color rgb="FFDBE5F1"/>
      </bottom>
    </border>
    <border>
      <top style="medium">
        <color rgb="FF000000"/>
      </top>
      <bottom style="thin">
        <color rgb="FFDBE5F1"/>
      </bottom>
    </border>
    <border>
      <left/>
      <right style="medium">
        <color rgb="FF000000"/>
      </right>
      <top style="medium">
        <color rgb="FF000000"/>
      </top>
      <bottom style="thin">
        <color rgb="FFDBE5F1"/>
      </bottom>
    </border>
    <border>
      <left style="medium">
        <color rgb="FF000000"/>
      </left>
      <top style="thin">
        <color rgb="FFDBE5F1"/>
      </top>
      <bottom style="thin">
        <color rgb="FFDBE5F1"/>
      </bottom>
    </border>
    <border>
      <left/>
      <right style="medium">
        <color rgb="FF000000"/>
      </right>
      <top style="thin">
        <color rgb="FFDBE5F1"/>
      </top>
      <bottom style="thin">
        <color rgb="FFDBE5F1"/>
      </bottom>
    </border>
    <border>
      <left style="thin">
        <color rgb="FF000000"/>
      </left>
      <right/>
      <top style="thin">
        <color rgb="FF000000"/>
      </top>
      <bottom/>
    </border>
    <border>
      <left/>
      <right style="thin">
        <color rgb="FF000000"/>
      </right>
      <top/>
      <bottom style="thin">
        <color rgb="FF000000"/>
      </bottom>
    </border>
    <border>
      <left/>
      <right style="thin">
        <color rgb="FF000000"/>
      </right>
      <top style="thin">
        <color rgb="FF000000"/>
      </top>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medium">
        <color rgb="FF000000"/>
      </left>
      <top style="thin">
        <color rgb="FFDBE5F1"/>
      </top>
    </border>
    <border>
      <left/>
      <right/>
      <top style="thin">
        <color rgb="FFDBE5F1"/>
      </top>
      <bottom/>
    </border>
    <border>
      <left/>
      <right style="medium">
        <color rgb="FF000000"/>
      </right>
      <top style="thin">
        <color rgb="FFDBE5F1"/>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style="thin">
        <color rgb="FFDBE5F1"/>
      </bottom>
    </border>
    <border>
      <left style="thin">
        <color rgb="FF000000"/>
      </left>
      <right/>
      <top style="thin">
        <color rgb="FF000000"/>
      </top>
      <bottom style="thin">
        <color rgb="FFDBE5F1"/>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medium">
        <color rgb="FF000000"/>
      </top>
      <bottom style="thin">
        <color rgb="FFDBE5F1"/>
      </bottom>
    </border>
    <border>
      <right style="medium">
        <color rgb="FF000000"/>
      </right>
      <top style="medium">
        <color rgb="FF000000"/>
      </top>
      <bottom style="thin">
        <color rgb="FFDBE5F1"/>
      </bottom>
    </border>
    <border>
      <left style="medium">
        <color rgb="FF000000"/>
      </left>
      <right style="medium">
        <color rgb="FF000000"/>
      </right>
      <top style="thin">
        <color rgb="FFDBE5F1"/>
      </top>
      <bottom style="thin">
        <color rgb="FFDBE5F1"/>
      </bottom>
    </border>
    <border>
      <left style="thin">
        <color rgb="FF000000"/>
      </left>
      <right/>
      <top style="thin">
        <color rgb="FFDBE5F1"/>
      </top>
      <bottom style="thin">
        <color rgb="FFDBE5F1"/>
      </bottom>
    </border>
    <border>
      <top style="thin">
        <color rgb="FFDBE5F1"/>
      </top>
      <bottom style="thin">
        <color rgb="FFDBE5F1"/>
      </bottom>
    </border>
    <border>
      <right style="medium">
        <color rgb="FF000000"/>
      </right>
      <top style="thin">
        <color rgb="FFDBE5F1"/>
      </top>
      <bottom style="thin">
        <color rgb="FFDBE5F1"/>
      </bottom>
    </border>
    <border>
      <left style="medium">
        <color rgb="FF000000"/>
      </left>
      <right style="medium">
        <color rgb="FF000000"/>
      </right>
      <top style="thin">
        <color rgb="FFDBE5F1"/>
      </top>
      <bottom style="medium">
        <color rgb="FF000000"/>
      </bottom>
    </border>
    <border>
      <left style="thin">
        <color rgb="FF000000"/>
      </left>
      <right style="medium">
        <color rgb="FF000000"/>
      </right>
      <top style="medium">
        <color rgb="FF000000"/>
      </top>
      <bottom style="thin">
        <color rgb="FFDBE5F1"/>
      </bottom>
    </border>
    <border>
      <left style="thin">
        <color rgb="FF000000"/>
      </left>
      <right style="medium">
        <color rgb="FF000000"/>
      </right>
      <top style="thin">
        <color rgb="FFDBE5F1"/>
      </top>
      <bottom style="thin">
        <color rgb="FFDBE5F1"/>
      </bottom>
    </border>
    <border>
      <left/>
      <right/>
      <top/>
      <bottom/>
    </border>
    <border>
      <left style="thin">
        <color rgb="FF000000"/>
      </left>
      <right style="medium">
        <color rgb="FF000000"/>
      </right>
      <top style="thin">
        <color rgb="FFDBE5F1"/>
      </top>
      <bottom style="medium">
        <color rgb="FF000000"/>
      </bottom>
    </border>
    <border>
      <left style="thin">
        <color rgb="FF000000"/>
      </left>
      <top style="thin">
        <color rgb="FF000000"/>
      </top>
      <bottom style="thin">
        <color rgb="FF000000"/>
      </bottom>
    </border>
    <border>
      <left/>
      <top/>
      <bottom/>
    </border>
    <border>
      <right/>
      <top/>
      <bottom/>
    </border>
    <border>
      <left/>
      <top/>
      <bottom style="thin">
        <color rgb="FF000000"/>
      </bottom>
    </border>
    <border>
      <top/>
      <bottom style="thin">
        <color rgb="FF000000"/>
      </bottom>
    </border>
    <border>
      <right style="medium">
        <color rgb="FF000000"/>
      </right>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bottom style="thin">
        <color rgb="FF000000"/>
      </bottom>
    </border>
    <border>
      <right style="thin">
        <color rgb="FF000000"/>
      </right>
      <top/>
      <bottom style="thin">
        <color rgb="FF000000"/>
      </bottom>
    </border>
    <border>
      <top style="thin">
        <color rgb="FF000000"/>
      </top>
      <bottom style="thin">
        <color rgb="FF000000"/>
      </bottom>
    </border>
    <border>
      <left style="thin">
        <color rgb="FF000000"/>
      </left>
      <right/>
      <top/>
      <bottom style="thin">
        <color rgb="FF000000"/>
      </bottom>
    </border>
    <border>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252">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center"/>
    </xf>
    <xf borderId="1" fillId="0" fontId="3" numFmtId="0" xfId="0" applyBorder="1" applyFont="1"/>
    <xf borderId="1" fillId="0" fontId="1" numFmtId="0" xfId="0" applyAlignment="1" applyBorder="1" applyFont="1">
      <alignment horizontal="center"/>
    </xf>
    <xf borderId="2" fillId="2" fontId="4" numFmtId="0" xfId="0" applyAlignment="1" applyBorder="1" applyFill="1" applyFont="1">
      <alignment horizontal="center" shrinkToFit="0" vertical="center" wrapText="1"/>
    </xf>
    <xf borderId="3" fillId="2" fontId="4" numFmtId="0" xfId="0" applyAlignment="1" applyBorder="1" applyFont="1">
      <alignment horizontal="center" shrinkToFit="0" vertical="center" wrapText="1"/>
    </xf>
    <xf borderId="2" fillId="3" fontId="5" numFmtId="0" xfId="0" applyAlignment="1" applyBorder="1" applyFill="1" applyFont="1">
      <alignment horizontal="center" shrinkToFit="0" vertical="center" wrapText="1"/>
    </xf>
    <xf borderId="4" fillId="4" fontId="6" numFmtId="0" xfId="0" applyAlignment="1" applyBorder="1" applyFill="1" applyFont="1">
      <alignment horizontal="center" shrinkToFit="0" vertical="center" wrapText="1"/>
    </xf>
    <xf borderId="5" fillId="4" fontId="6" numFmtId="0" xfId="0" applyAlignment="1" applyBorder="1" applyFont="1">
      <alignment horizontal="center" shrinkToFit="0" vertical="center" wrapText="1"/>
    </xf>
    <xf borderId="6" fillId="4" fontId="6" numFmtId="0" xfId="0" applyAlignment="1" applyBorder="1" applyFont="1">
      <alignment horizontal="center" shrinkToFit="0" vertical="center" wrapText="1"/>
    </xf>
    <xf borderId="7" fillId="4" fontId="6" numFmtId="0" xfId="0" applyAlignment="1" applyBorder="1" applyFont="1">
      <alignment horizontal="center" shrinkToFit="0" vertical="center" wrapText="1"/>
    </xf>
    <xf borderId="8" fillId="4" fontId="7" numFmtId="0" xfId="0" applyAlignment="1" applyBorder="1" applyFont="1">
      <alignment horizontal="center" shrinkToFit="0" wrapText="1"/>
    </xf>
    <xf borderId="2" fillId="5" fontId="2" numFmtId="0" xfId="0" applyAlignment="1" applyBorder="1" applyFill="1" applyFont="1">
      <alignment horizontal="center"/>
    </xf>
    <xf borderId="9" fillId="5" fontId="2" numFmtId="0" xfId="0" applyAlignment="1" applyBorder="1" applyFont="1">
      <alignment horizontal="center"/>
    </xf>
    <xf borderId="10" fillId="5" fontId="2" numFmtId="1" xfId="0" applyAlignment="1" applyBorder="1" applyFont="1" applyNumberFormat="1">
      <alignment horizontal="center"/>
    </xf>
    <xf borderId="11" fillId="5" fontId="2" numFmtId="0" xfId="0" applyAlignment="1" applyBorder="1" applyFont="1">
      <alignment horizontal="center"/>
    </xf>
    <xf borderId="12" fillId="5" fontId="2" numFmtId="0" xfId="0" applyAlignment="1" applyBorder="1" applyFont="1">
      <alignment horizontal="center"/>
    </xf>
    <xf borderId="12" fillId="5" fontId="2" numFmtId="10" xfId="0" applyAlignment="1" applyBorder="1" applyFont="1" applyNumberFormat="1">
      <alignment horizontal="center"/>
    </xf>
    <xf borderId="2" fillId="0" fontId="1" numFmtId="0" xfId="0" applyAlignment="1" applyBorder="1" applyFont="1">
      <alignment horizontal="center"/>
    </xf>
    <xf borderId="2" fillId="0" fontId="1" numFmtId="9" xfId="0" applyAlignment="1" applyBorder="1" applyFont="1" applyNumberFormat="1">
      <alignment horizontal="center"/>
    </xf>
    <xf borderId="13" fillId="5" fontId="2" numFmtId="0" xfId="0" applyAlignment="1" applyBorder="1" applyFont="1">
      <alignment horizontal="center"/>
    </xf>
    <xf borderId="14" fillId="5" fontId="2" numFmtId="0" xfId="0" applyAlignment="1" applyBorder="1" applyFont="1">
      <alignment horizontal="center"/>
    </xf>
    <xf borderId="15" fillId="0" fontId="8" numFmtId="10" xfId="0" applyAlignment="1" applyBorder="1" applyFont="1" applyNumberFormat="1">
      <alignment horizontal="center"/>
    </xf>
    <xf borderId="14" fillId="5" fontId="2" numFmtId="164" xfId="0" applyAlignment="1" applyBorder="1" applyFont="1" applyNumberFormat="1">
      <alignment horizontal="center"/>
    </xf>
    <xf borderId="16" fillId="5" fontId="2" numFmtId="0" xfId="0" applyAlignment="1" applyBorder="1" applyFont="1">
      <alignment horizontal="center"/>
    </xf>
    <xf borderId="17" fillId="0" fontId="2" numFmtId="0" xfId="0" applyAlignment="1" applyBorder="1" applyFont="1">
      <alignment horizontal="center"/>
    </xf>
    <xf borderId="18" fillId="5" fontId="2" numFmtId="0" xfId="0" applyAlignment="1" applyBorder="1" applyFont="1">
      <alignment horizontal="center"/>
    </xf>
    <xf borderId="19" fillId="5" fontId="2" numFmtId="0" xfId="0" applyAlignment="1" applyBorder="1" applyFont="1">
      <alignment horizontal="center"/>
    </xf>
    <xf borderId="20" fillId="5" fontId="2" numFmtId="0" xfId="0" applyAlignment="1" applyBorder="1" applyFont="1">
      <alignment horizontal="center"/>
    </xf>
    <xf borderId="11" fillId="5" fontId="2" numFmtId="1" xfId="0" applyAlignment="1" applyBorder="1" applyFont="1" applyNumberFormat="1">
      <alignment horizontal="center"/>
    </xf>
    <xf borderId="3" fillId="5" fontId="2" numFmtId="0" xfId="0" applyAlignment="1" applyBorder="1" applyFont="1">
      <alignment horizontal="center"/>
    </xf>
    <xf borderId="21" fillId="5" fontId="2" numFmtId="0" xfId="0" applyAlignment="1" applyBorder="1" applyFont="1">
      <alignment horizontal="center"/>
    </xf>
    <xf borderId="19" fillId="5" fontId="2" numFmtId="1" xfId="0" applyAlignment="1" applyBorder="1" applyFont="1" applyNumberFormat="1">
      <alignment horizontal="center"/>
    </xf>
    <xf borderId="21" fillId="5" fontId="2" numFmtId="10" xfId="0" applyAlignment="1" applyBorder="1" applyFont="1" applyNumberFormat="1">
      <alignment horizontal="center"/>
    </xf>
    <xf borderId="2" fillId="5" fontId="2" numFmtId="1" xfId="0" applyAlignment="1" applyBorder="1" applyFont="1" applyNumberFormat="1">
      <alignment horizontal="center"/>
    </xf>
    <xf borderId="2" fillId="5" fontId="2" numFmtId="10" xfId="0" applyAlignment="1" applyBorder="1" applyFont="1" applyNumberFormat="1">
      <alignment horizontal="center"/>
    </xf>
    <xf borderId="22" fillId="0" fontId="1" numFmtId="0" xfId="0" applyAlignment="1" applyBorder="1" applyFont="1">
      <alignment horizontal="center"/>
    </xf>
    <xf borderId="23" fillId="0" fontId="1" numFmtId="0" xfId="0" applyAlignment="1" applyBorder="1" applyFont="1">
      <alignment horizontal="center"/>
    </xf>
    <xf borderId="23" fillId="0" fontId="1" numFmtId="9" xfId="0" applyAlignment="1" applyBorder="1" applyFont="1" applyNumberFormat="1">
      <alignment horizontal="center"/>
    </xf>
    <xf borderId="24" fillId="0" fontId="2" numFmtId="0" xfId="0" applyAlignment="1" applyBorder="1" applyFont="1">
      <alignment horizontal="center"/>
    </xf>
    <xf borderId="25" fillId="5" fontId="2" numFmtId="0" xfId="0" applyAlignment="1" applyBorder="1" applyFont="1">
      <alignment horizontal="center"/>
    </xf>
    <xf borderId="25" fillId="5" fontId="2" numFmtId="164" xfId="0" applyAlignment="1" applyBorder="1" applyFont="1" applyNumberFormat="1">
      <alignment horizontal="center"/>
    </xf>
    <xf borderId="26" fillId="5" fontId="2" numFmtId="0" xfId="0" applyAlignment="1" applyBorder="1" applyFont="1">
      <alignment horizontal="center"/>
    </xf>
    <xf borderId="0" fillId="0" fontId="1" numFmtId="0" xfId="0" applyFont="1"/>
    <xf borderId="27" fillId="4" fontId="9" numFmtId="0" xfId="0" applyAlignment="1" applyBorder="1" applyFont="1">
      <alignment horizontal="center" shrinkToFit="0" vertical="center" wrapText="1"/>
    </xf>
    <xf borderId="28" fillId="4" fontId="9" numFmtId="0" xfId="0" applyAlignment="1" applyBorder="1" applyFont="1">
      <alignment horizontal="center" shrinkToFit="0" vertical="center" wrapText="1"/>
    </xf>
    <xf borderId="29" fillId="4" fontId="9" numFmtId="0" xfId="0" applyAlignment="1" applyBorder="1" applyFont="1">
      <alignment horizontal="center" shrinkToFit="0" vertical="center" wrapText="1"/>
    </xf>
    <xf borderId="27" fillId="3" fontId="10" numFmtId="0" xfId="0" applyAlignment="1" applyBorder="1" applyFont="1">
      <alignment horizontal="center"/>
    </xf>
    <xf borderId="28" fillId="3" fontId="10" numFmtId="0" xfId="0" applyAlignment="1" applyBorder="1" applyFont="1">
      <alignment horizontal="center"/>
    </xf>
    <xf borderId="30" fillId="3" fontId="10" numFmtId="0" xfId="0" applyAlignment="1" applyBorder="1" applyFont="1">
      <alignment horizontal="center"/>
    </xf>
    <xf borderId="8" fillId="4" fontId="7" numFmtId="0" xfId="0" applyAlignment="1" applyBorder="1" applyFont="1">
      <alignment horizontal="center" shrinkToFit="0" vertical="center" wrapText="1"/>
    </xf>
    <xf borderId="31" fillId="0" fontId="8" numFmtId="0" xfId="0" applyAlignment="1" applyBorder="1" applyFont="1">
      <alignment horizontal="center"/>
    </xf>
    <xf borderId="32" fillId="5" fontId="2" numFmtId="0" xfId="0" applyAlignment="1" applyBorder="1" applyFont="1">
      <alignment horizontal="center"/>
    </xf>
    <xf borderId="2" fillId="5" fontId="2" numFmtId="9" xfId="0" applyAlignment="1" applyBorder="1" applyFont="1" applyNumberFormat="1">
      <alignment horizontal="center"/>
    </xf>
    <xf borderId="33" fillId="5" fontId="2" numFmtId="0" xfId="0" applyAlignment="1" applyBorder="1" applyFont="1">
      <alignment horizontal="center"/>
    </xf>
    <xf borderId="34" fillId="5" fontId="2" numFmtId="0" xfId="0" applyAlignment="1" applyBorder="1" applyFont="1">
      <alignment horizontal="center"/>
    </xf>
    <xf borderId="31" fillId="0" fontId="8" numFmtId="0" xfId="0" applyAlignment="1" applyBorder="1" applyFont="1">
      <alignment horizontal="left"/>
    </xf>
    <xf borderId="35" fillId="0" fontId="8" numFmtId="0" xfId="0" applyAlignment="1" applyBorder="1" applyFont="1">
      <alignment horizontal="center"/>
    </xf>
    <xf borderId="15" fillId="0" fontId="8" numFmtId="0" xfId="0" applyAlignment="1" applyBorder="1" applyFont="1">
      <alignment horizontal="center"/>
    </xf>
    <xf borderId="15" fillId="0" fontId="8" numFmtId="10" xfId="0" applyAlignment="1" applyBorder="1" applyFont="1" applyNumberFormat="1">
      <alignment horizontal="center" vertical="center"/>
    </xf>
    <xf borderId="36" fillId="0" fontId="8" numFmtId="0" xfId="0" applyAlignment="1" applyBorder="1" applyFont="1">
      <alignment horizontal="center"/>
    </xf>
    <xf borderId="37" fillId="0" fontId="8" numFmtId="0" xfId="0" applyAlignment="1" applyBorder="1" applyFont="1">
      <alignment horizontal="center"/>
    </xf>
    <xf borderId="38" fillId="5" fontId="2" numFmtId="0" xfId="0" applyAlignment="1" applyBorder="1" applyFont="1">
      <alignment horizontal="center"/>
    </xf>
    <xf borderId="4" fillId="0" fontId="8" numFmtId="0" xfId="0" applyAlignment="1" applyBorder="1" applyFont="1">
      <alignment horizontal="left"/>
    </xf>
    <xf borderId="17" fillId="0" fontId="8" numFmtId="0" xfId="0" applyAlignment="1" applyBorder="1" applyFont="1">
      <alignment horizontal="center"/>
    </xf>
    <xf borderId="39" fillId="0" fontId="8" numFmtId="0" xfId="0" applyAlignment="1" applyBorder="1" applyFont="1">
      <alignment horizontal="center"/>
    </xf>
    <xf borderId="40" fillId="0" fontId="8" numFmtId="0" xfId="0" applyAlignment="1" applyBorder="1" applyFont="1">
      <alignment horizontal="center"/>
    </xf>
    <xf borderId="37" fillId="0" fontId="8" numFmtId="0" xfId="0" applyAlignment="1" applyBorder="1" applyFont="1">
      <alignment horizontal="left"/>
    </xf>
    <xf borderId="41" fillId="0" fontId="8" numFmtId="0" xfId="0" applyAlignment="1" applyBorder="1" applyFont="1">
      <alignment horizontal="center"/>
    </xf>
    <xf borderId="37" fillId="6" fontId="8" numFmtId="0" xfId="0" applyAlignment="1" applyBorder="1" applyFill="1" applyFont="1">
      <alignment horizontal="left"/>
    </xf>
    <xf borderId="13" fillId="6" fontId="8" numFmtId="0" xfId="0" applyAlignment="1" applyBorder="1" applyFont="1">
      <alignment horizontal="center"/>
    </xf>
    <xf borderId="14" fillId="6" fontId="8" numFmtId="0" xfId="0" applyAlignment="1" applyBorder="1" applyFont="1">
      <alignment horizontal="center"/>
    </xf>
    <xf borderId="18" fillId="6" fontId="8" numFmtId="0" xfId="0" applyAlignment="1" applyBorder="1" applyFont="1">
      <alignment horizontal="center"/>
    </xf>
    <xf borderId="4" fillId="0" fontId="8" numFmtId="0" xfId="0" applyAlignment="1" applyBorder="1" applyFont="1">
      <alignment horizontal="center"/>
    </xf>
    <xf borderId="33" fillId="0" fontId="8" numFmtId="0" xfId="0" applyAlignment="1" applyBorder="1" applyFont="1">
      <alignment horizontal="left"/>
    </xf>
    <xf borderId="42" fillId="0" fontId="2" numFmtId="0" xfId="0" applyAlignment="1" applyBorder="1" applyFont="1">
      <alignment horizontal="left"/>
    </xf>
    <xf borderId="2" fillId="0" fontId="8" numFmtId="0" xfId="0" applyAlignment="1" applyBorder="1" applyFont="1">
      <alignment horizontal="center"/>
    </xf>
    <xf borderId="43" fillId="0" fontId="2" numFmtId="0" xfId="0" applyAlignment="1" applyBorder="1" applyFont="1">
      <alignment horizontal="left"/>
    </xf>
    <xf borderId="7" fillId="0" fontId="2" numFmtId="0" xfId="0" applyAlignment="1" applyBorder="1" applyFont="1">
      <alignment horizontal="left"/>
    </xf>
    <xf borderId="3" fillId="7" fontId="8" numFmtId="0" xfId="0" applyAlignment="1" applyBorder="1" applyFill="1" applyFont="1">
      <alignment horizontal="center"/>
    </xf>
    <xf borderId="3" fillId="7" fontId="2" numFmtId="1" xfId="0" applyAlignment="1" applyBorder="1" applyFont="1" applyNumberFormat="1">
      <alignment horizontal="center"/>
    </xf>
    <xf borderId="3" fillId="7" fontId="2" numFmtId="0" xfId="0" applyAlignment="1" applyBorder="1" applyFont="1">
      <alignment horizontal="center"/>
    </xf>
    <xf borderId="3" fillId="7" fontId="2" numFmtId="9" xfId="0" applyAlignment="1" applyBorder="1" applyFont="1" applyNumberFormat="1">
      <alignment horizontal="center"/>
    </xf>
    <xf borderId="19" fillId="7" fontId="2" numFmtId="0" xfId="0" applyAlignment="1" applyBorder="1" applyFont="1">
      <alignment horizontal="center"/>
    </xf>
    <xf borderId="44" fillId="5" fontId="8" numFmtId="0" xfId="0" applyAlignment="1" applyBorder="1" applyFont="1">
      <alignment horizontal="center"/>
    </xf>
    <xf borderId="44" fillId="5" fontId="2" numFmtId="1" xfId="0" applyAlignment="1" applyBorder="1" applyFont="1" applyNumberFormat="1">
      <alignment horizontal="center"/>
    </xf>
    <xf borderId="44" fillId="5" fontId="2" numFmtId="0" xfId="0" applyAlignment="1" applyBorder="1" applyFont="1">
      <alignment horizontal="center"/>
    </xf>
    <xf borderId="44" fillId="5" fontId="2" numFmtId="9" xfId="0" applyAlignment="1" applyBorder="1" applyFont="1" applyNumberFormat="1">
      <alignment horizontal="center"/>
    </xf>
    <xf borderId="45" fillId="0" fontId="2" numFmtId="0" xfId="0" applyAlignment="1" applyBorder="1" applyFont="1">
      <alignment horizontal="left"/>
    </xf>
    <xf borderId="44" fillId="5" fontId="8" numFmtId="0" xfId="0" applyAlignment="1" applyBorder="1" applyFont="1">
      <alignment horizontal="left"/>
    </xf>
    <xf borderId="0" fillId="0" fontId="11" numFmtId="0" xfId="0" applyAlignment="1" applyFont="1">
      <alignment horizontal="center"/>
    </xf>
    <xf borderId="0" fillId="0" fontId="12" numFmtId="0" xfId="0" applyFont="1"/>
    <xf borderId="0" fillId="0" fontId="12" numFmtId="14" xfId="0" applyFont="1" applyNumberFormat="1"/>
    <xf borderId="4" fillId="0" fontId="1" numFmtId="0" xfId="0" applyAlignment="1" applyBorder="1" applyFont="1">
      <alignment readingOrder="0"/>
    </xf>
    <xf borderId="0" fillId="0" fontId="1" numFmtId="0" xfId="0" applyAlignment="1" applyFont="1">
      <alignment horizontal="right"/>
    </xf>
    <xf borderId="4" fillId="0" fontId="12" numFmtId="0" xfId="0" applyAlignment="1" applyBorder="1" applyFont="1">
      <alignment horizontal="center" readingOrder="0"/>
    </xf>
    <xf borderId="4" fillId="0" fontId="1" numFmtId="0" xfId="0" applyAlignment="1" applyBorder="1" applyFont="1">
      <alignment horizontal="center" readingOrder="0"/>
    </xf>
    <xf borderId="4" fillId="0" fontId="1" numFmtId="0" xfId="0" applyAlignment="1" applyBorder="1" applyFont="1">
      <alignment horizontal="center"/>
    </xf>
    <xf borderId="4" fillId="0" fontId="12" numFmtId="9" xfId="0" applyAlignment="1" applyBorder="1" applyFont="1" applyNumberFormat="1">
      <alignment horizontal="center"/>
    </xf>
    <xf borderId="4" fillId="0" fontId="12" numFmtId="0" xfId="0" applyAlignment="1" applyBorder="1" applyFont="1">
      <alignment horizontal="center"/>
    </xf>
    <xf borderId="0" fillId="0" fontId="13" numFmtId="0" xfId="0" applyAlignment="1" applyFont="1">
      <alignment horizontal="right" vertical="center"/>
    </xf>
    <xf borderId="44" fillId="5" fontId="14" numFmtId="0" xfId="0" applyAlignment="1" applyBorder="1" applyFont="1">
      <alignment horizontal="center" vertical="center"/>
    </xf>
    <xf borderId="0" fillId="0" fontId="15" numFmtId="0" xfId="0" applyAlignment="1" applyFont="1">
      <alignment horizontal="center"/>
    </xf>
    <xf borderId="0" fillId="0" fontId="15" numFmtId="9" xfId="0" applyAlignment="1" applyFont="1" applyNumberFormat="1">
      <alignment horizontal="center"/>
    </xf>
    <xf borderId="0" fillId="0" fontId="16" numFmtId="0" xfId="0" applyAlignment="1" applyFont="1">
      <alignment horizontal="center"/>
    </xf>
    <xf borderId="0" fillId="0" fontId="1" numFmtId="0" xfId="0" applyAlignment="1" applyFont="1">
      <alignment horizontal="center"/>
    </xf>
    <xf borderId="0" fillId="0" fontId="1" numFmtId="165" xfId="0" applyAlignment="1" applyFont="1" applyNumberFormat="1">
      <alignment horizontal="center" readingOrder="0"/>
    </xf>
    <xf borderId="0" fillId="0" fontId="1" numFmtId="3" xfId="0" applyAlignment="1" applyFont="1" applyNumberFormat="1">
      <alignment horizontal="center"/>
    </xf>
    <xf borderId="0" fillId="0" fontId="1" numFmtId="165" xfId="0" applyAlignment="1" applyFont="1" applyNumberFormat="1">
      <alignment horizontal="center"/>
    </xf>
    <xf borderId="0" fillId="0" fontId="1" numFmtId="10" xfId="0" applyAlignment="1" applyFont="1" applyNumberFormat="1">
      <alignment horizontal="center"/>
    </xf>
    <xf borderId="0" fillId="0" fontId="1" numFmtId="2" xfId="0" applyAlignment="1" applyFont="1" applyNumberFormat="1">
      <alignment horizontal="center"/>
    </xf>
    <xf borderId="0" fillId="0" fontId="1" numFmtId="9" xfId="0" applyAlignment="1" applyFont="1" applyNumberFormat="1">
      <alignment horizontal="center"/>
    </xf>
    <xf borderId="0" fillId="0" fontId="1" numFmtId="166" xfId="0" applyAlignment="1" applyFont="1" applyNumberFormat="1">
      <alignment horizontal="center"/>
    </xf>
    <xf borderId="44" fillId="5" fontId="1" numFmtId="0" xfId="0" applyAlignment="1" applyBorder="1" applyFont="1">
      <alignment horizontal="center"/>
    </xf>
    <xf borderId="44" fillId="5" fontId="1" numFmtId="165" xfId="0" applyAlignment="1" applyBorder="1" applyFont="1" applyNumberFormat="1">
      <alignment horizontal="center"/>
    </xf>
    <xf borderId="44" fillId="5" fontId="1" numFmtId="3" xfId="0" applyAlignment="1" applyBorder="1" applyFont="1" applyNumberFormat="1">
      <alignment horizontal="center"/>
    </xf>
    <xf borderId="44" fillId="5" fontId="1" numFmtId="10" xfId="0" applyAlignment="1" applyBorder="1" applyFont="1" applyNumberFormat="1">
      <alignment horizontal="center"/>
    </xf>
    <xf borderId="44" fillId="5" fontId="1" numFmtId="2" xfId="0" applyAlignment="1" applyBorder="1" applyFont="1" applyNumberFormat="1">
      <alignment horizontal="center"/>
    </xf>
    <xf borderId="44" fillId="5" fontId="1" numFmtId="9" xfId="0" applyAlignment="1" applyBorder="1" applyFont="1" applyNumberFormat="1">
      <alignment horizontal="center"/>
    </xf>
    <xf borderId="44" fillId="5" fontId="1" numFmtId="166" xfId="0" applyAlignment="1" applyBorder="1" applyFont="1" applyNumberFormat="1">
      <alignment horizontal="center"/>
    </xf>
    <xf borderId="44" fillId="8" fontId="17" numFmtId="3" xfId="0" applyAlignment="1" applyBorder="1" applyFill="1" applyFont="1" applyNumberFormat="1">
      <alignment horizontal="center"/>
    </xf>
    <xf borderId="44" fillId="8" fontId="17" numFmtId="10" xfId="0" applyAlignment="1" applyBorder="1" applyFont="1" applyNumberFormat="1">
      <alignment horizontal="center"/>
    </xf>
    <xf borderId="44" fillId="8" fontId="17" numFmtId="2" xfId="0" applyAlignment="1" applyBorder="1" applyFont="1" applyNumberFormat="1">
      <alignment horizontal="center"/>
    </xf>
    <xf borderId="44" fillId="8" fontId="17" numFmtId="9" xfId="0" applyAlignment="1" applyBorder="1" applyFont="1" applyNumberFormat="1">
      <alignment horizontal="center"/>
    </xf>
    <xf borderId="44" fillId="8" fontId="17" numFmtId="0" xfId="0" applyAlignment="1" applyBorder="1" applyFont="1">
      <alignment horizontal="center"/>
    </xf>
    <xf borderId="44" fillId="8" fontId="17" numFmtId="166" xfId="0" applyAlignment="1" applyBorder="1" applyFont="1" applyNumberFormat="1">
      <alignment horizontal="center"/>
    </xf>
    <xf borderId="0" fillId="5" fontId="1" numFmtId="0" xfId="0" applyAlignment="1" applyFont="1">
      <alignment horizontal="center" readingOrder="0"/>
    </xf>
    <xf borderId="0" fillId="5" fontId="1" numFmtId="167" xfId="0" applyAlignment="1" applyFont="1" applyNumberFormat="1">
      <alignment horizontal="center" readingOrder="0"/>
    </xf>
    <xf borderId="0" fillId="8" fontId="17" numFmtId="0" xfId="0" applyAlignment="1" applyFont="1">
      <alignment horizontal="center" readingOrder="0"/>
    </xf>
    <xf borderId="0" fillId="8" fontId="17" numFmtId="9" xfId="0" applyAlignment="1" applyFont="1" applyNumberFormat="1">
      <alignment horizontal="center"/>
    </xf>
    <xf borderId="0" fillId="8" fontId="17" numFmtId="2" xfId="0" applyAlignment="1" applyFont="1" applyNumberFormat="1">
      <alignment horizontal="center"/>
    </xf>
    <xf borderId="0" fillId="8" fontId="17" numFmtId="10" xfId="0" applyAlignment="1" applyFont="1" applyNumberFormat="1">
      <alignment horizontal="center"/>
    </xf>
    <xf borderId="0" fillId="8" fontId="17" numFmtId="0" xfId="0" applyAlignment="1" applyFont="1">
      <alignment horizontal="center"/>
    </xf>
    <xf borderId="0" fillId="0" fontId="18" numFmtId="0" xfId="0" applyFont="1"/>
    <xf borderId="46" fillId="8" fontId="19" numFmtId="0" xfId="0" applyAlignment="1" applyBorder="1" applyFont="1">
      <alignment horizontal="center" readingOrder="0"/>
    </xf>
    <xf borderId="22" fillId="0" fontId="3" numFmtId="0" xfId="0" applyBorder="1" applyFont="1"/>
    <xf borderId="0" fillId="0" fontId="8" numFmtId="0" xfId="0" applyFont="1"/>
    <xf borderId="46" fillId="8" fontId="20" numFmtId="0" xfId="0" applyAlignment="1" applyBorder="1" applyFont="1">
      <alignment horizontal="center"/>
    </xf>
    <xf borderId="47" fillId="5" fontId="20" numFmtId="0" xfId="0" applyAlignment="1" applyBorder="1" applyFont="1">
      <alignment horizontal="center"/>
    </xf>
    <xf borderId="48" fillId="0" fontId="3" numFmtId="0" xfId="0" applyBorder="1" applyFont="1"/>
    <xf borderId="2" fillId="0" fontId="8" numFmtId="3" xfId="0" applyAlignment="1" applyBorder="1" applyFont="1" applyNumberFormat="1">
      <alignment horizontal="center" readingOrder="0"/>
    </xf>
    <xf borderId="2" fillId="0" fontId="8" numFmtId="3" xfId="0" applyAlignment="1" applyBorder="1" applyFont="1" applyNumberFormat="1">
      <alignment horizontal="center"/>
    </xf>
    <xf borderId="44" fillId="5" fontId="8" numFmtId="3" xfId="0" applyAlignment="1" applyBorder="1" applyFont="1" applyNumberFormat="1">
      <alignment horizontal="center"/>
    </xf>
    <xf borderId="2" fillId="0" fontId="8" numFmtId="10" xfId="0" applyAlignment="1" applyBorder="1" applyFont="1" applyNumberFormat="1">
      <alignment horizontal="center"/>
    </xf>
    <xf borderId="44" fillId="5" fontId="8" numFmtId="10" xfId="0" applyAlignment="1" applyBorder="1" applyFont="1" applyNumberFormat="1">
      <alignment horizontal="center"/>
    </xf>
    <xf borderId="2" fillId="0" fontId="8" numFmtId="2" xfId="0" applyAlignment="1" applyBorder="1" applyFont="1" applyNumberFormat="1">
      <alignment horizontal="center"/>
    </xf>
    <xf borderId="44" fillId="5" fontId="8" numFmtId="2" xfId="0" applyAlignment="1" applyBorder="1" applyFont="1" applyNumberFormat="1">
      <alignment horizontal="center"/>
    </xf>
    <xf borderId="2" fillId="0" fontId="8" numFmtId="9" xfId="0" applyAlignment="1" applyBorder="1" applyFont="1" applyNumberFormat="1">
      <alignment horizontal="center"/>
    </xf>
    <xf borderId="44" fillId="5" fontId="8" numFmtId="166" xfId="0" applyAlignment="1" applyBorder="1" applyFont="1" applyNumberFormat="1">
      <alignment horizontal="center"/>
    </xf>
    <xf borderId="2" fillId="0" fontId="8" numFmtId="166" xfId="0" applyAlignment="1" applyBorder="1" applyFont="1" applyNumberFormat="1">
      <alignment horizontal="center"/>
    </xf>
    <xf borderId="2" fillId="0" fontId="1" numFmtId="0" xfId="0" applyAlignment="1" applyBorder="1" applyFont="1">
      <alignment horizontal="center" readingOrder="0"/>
    </xf>
    <xf borderId="2" fillId="0" fontId="1" numFmtId="10" xfId="0" applyAlignment="1" applyBorder="1" applyFont="1" applyNumberFormat="1">
      <alignment horizontal="center"/>
    </xf>
    <xf borderId="44" fillId="5" fontId="21" numFmtId="0" xfId="0" applyBorder="1" applyFont="1"/>
    <xf borderId="0" fillId="0" fontId="21" numFmtId="0" xfId="0" applyAlignment="1" applyFont="1">
      <alignment horizontal="right"/>
    </xf>
    <xf borderId="0" fillId="0" fontId="21" numFmtId="0" xfId="0" applyAlignment="1" applyFont="1">
      <alignment horizontal="center"/>
    </xf>
    <xf borderId="0" fillId="0" fontId="22" numFmtId="0" xfId="0" applyFont="1"/>
    <xf borderId="0" fillId="0" fontId="1" numFmtId="0" xfId="0" applyAlignment="1" applyFont="1">
      <alignment horizontal="left"/>
    </xf>
    <xf borderId="49" fillId="2" fontId="23" numFmtId="0" xfId="0" applyAlignment="1" applyBorder="1" applyFont="1">
      <alignment horizontal="center"/>
    </xf>
    <xf borderId="50" fillId="0" fontId="3" numFmtId="0" xfId="0" applyBorder="1" applyFont="1"/>
    <xf borderId="51" fillId="0" fontId="3" numFmtId="0" xfId="0" applyBorder="1" applyFont="1"/>
    <xf borderId="52" fillId="5" fontId="24" numFmtId="0" xfId="0" applyAlignment="1" applyBorder="1" applyFont="1">
      <alignment horizontal="center"/>
    </xf>
    <xf borderId="53" fillId="0" fontId="3" numFmtId="0" xfId="0" applyBorder="1" applyFont="1"/>
    <xf borderId="54" fillId="0" fontId="3" numFmtId="0" xfId="0" applyBorder="1" applyFont="1"/>
    <xf borderId="3" fillId="3" fontId="5" numFmtId="0" xfId="0" applyAlignment="1" applyBorder="1" applyFont="1">
      <alignment horizontal="center" shrinkToFit="0" vertical="center" wrapText="1"/>
    </xf>
    <xf borderId="2" fillId="5" fontId="2" numFmtId="0" xfId="0" applyAlignment="1" applyBorder="1" applyFont="1">
      <alignment horizontal="left"/>
    </xf>
    <xf borderId="2" fillId="0" fontId="2" numFmtId="0" xfId="0" applyAlignment="1" applyBorder="1" applyFont="1">
      <alignment horizontal="left"/>
    </xf>
    <xf borderId="2" fillId="6" fontId="2" numFmtId="0" xfId="0" applyAlignment="1" applyBorder="1" applyFont="1">
      <alignment horizontal="left"/>
    </xf>
    <xf borderId="44" fillId="5" fontId="2" numFmtId="0" xfId="0" applyAlignment="1" applyBorder="1" applyFont="1">
      <alignment horizontal="left"/>
    </xf>
    <xf borderId="0" fillId="0" fontId="12" numFmtId="0" xfId="0" applyAlignment="1" applyFont="1">
      <alignment horizontal="right"/>
    </xf>
    <xf borderId="4" fillId="0" fontId="1" numFmtId="9" xfId="0" applyAlignment="1" applyBorder="1" applyFont="1" applyNumberFormat="1">
      <alignment horizontal="center"/>
    </xf>
    <xf borderId="4" fillId="0" fontId="9" numFmtId="0" xfId="0" applyAlignment="1" applyBorder="1" applyFont="1">
      <alignment horizontal="center"/>
    </xf>
    <xf borderId="0" fillId="0" fontId="13" numFmtId="0" xfId="0" applyAlignment="1" applyFont="1">
      <alignment horizontal="center" vertical="center"/>
    </xf>
    <xf borderId="0" fillId="0" fontId="15" numFmtId="0" xfId="0" applyFont="1"/>
    <xf borderId="55" fillId="0" fontId="16" numFmtId="0" xfId="0" applyAlignment="1" applyBorder="1" applyFont="1">
      <alignment horizontal="center"/>
    </xf>
    <xf borderId="56" fillId="0" fontId="16" numFmtId="0" xfId="0" applyAlignment="1" applyBorder="1" applyFont="1">
      <alignment horizontal="center"/>
    </xf>
    <xf borderId="57" fillId="0" fontId="16" numFmtId="0" xfId="0" applyAlignment="1" applyBorder="1" applyFont="1">
      <alignment horizontal="center"/>
    </xf>
    <xf borderId="22" fillId="0" fontId="1" numFmtId="0" xfId="0" applyAlignment="1" applyBorder="1" applyFont="1">
      <alignment horizontal="center"/>
    </xf>
    <xf borderId="2" fillId="0" fontId="1" numFmtId="165" xfId="0" applyAlignment="1" applyBorder="1" applyFont="1" applyNumberFormat="1">
      <alignment horizontal="center"/>
    </xf>
    <xf borderId="2" fillId="0" fontId="1" numFmtId="3" xfId="0" applyAlignment="1" applyBorder="1" applyFont="1" applyNumberFormat="1">
      <alignment horizontal="center"/>
    </xf>
    <xf borderId="2" fillId="0" fontId="1" numFmtId="0" xfId="0" applyAlignment="1" applyBorder="1" applyFont="1">
      <alignment horizontal="center"/>
    </xf>
    <xf borderId="2" fillId="0" fontId="1" numFmtId="4" xfId="0" applyAlignment="1" applyBorder="1" applyFont="1" applyNumberFormat="1">
      <alignment horizontal="center"/>
    </xf>
    <xf borderId="2" fillId="0" fontId="1" numFmtId="9" xfId="0" applyAlignment="1" applyBorder="1" applyFont="1" applyNumberFormat="1">
      <alignment horizontal="center"/>
    </xf>
    <xf borderId="46" fillId="0" fontId="1" numFmtId="0" xfId="0" applyAlignment="1" applyBorder="1" applyFont="1">
      <alignment horizontal="center"/>
    </xf>
    <xf borderId="56" fillId="0" fontId="1" numFmtId="166" xfId="0" applyAlignment="1" applyBorder="1" applyFont="1" applyNumberFormat="1">
      <alignment horizontal="center"/>
    </xf>
    <xf borderId="2" fillId="0" fontId="25" numFmtId="4" xfId="0" applyAlignment="1" applyBorder="1" applyFont="1" applyNumberFormat="1">
      <alignment horizontal="center"/>
    </xf>
    <xf borderId="2" fillId="0" fontId="1" numFmtId="2" xfId="0" applyAlignment="1" applyBorder="1" applyFont="1" applyNumberFormat="1">
      <alignment horizontal="center"/>
    </xf>
    <xf borderId="2" fillId="0" fontId="1" numFmtId="166" xfId="0" applyAlignment="1" applyBorder="1" applyFont="1" applyNumberFormat="1">
      <alignment horizontal="center"/>
    </xf>
    <xf borderId="21" fillId="5" fontId="1" numFmtId="0" xfId="0" applyAlignment="1" applyBorder="1" applyFont="1">
      <alignment horizontal="center"/>
    </xf>
    <xf borderId="3" fillId="5" fontId="1" numFmtId="165" xfId="0" applyAlignment="1" applyBorder="1" applyFont="1" applyNumberFormat="1">
      <alignment horizontal="center"/>
    </xf>
    <xf borderId="3" fillId="5" fontId="1" numFmtId="3" xfId="0" applyAlignment="1" applyBorder="1" applyFont="1" applyNumberFormat="1">
      <alignment horizontal="center"/>
    </xf>
    <xf borderId="3" fillId="5" fontId="1" numFmtId="9" xfId="0" applyAlignment="1" applyBorder="1" applyFont="1" applyNumberFormat="1">
      <alignment horizontal="center"/>
    </xf>
    <xf borderId="3" fillId="5" fontId="1" numFmtId="2" xfId="0" applyAlignment="1" applyBorder="1" applyFont="1" applyNumberFormat="1">
      <alignment horizontal="center"/>
    </xf>
    <xf borderId="3" fillId="5" fontId="1" numFmtId="0" xfId="0" applyAlignment="1" applyBorder="1" applyFont="1">
      <alignment horizontal="center"/>
    </xf>
    <xf borderId="3" fillId="5" fontId="1" numFmtId="166" xfId="0" applyAlignment="1" applyBorder="1" applyFont="1" applyNumberFormat="1">
      <alignment horizontal="center"/>
    </xf>
    <xf borderId="19" fillId="5" fontId="1" numFmtId="0" xfId="0" applyAlignment="1" applyBorder="1" applyFont="1">
      <alignment horizontal="center"/>
    </xf>
    <xf borderId="58" fillId="5" fontId="1" numFmtId="166" xfId="0" applyAlignment="1" applyBorder="1" applyFont="1" applyNumberFormat="1">
      <alignment horizontal="center"/>
    </xf>
    <xf borderId="3" fillId="7" fontId="1" numFmtId="0" xfId="0" applyAlignment="1" applyBorder="1" applyFont="1">
      <alignment horizontal="center"/>
    </xf>
    <xf borderId="3" fillId="7" fontId="1" numFmtId="166" xfId="0" applyAlignment="1" applyBorder="1" applyFont="1" applyNumberFormat="1">
      <alignment horizontal="center"/>
    </xf>
    <xf borderId="21" fillId="8" fontId="17" numFmtId="0" xfId="0" applyAlignment="1" applyBorder="1" applyFont="1">
      <alignment horizontal="center"/>
    </xf>
    <xf borderId="3" fillId="8" fontId="17" numFmtId="165" xfId="0" applyAlignment="1" applyBorder="1" applyFont="1" applyNumberFormat="1">
      <alignment horizontal="center"/>
    </xf>
    <xf borderId="3" fillId="8" fontId="17" numFmtId="3" xfId="0" applyAlignment="1" applyBorder="1" applyFont="1" applyNumberFormat="1">
      <alignment horizontal="center"/>
    </xf>
    <xf borderId="3" fillId="8" fontId="17" numFmtId="9" xfId="0" applyAlignment="1" applyBorder="1" applyFont="1" applyNumberFormat="1">
      <alignment horizontal="center"/>
    </xf>
    <xf borderId="2" fillId="8" fontId="17" numFmtId="2" xfId="0" applyAlignment="1" applyBorder="1" applyFont="1" applyNumberFormat="1">
      <alignment horizontal="center"/>
    </xf>
    <xf borderId="3" fillId="8" fontId="17" numFmtId="0" xfId="0" applyAlignment="1" applyBorder="1" applyFont="1">
      <alignment horizontal="center"/>
    </xf>
    <xf borderId="3" fillId="8" fontId="1" numFmtId="166" xfId="0" applyAlignment="1" applyBorder="1" applyFont="1" applyNumberFormat="1">
      <alignment horizontal="center"/>
    </xf>
    <xf borderId="2" fillId="8" fontId="17" numFmtId="10" xfId="0" applyAlignment="1" applyBorder="1" applyFont="1" applyNumberFormat="1">
      <alignment horizontal="center"/>
    </xf>
    <xf borderId="2" fillId="8" fontId="17" numFmtId="0" xfId="0" applyAlignment="1" applyBorder="1" applyFont="1">
      <alignment horizontal="center"/>
    </xf>
    <xf borderId="3" fillId="8" fontId="17" numFmtId="166" xfId="0" applyAlignment="1" applyBorder="1" applyFont="1" applyNumberFormat="1">
      <alignment horizontal="center"/>
    </xf>
    <xf borderId="23" fillId="0" fontId="1" numFmtId="0" xfId="0" applyAlignment="1" applyBorder="1" applyFont="1">
      <alignment horizontal="center"/>
    </xf>
    <xf borderId="23" fillId="0" fontId="1" numFmtId="166" xfId="0" applyAlignment="1" applyBorder="1" applyFont="1" applyNumberFormat="1">
      <alignment horizontal="center"/>
    </xf>
    <xf borderId="0" fillId="8" fontId="17" numFmtId="168" xfId="0" applyAlignment="1" applyFont="1" applyNumberFormat="1">
      <alignment horizontal="center" readingOrder="0"/>
    </xf>
    <xf borderId="0" fillId="8" fontId="1" numFmtId="0" xfId="0" applyAlignment="1" applyFont="1">
      <alignment horizontal="center"/>
    </xf>
    <xf borderId="0" fillId="0" fontId="1" numFmtId="0" xfId="0" applyAlignment="1" applyFont="1">
      <alignment horizontal="center"/>
    </xf>
    <xf borderId="46" fillId="2" fontId="26" numFmtId="0" xfId="0" applyAlignment="1" applyBorder="1" applyFont="1">
      <alignment horizontal="center" readingOrder="0"/>
    </xf>
    <xf borderId="47" fillId="5" fontId="4" numFmtId="0" xfId="0" applyAlignment="1" applyBorder="1" applyFont="1">
      <alignment horizontal="center"/>
    </xf>
    <xf borderId="2" fillId="0" fontId="1" numFmtId="3" xfId="0" applyAlignment="1" applyBorder="1" applyFont="1" applyNumberFormat="1">
      <alignment horizontal="center"/>
    </xf>
    <xf borderId="44" fillId="5" fontId="1" numFmtId="0" xfId="0" applyAlignment="1" applyBorder="1" applyFont="1">
      <alignment horizontal="center"/>
    </xf>
    <xf borderId="44" fillId="5" fontId="1" numFmtId="3" xfId="0" applyAlignment="1" applyBorder="1" applyFont="1" applyNumberFormat="1">
      <alignment horizontal="center"/>
    </xf>
    <xf borderId="44" fillId="5" fontId="21" numFmtId="0" xfId="0" applyAlignment="1" applyBorder="1" applyFont="1">
      <alignment horizontal="center"/>
    </xf>
    <xf borderId="44" fillId="5" fontId="21" numFmtId="3" xfId="0" applyAlignment="1" applyBorder="1" applyFont="1" applyNumberFormat="1">
      <alignment horizontal="center"/>
    </xf>
    <xf borderId="44" fillId="5" fontId="1" numFmtId="10" xfId="0" applyAlignment="1" applyBorder="1" applyFont="1" applyNumberFormat="1">
      <alignment horizontal="center"/>
    </xf>
    <xf borderId="44" fillId="5" fontId="21" numFmtId="10" xfId="0" applyAlignment="1" applyBorder="1" applyFont="1" applyNumberFormat="1">
      <alignment horizontal="center"/>
    </xf>
    <xf borderId="2" fillId="0" fontId="1" numFmtId="2" xfId="0" applyAlignment="1" applyBorder="1" applyFont="1" applyNumberFormat="1">
      <alignment horizontal="center"/>
    </xf>
    <xf borderId="44" fillId="5" fontId="1" numFmtId="2" xfId="0" applyAlignment="1" applyBorder="1" applyFont="1" applyNumberFormat="1">
      <alignment horizontal="center"/>
    </xf>
    <xf borderId="44" fillId="5" fontId="21" numFmtId="2" xfId="0" applyAlignment="1" applyBorder="1" applyFont="1" applyNumberFormat="1">
      <alignment horizontal="center"/>
    </xf>
    <xf borderId="2" fillId="0" fontId="1" numFmtId="166" xfId="0" applyAlignment="1" applyBorder="1" applyFont="1" applyNumberFormat="1">
      <alignment horizontal="center"/>
    </xf>
    <xf borderId="44" fillId="5" fontId="1" numFmtId="166" xfId="0" applyAlignment="1" applyBorder="1" applyFont="1" applyNumberFormat="1">
      <alignment horizontal="center"/>
    </xf>
    <xf borderId="44" fillId="5" fontId="21" numFmtId="166" xfId="0" applyAlignment="1" applyBorder="1" applyFont="1" applyNumberFormat="1">
      <alignment horizontal="center"/>
    </xf>
    <xf borderId="2" fillId="9" fontId="1" numFmtId="3" xfId="0" applyAlignment="1" applyBorder="1" applyFill="1" applyFont="1" applyNumberFormat="1">
      <alignment horizontal="center"/>
    </xf>
    <xf borderId="0" fillId="0" fontId="1" numFmtId="3" xfId="0" applyAlignment="1" applyFont="1" applyNumberFormat="1">
      <alignment horizontal="center"/>
    </xf>
    <xf borderId="44" fillId="5" fontId="21" numFmtId="1" xfId="0" applyAlignment="1" applyBorder="1" applyFont="1" applyNumberFormat="1">
      <alignment horizontal="center"/>
    </xf>
    <xf borderId="0" fillId="0" fontId="12" numFmtId="0" xfId="0" applyAlignment="1" applyFont="1">
      <alignment horizontal="center"/>
    </xf>
    <xf borderId="0" fillId="0" fontId="12" numFmtId="3" xfId="0" applyAlignment="1" applyFont="1" applyNumberFormat="1">
      <alignment horizontal="center"/>
    </xf>
    <xf borderId="49" fillId="2" fontId="6" numFmtId="0" xfId="0" applyAlignment="1" applyBorder="1" applyFont="1">
      <alignment horizontal="center" vertical="center"/>
    </xf>
    <xf borderId="59" fillId="0" fontId="3" numFmtId="0" xfId="0" applyBorder="1" applyFont="1"/>
    <xf borderId="46" fillId="5" fontId="27" numFmtId="0" xfId="0" applyAlignment="1" applyBorder="1" applyFont="1">
      <alignment horizontal="center"/>
    </xf>
    <xf borderId="60" fillId="0" fontId="3" numFmtId="0" xfId="0" applyBorder="1" applyFont="1"/>
    <xf borderId="3" fillId="2" fontId="6" numFmtId="0" xfId="0" applyAlignment="1" applyBorder="1" applyFont="1">
      <alignment horizontal="center" vertical="center"/>
    </xf>
    <xf borderId="3" fillId="5" fontId="27" numFmtId="0" xfId="0" applyAlignment="1" applyBorder="1" applyFont="1">
      <alignment horizontal="center"/>
    </xf>
    <xf borderId="2" fillId="5" fontId="1" numFmtId="0" xfId="0" applyAlignment="1" applyBorder="1" applyFont="1">
      <alignment horizontal="center"/>
    </xf>
    <xf borderId="2" fillId="0" fontId="1" numFmtId="1" xfId="0" applyAlignment="1" applyBorder="1" applyFont="1" applyNumberFormat="1">
      <alignment horizontal="center"/>
    </xf>
    <xf borderId="20" fillId="10" fontId="6" numFmtId="0" xfId="0" applyAlignment="1" applyBorder="1" applyFill="1" applyFont="1">
      <alignment horizontal="center" vertical="top"/>
    </xf>
    <xf borderId="58" fillId="10" fontId="6" numFmtId="0" xfId="0" applyAlignment="1" applyBorder="1" applyFont="1">
      <alignment horizontal="center" vertical="top"/>
    </xf>
    <xf borderId="58" fillId="10" fontId="6" numFmtId="17" xfId="0" applyAlignment="1" applyBorder="1" applyFont="1" applyNumberFormat="1">
      <alignment horizontal="center" vertical="top"/>
    </xf>
    <xf borderId="61" fillId="10" fontId="6" numFmtId="0" xfId="0" applyAlignment="1" applyBorder="1" applyFont="1">
      <alignment horizontal="center" vertical="top"/>
    </xf>
    <xf borderId="22" fillId="0" fontId="12" numFmtId="0" xfId="0" applyAlignment="1" applyBorder="1" applyFont="1">
      <alignment horizontal="center"/>
    </xf>
    <xf borderId="46" fillId="0" fontId="1" numFmtId="3" xfId="0" applyAlignment="1" applyBorder="1" applyFont="1" applyNumberFormat="1">
      <alignment horizontal="center"/>
    </xf>
    <xf borderId="62" fillId="0" fontId="12" numFmtId="0" xfId="0" applyAlignment="1" applyBorder="1" applyFont="1">
      <alignment horizontal="center"/>
    </xf>
    <xf borderId="63" fillId="0" fontId="1" numFmtId="0" xfId="0" applyAlignment="1" applyBorder="1" applyFont="1">
      <alignment horizontal="center"/>
    </xf>
    <xf borderId="22" fillId="0" fontId="12" numFmtId="0" xfId="0" applyBorder="1" applyFont="1"/>
    <xf borderId="62" fillId="0" fontId="12" numFmtId="0" xfId="0" applyBorder="1" applyFont="1"/>
  </cellXfs>
  <cellStyles count="1">
    <cellStyle xfId="0" name="Normal" builtinId="0"/>
  </cellStyles>
  <dxfs count="6">
    <dxf>
      <font/>
      <fill>
        <patternFill patternType="none"/>
      </fill>
      <border/>
    </dxf>
    <dxf>
      <font/>
      <fill>
        <patternFill patternType="solid">
          <fgColor theme="9"/>
          <bgColor theme="9"/>
        </patternFill>
      </fill>
      <border/>
    </dxf>
    <dxf>
      <font/>
      <fill>
        <patternFill patternType="solid">
          <fgColor theme="0"/>
          <bgColor theme="0"/>
        </patternFill>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s>
  <tableStyles count="5">
    <tableStyle count="3" pivot="0" name="Renovaciones-style">
      <tableStyleElement dxfId="1" type="headerRow"/>
      <tableStyleElement dxfId="2" type="firstRowStripe"/>
      <tableStyleElement dxfId="2" type="secondRowStripe"/>
    </tableStyle>
    <tableStyle count="3" pivot="0" name="P2P-style">
      <tableStyleElement dxfId="1" type="headerRow"/>
      <tableStyleElement dxfId="2" type="firstRowStripe"/>
      <tableStyleElement dxfId="2" type="secondRowStripe"/>
    </tableStyle>
    <tableStyle count="3" pivot="0" name="Meta diaria-style">
      <tableStyleElement dxfId="3" type="headerRow"/>
      <tableStyleElement dxfId="4" type="firstRowStripe"/>
      <tableStyleElement dxfId="5" type="secondRowStripe"/>
    </tableStyle>
    <tableStyle count="3" pivot="0" name="evidencia-style">
      <tableStyleElement dxfId="3" type="headerRow"/>
      <tableStyleElement dxfId="4" type="firstRowStripe"/>
      <tableStyleElement dxfId="5" type="secondRowStripe"/>
    </tableStyle>
    <tableStyle count="3" pivot="0" name="evidencia-style 2">
      <tableStyleElement dxfId="3" type="headerRow"/>
      <tableStyleElement dxfId="4" type="firstRowStripe"/>
      <tableStyleElement dxfId="5"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microsoft.com/office/2007/relationships/slicerCache" Target="slicerCaches/slicerCache2.xml"/><Relationship Id="rId14" Type="http://schemas.microsoft.com/office/2007/relationships/slicerCache" Target="slicerCaches/slicerCache1.xml"/><Relationship Id="rId17" Type="http://schemas.microsoft.com/office/2007/relationships/slicerCache" Target="slicerCaches/slicerCache4.xml"/><Relationship Id="rId16" Type="http://schemas.microsoft.com/office/2007/relationships/slicerCache" Target="slicerCaches/slicerCache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5.png"/><Relationship Id="rId4"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6</xdr:row>
      <xdr:rowOff>9525</xdr:rowOff>
    </xdr:from>
    <xdr:ext cx="1190625" cy="2857500"/>
    <mc:AlternateContent>
      <mc:Choice Requires="sle15">
        <xdr:graphicFrame>
          <xdr:nvGraphicFramePr>
            <xdr:cNvPr id="1" name="Año_1"/>
            <xdr:cNvGraphicFramePr/>
          </xdr:nvGraphicFramePr>
          <xdr:xfrm>
            <a:off x="0" y="0"/>
            <a:ext cx="0" cy="0"/>
          </xdr:xfrm>
          <a:graphic>
            <a:graphicData uri="http://schemas.microsoft.com/office/drawing/2010/slicer">
              <x3Unk:slicer name="Año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504825</xdr:colOff>
      <xdr:row>5</xdr:row>
      <xdr:rowOff>152400</xdr:rowOff>
    </xdr:from>
    <xdr:ext cx="2057400" cy="2857500"/>
    <mc:AlternateContent>
      <mc:Choice Requires="sle15">
        <xdr:graphicFrame>
          <xdr:nvGraphicFramePr>
            <xdr:cNvPr id="2" name="MES_2"/>
            <xdr:cNvGraphicFramePr/>
          </xdr:nvGraphicFramePr>
          <xdr:xfrm>
            <a:off x="0" y="0"/>
            <a:ext cx="0" cy="0"/>
          </xdr:xfrm>
          <a:graphic>
            <a:graphicData uri="http://schemas.microsoft.com/office/drawing/2010/slicer">
              <x3Unk:slicer name="MES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6</xdr:row>
      <xdr:rowOff>123825</xdr:rowOff>
    </xdr:from>
    <xdr:ext cx="1085850" cy="2857500"/>
    <mc:AlternateContent>
      <mc:Choice Requires="sle15">
        <xdr:graphicFrame>
          <xdr:nvGraphicFramePr>
            <xdr:cNvPr id="3" name="Año_3"/>
            <xdr:cNvGraphicFramePr/>
          </xdr:nvGraphicFramePr>
          <xdr:xfrm>
            <a:off x="0" y="0"/>
            <a:ext cx="0" cy="0"/>
          </xdr:xfrm>
          <a:graphic>
            <a:graphicData uri="http://schemas.microsoft.com/office/drawing/2010/slicer">
              <x3Unk:slicer name="Año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238125</xdr:colOff>
      <xdr:row>5</xdr:row>
      <xdr:rowOff>123825</xdr:rowOff>
    </xdr:from>
    <xdr:ext cx="1362075" cy="2857500"/>
    <mc:AlternateContent>
      <mc:Choice Requires="sle15">
        <xdr:graphicFrame>
          <xdr:nvGraphicFramePr>
            <xdr:cNvPr id="4" name="Mes _4"/>
            <xdr:cNvGraphicFramePr/>
          </xdr:nvGraphicFramePr>
          <xdr:xfrm>
            <a:off x="0" y="0"/>
            <a:ext cx="0" cy="0"/>
          </xdr:xfrm>
          <a:graphic>
            <a:graphicData uri="http://schemas.microsoft.com/office/drawing/2010/slicer">
              <x3Unk:slicer name="Mes 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0</xdr:colOff>
      <xdr:row>28</xdr:row>
      <xdr:rowOff>0</xdr:rowOff>
    </xdr:from>
    <xdr:ext cx="314325" cy="342900"/>
    <xdr:sp>
      <xdr:nvSpPr>
        <xdr:cNvPr id="3" name="Shape 3"/>
        <xdr:cNvSpPr/>
      </xdr:nvSpPr>
      <xdr:spPr>
        <a:xfrm>
          <a:off x="5193600" y="3613313"/>
          <a:ext cx="304800"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5</xdr:col>
      <xdr:colOff>0</xdr:colOff>
      <xdr:row>28</xdr:row>
      <xdr:rowOff>0</xdr:rowOff>
    </xdr:from>
    <xdr:ext cx="323850" cy="323850"/>
    <xdr:sp>
      <xdr:nvSpPr>
        <xdr:cNvPr id="4" name="Shape 4"/>
        <xdr:cNvSpPr/>
      </xdr:nvSpPr>
      <xdr:spPr>
        <a:xfrm>
          <a:off x="5188838" y="3622838"/>
          <a:ext cx="31432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5</xdr:col>
      <xdr:colOff>0</xdr:colOff>
      <xdr:row>28</xdr:row>
      <xdr:rowOff>0</xdr:rowOff>
    </xdr:from>
    <xdr:ext cx="323850" cy="323850"/>
    <xdr:sp>
      <xdr:nvSpPr>
        <xdr:cNvPr id="4" name="Shape 4"/>
        <xdr:cNvSpPr/>
      </xdr:nvSpPr>
      <xdr:spPr>
        <a:xfrm>
          <a:off x="5188838" y="3622838"/>
          <a:ext cx="31432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13</xdr:col>
      <xdr:colOff>0</xdr:colOff>
      <xdr:row>28</xdr:row>
      <xdr:rowOff>0</xdr:rowOff>
    </xdr:from>
    <xdr:ext cx="323850" cy="323850"/>
    <xdr:sp>
      <xdr:nvSpPr>
        <xdr:cNvPr id="4" name="Shape 4"/>
        <xdr:cNvSpPr/>
      </xdr:nvSpPr>
      <xdr:spPr>
        <a:xfrm>
          <a:off x="5188838" y="3622838"/>
          <a:ext cx="31432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28</xdr:row>
      <xdr:rowOff>0</xdr:rowOff>
    </xdr:from>
    <xdr:ext cx="323850" cy="323850"/>
    <xdr:sp>
      <xdr:nvSpPr>
        <xdr:cNvPr id="5" name="Shape 5"/>
        <xdr:cNvSpPr/>
      </xdr:nvSpPr>
      <xdr:spPr>
        <a:xfrm>
          <a:off x="5188838" y="3622838"/>
          <a:ext cx="31432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28</xdr:row>
      <xdr:rowOff>0</xdr:rowOff>
    </xdr:from>
    <xdr:ext cx="323850" cy="323850"/>
    <xdr:sp>
      <xdr:nvSpPr>
        <xdr:cNvPr id="5" name="Shape 5"/>
        <xdr:cNvSpPr/>
      </xdr:nvSpPr>
      <xdr:spPr>
        <a:xfrm>
          <a:off x="5188838" y="3622838"/>
          <a:ext cx="31432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11</xdr:col>
      <xdr:colOff>0</xdr:colOff>
      <xdr:row>28</xdr:row>
      <xdr:rowOff>0</xdr:rowOff>
    </xdr:from>
    <xdr:ext cx="314325" cy="342900"/>
    <xdr:sp>
      <xdr:nvSpPr>
        <xdr:cNvPr id="3" name="Shape 3"/>
        <xdr:cNvSpPr/>
      </xdr:nvSpPr>
      <xdr:spPr>
        <a:xfrm>
          <a:off x="5193600" y="3613313"/>
          <a:ext cx="304800"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11</xdr:col>
      <xdr:colOff>0</xdr:colOff>
      <xdr:row>28</xdr:row>
      <xdr:rowOff>0</xdr:rowOff>
    </xdr:from>
    <xdr:ext cx="323850" cy="323850"/>
    <xdr:sp>
      <xdr:nvSpPr>
        <xdr:cNvPr id="5" name="Shape 5"/>
        <xdr:cNvSpPr/>
      </xdr:nvSpPr>
      <xdr:spPr>
        <a:xfrm>
          <a:off x="5188838" y="3622838"/>
          <a:ext cx="31432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11</xdr:col>
      <xdr:colOff>0</xdr:colOff>
      <xdr:row>28</xdr:row>
      <xdr:rowOff>0</xdr:rowOff>
    </xdr:from>
    <xdr:ext cx="323850" cy="323850"/>
    <xdr:sp>
      <xdr:nvSpPr>
        <xdr:cNvPr id="5" name="Shape 5"/>
        <xdr:cNvSpPr/>
      </xdr:nvSpPr>
      <xdr:spPr>
        <a:xfrm>
          <a:off x="5188838" y="3622838"/>
          <a:ext cx="31432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0</xdr:row>
      <xdr:rowOff>85725</xdr:rowOff>
    </xdr:from>
    <xdr:ext cx="8105775" cy="53911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381000</xdr:colOff>
      <xdr:row>14</xdr:row>
      <xdr:rowOff>95250</xdr:rowOff>
    </xdr:from>
    <xdr:ext cx="6381750" cy="19240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352425</xdr:colOff>
      <xdr:row>5</xdr:row>
      <xdr:rowOff>142875</xdr:rowOff>
    </xdr:from>
    <xdr:ext cx="1819275" cy="19812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27</xdr:row>
      <xdr:rowOff>0</xdr:rowOff>
    </xdr:from>
    <xdr:ext cx="3581400" cy="250507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114300</xdr:rowOff>
    </xdr:from>
    <xdr:ext cx="18973800" cy="745807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38</xdr:row>
      <xdr:rowOff>104775</xdr:rowOff>
    </xdr:from>
    <xdr:ext cx="14458950" cy="74009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Año">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MES">
  <x14:extLst>
    <ext uri="{2F2917AC-EB37-4324-AD4E-5DD8C200BD13}">
      <x15:tableSlicerCache tableId="1" column="2"/>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Año">
  <x14:extLst>
    <ext uri="{2F2917AC-EB37-4324-AD4E-5DD8C200BD13}">
      <x15:tableSlicerCache tableId="2" column="1"/>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2" sourceName="Mes ">
  <x14:extLst>
    <ext uri="{2F2917AC-EB37-4324-AD4E-5DD8C200BD13}">
      <x15:tableSlicerCache tableId="2"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Año_1" cache="SlicerCache_Table_1_Col_1" caption="Año" rowHeight="247650"/>
  <x14:slicer name="MES_2" cache="SlicerCache_Table_1_Col_2" caption="MES"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Año_3" cache="SlicerCache_Table_2_Col_1" caption="Año" rowHeight="247650"/>
  <x14:slicer name="Mes _4" cache="SlicerCache_Table_2_Col_2" caption="Mes " rowHeight="247650"/>
</x14:slicers>
</file>

<file path=xl/tables/table1.xml><?xml version="1.0" encoding="utf-8"?>
<table xmlns="http://schemas.openxmlformats.org/spreadsheetml/2006/main" ref="F7:AB26" displayName="Table_1" name="Table_1" id="1">
  <autoFilter ref="$F$7:$AB$26"/>
  <tableColumns count="23">
    <tableColumn name="Año" id="1"/>
    <tableColumn name="MES" id="2"/>
    <tableColumn name="Base" id="3"/>
    <tableColumn name="Recorrido" id="4"/>
    <tableColumn name="%Recorrido" id="5"/>
    <tableColumn name="Intentos Totales" id="6"/>
    <tableColumn name="Ratio llamadas" id="7"/>
    <tableColumn name="Contactado" id="8"/>
    <tableColumn name="%Contactado" id="9"/>
    <tableColumn name="RPC" id="10"/>
    <tableColumn name="%RPC" id="11"/>
    <tableColumn name="Renovación" id="12"/>
    <tableColumn name="% Conv Reno" id="13"/>
    <tableColumn name="Creadas CLientes Totales Fijo" id="14"/>
    <tableColumn name="% Conv Creadas Totales Fijo" id="15"/>
    <tableColumn name="Creadas RGU Fijo" id="16"/>
    <tableColumn name="% Conv Creadas Fijo" id="17"/>
    <tableColumn name="Rgu Fijo Fact" id="18"/>
    <tableColumn name="%Conv Fijo" id="19"/>
    <tableColumn name="Rgu Movil Fact" id="20"/>
    <tableColumn name="% Conv Movil" id="21"/>
    <tableColumn name="Total FACT" id="22"/>
    <tableColumn name="% Conversion" id="23"/>
  </tableColumns>
  <tableStyleInfo name="Renovaciones-style" showColumnStripes="0" showFirstColumn="1" showLastColumn="1" showRowStripes="1"/>
</table>
</file>

<file path=xl/tables/table2.xml><?xml version="1.0" encoding="utf-8"?>
<table xmlns="http://schemas.openxmlformats.org/spreadsheetml/2006/main" ref="F8:AB23" displayName="Table_2" name="Table_2" id="2">
  <autoFilter ref="$F$8:$AB$23"/>
  <tableColumns count="23">
    <tableColumn name="Año" id="1"/>
    <tableColumn name="Mes " id="2"/>
    <tableColumn name="Base" id="3"/>
    <tableColumn name="Recorrido" id="4"/>
    <tableColumn name="%Recorrido" id="5"/>
    <tableColumn name="Intentos Totales" id="6"/>
    <tableColumn name="Ratio llamadas" id="7"/>
    <tableColumn name="Contactado" id="8"/>
    <tableColumn name="%Contactado" id="9"/>
    <tableColumn name="RPC" id="10"/>
    <tableColumn name="%RPC" id="11"/>
    <tableColumn name="Renovación" id="12"/>
    <tableColumn name="% Conv Reno" id="13"/>
    <tableColumn name="Creadas Clientes Totales Fijo" id="14"/>
    <tableColumn name="% Conv Creadas Totales Fijo" id="15"/>
    <tableColumn name="FACTURADAS Fijo" id="16"/>
    <tableColumn name="% Conv FACT Fijo" id="17"/>
    <tableColumn name="Rgu Fijo Fact" id="18"/>
    <tableColumn name="%Conv Fijo RGU" id="19"/>
    <tableColumn name="Rgu Movil Fact" id="20"/>
    <tableColumn name="% Conv Movil" id="21"/>
    <tableColumn name="Total FACT" id="22"/>
    <tableColumn name="% Conv Total" id="23"/>
  </tableColumns>
  <tableStyleInfo name="P2P-style" showColumnStripes="0" showFirstColumn="1" showLastColumn="1" showRowStripes="1"/>
</table>
</file>

<file path=xl/tables/table3.xml><?xml version="1.0" encoding="utf-8"?>
<table xmlns="http://schemas.openxmlformats.org/spreadsheetml/2006/main" ref="A2:D5" displayName="Table_3" name="Table_3" id="3">
  <tableColumns count="4">
    <tableColumn name="Indicador" id="1"/>
    <tableColumn name="Total requerido" id="2"/>
    <tableColumn name="  Recorrido Diario" id="3"/>
    <tableColumn name="Por vendedor/día" id="4"/>
  </tableColumns>
  <tableStyleInfo name="Meta diaria-style" showColumnStripes="0" showFirstColumn="1" showLastColumn="1" showRowStripes="1"/>
</table>
</file>

<file path=xl/tables/table4.xml><?xml version="1.0" encoding="utf-8"?>
<table xmlns="http://schemas.openxmlformats.org/spreadsheetml/2006/main" ref="A78:M101" displayName="Table_4" name="Table_4" id="4">
  <tableColumns count="13">
    <tableColumn name="Detalle" id="1"/>
    <tableColumn name="may-25" id="2"/>
    <tableColumn name="jun-25" id="3"/>
    <tableColumn name="jul-25" id="4"/>
    <tableColumn name="ago-25" id="5"/>
    <tableColumn name="sep-25" id="6"/>
    <tableColumn name="oct-25" id="7"/>
    <tableColumn name="nov-25" id="8"/>
    <tableColumn name="dic-25" id="9"/>
    <tableColumn name="ene-26" id="10"/>
    <tableColumn name="feb-26" id="11"/>
    <tableColumn name="mar-26" id="12"/>
    <tableColumn name="Total general" id="13"/>
  </tableColumns>
  <tableStyleInfo name="evidencia-style" showColumnStripes="0" showFirstColumn="1" showLastColumn="1" showRowStripes="1"/>
</table>
</file>

<file path=xl/tables/table5.xml><?xml version="1.0" encoding="utf-8"?>
<table xmlns="http://schemas.openxmlformats.org/spreadsheetml/2006/main" ref="A105:R128" displayName="Table_5" name="Table_5" id="5">
  <tableColumns count="18">
    <tableColumn name="Detalle" id="1"/>
    <tableColumn name="Columna1" id="2"/>
    <tableColumn name="Columna2" id="3"/>
    <tableColumn name="Columna3" id="4"/>
    <tableColumn name="Columna4" id="5"/>
    <tableColumn name="Columna5" id="6"/>
    <tableColumn name="Columna6" id="7"/>
    <tableColumn name="Columna7" id="8"/>
    <tableColumn name="Columna8" id="9"/>
    <tableColumn name="Columna9" id="10"/>
    <tableColumn name="Columna10" id="11"/>
    <tableColumn name="Columna11" id="12"/>
    <tableColumn name="dic-25" id="13"/>
    <tableColumn name="ene-26" id="14"/>
    <tableColumn name="feb-26" id="15"/>
    <tableColumn name="mar-26" id="16"/>
    <tableColumn name="abr-26" id="17"/>
    <tableColumn name="Total general" id="18"/>
  </tableColumns>
  <tableStyleInfo name="evidencia-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4.xml"/><Relationship Id="rId5"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14"/>
    <col customWidth="1" min="2" max="2" width="43.43"/>
    <col customWidth="1" min="3" max="21" width="23.14"/>
    <col customWidth="1" min="22" max="22" width="43.0"/>
    <col customWidth="1" min="23" max="31" width="23.14"/>
  </cols>
  <sheetData>
    <row r="1" ht="14.25" customHeight="1">
      <c r="A1" s="1"/>
      <c r="B1" s="2" t="s">
        <v>0</v>
      </c>
      <c r="C1" s="3"/>
      <c r="D1" s="3"/>
      <c r="E1" s="3"/>
      <c r="F1" s="3"/>
      <c r="G1" s="3"/>
      <c r="H1" s="3"/>
      <c r="I1" s="3"/>
      <c r="J1" s="3"/>
      <c r="K1" s="3"/>
      <c r="L1" s="4" t="s">
        <v>1</v>
      </c>
      <c r="M1" s="3"/>
      <c r="N1" s="3"/>
      <c r="O1" s="3"/>
      <c r="P1" s="3"/>
      <c r="Q1" s="3"/>
      <c r="R1" s="3"/>
      <c r="S1" s="3"/>
      <c r="T1" s="1"/>
      <c r="U1" s="1"/>
      <c r="V1" s="1">
        <v>1.0</v>
      </c>
      <c r="W1" s="1">
        <v>2.0</v>
      </c>
      <c r="X1" s="1">
        <v>3.0</v>
      </c>
      <c r="Y1" s="1">
        <v>4.0</v>
      </c>
      <c r="Z1" s="1">
        <v>5.0</v>
      </c>
      <c r="AA1" s="1">
        <v>6.0</v>
      </c>
      <c r="AB1" s="1">
        <v>7.0</v>
      </c>
      <c r="AC1" s="1">
        <v>8.0</v>
      </c>
      <c r="AD1" s="1">
        <v>9.0</v>
      </c>
      <c r="AE1" s="1">
        <v>11.0</v>
      </c>
    </row>
    <row r="2" ht="14.25" customHeight="1">
      <c r="A2" s="5" t="s">
        <v>2</v>
      </c>
      <c r="B2" s="5" t="s">
        <v>3</v>
      </c>
      <c r="C2" s="6" t="s">
        <v>4</v>
      </c>
      <c r="D2" s="5" t="s">
        <v>5</v>
      </c>
      <c r="E2" s="5" t="s">
        <v>6</v>
      </c>
      <c r="F2" s="6" t="s">
        <v>7</v>
      </c>
      <c r="G2" s="5" t="s">
        <v>8</v>
      </c>
      <c r="H2" s="5" t="s">
        <v>9</v>
      </c>
      <c r="I2" s="5" t="s">
        <v>10</v>
      </c>
      <c r="J2" s="5" t="s">
        <v>11</v>
      </c>
      <c r="K2" s="5" t="s">
        <v>12</v>
      </c>
      <c r="L2" s="7" t="s">
        <v>4</v>
      </c>
      <c r="M2" s="7" t="s">
        <v>6</v>
      </c>
      <c r="N2" s="7" t="s">
        <v>7</v>
      </c>
      <c r="O2" s="7" t="s">
        <v>8</v>
      </c>
      <c r="P2" s="7" t="s">
        <v>9</v>
      </c>
      <c r="Q2" s="7" t="s">
        <v>10</v>
      </c>
      <c r="R2" s="7" t="s">
        <v>11</v>
      </c>
      <c r="S2" s="7" t="s">
        <v>12</v>
      </c>
      <c r="T2" s="1"/>
      <c r="U2" s="1"/>
      <c r="V2" s="8" t="s">
        <v>3</v>
      </c>
      <c r="W2" s="9" t="s">
        <v>4</v>
      </c>
      <c r="X2" s="10" t="s">
        <v>6</v>
      </c>
      <c r="Y2" s="10" t="s">
        <v>7</v>
      </c>
      <c r="Z2" s="10" t="s">
        <v>9</v>
      </c>
      <c r="AA2" s="10" t="s">
        <v>10</v>
      </c>
      <c r="AB2" s="11" t="s">
        <v>13</v>
      </c>
      <c r="AC2" s="12" t="s">
        <v>14</v>
      </c>
      <c r="AD2" s="12" t="s">
        <v>15</v>
      </c>
      <c r="AE2" s="8" t="s">
        <v>12</v>
      </c>
    </row>
    <row r="3" ht="14.25" customHeight="1">
      <c r="A3" s="13" t="s">
        <v>16</v>
      </c>
      <c r="B3" s="14" t="s">
        <v>17</v>
      </c>
      <c r="C3" s="13">
        <v>838.0</v>
      </c>
      <c r="D3" s="15">
        <f t="shared" ref="D3:D41" si="1">C3/25</f>
        <v>33.52</v>
      </c>
      <c r="E3" s="16">
        <v>70.0</v>
      </c>
      <c r="F3" s="13">
        <v>50.0</v>
      </c>
      <c r="G3" s="17">
        <v>56.0</v>
      </c>
      <c r="H3" s="13">
        <v>2.0</v>
      </c>
      <c r="I3" s="13">
        <v>4.0</v>
      </c>
      <c r="J3" s="18">
        <v>0.08353221957040573</v>
      </c>
      <c r="K3" s="13">
        <v>1.0</v>
      </c>
      <c r="L3" s="19">
        <f>VLOOKUP($B3,antR,2,1)</f>
        <v>557</v>
      </c>
      <c r="M3" s="19">
        <f>VLOOKUP($B3,antR,3,1)</f>
        <v>50</v>
      </c>
      <c r="N3" s="19">
        <f>VLOOKUP($B3,antR,4,1)</f>
        <v>39</v>
      </c>
      <c r="O3" s="19">
        <f>VLOOKUP($B3,antR,7,1)</f>
        <v>0</v>
      </c>
      <c r="P3" s="19">
        <f>VLOOKUP($B3,antR,5,1)</f>
        <v>41</v>
      </c>
      <c r="Q3" s="19">
        <f>VLOOKUP($B3,antR,6,1)</f>
        <v>0</v>
      </c>
      <c r="R3" s="20">
        <f>VLOOKUP($B3,antR,8,1)</f>
        <v>0.07001795332</v>
      </c>
      <c r="S3" s="19">
        <f>VLOOKUP($B3,antR,10,1)</f>
        <v>2</v>
      </c>
      <c r="T3" s="1"/>
      <c r="U3" s="1"/>
      <c r="V3" s="21" t="s">
        <v>18</v>
      </c>
      <c r="W3" s="22">
        <v>873.0</v>
      </c>
      <c r="X3" s="22">
        <v>71.0</v>
      </c>
      <c r="Y3" s="22">
        <v>53.0</v>
      </c>
      <c r="Z3" s="22">
        <v>55.0</v>
      </c>
      <c r="AA3" s="22">
        <v>1.0</v>
      </c>
      <c r="AB3" s="22">
        <v>3.0</v>
      </c>
      <c r="AC3" s="23">
        <f t="shared" ref="AC3:AC39" si="2">Y3/W3</f>
        <v>0.06071019473</v>
      </c>
      <c r="AD3" s="24">
        <v>22.944444444444443</v>
      </c>
      <c r="AE3" s="25">
        <v>1.0</v>
      </c>
    </row>
    <row r="4" ht="14.25" customHeight="1">
      <c r="A4" s="13" t="s">
        <v>19</v>
      </c>
      <c r="B4" s="14" t="s">
        <v>18</v>
      </c>
      <c r="C4" s="13">
        <v>780.0</v>
      </c>
      <c r="D4" s="15">
        <f t="shared" si="1"/>
        <v>31.2</v>
      </c>
      <c r="E4" s="16">
        <v>63.0</v>
      </c>
      <c r="F4" s="13">
        <v>55.0</v>
      </c>
      <c r="G4" s="17">
        <v>59.0</v>
      </c>
      <c r="H4" s="13">
        <v>1.0</v>
      </c>
      <c r="I4" s="13">
        <v>3.0</v>
      </c>
      <c r="J4" s="18">
        <v>0.08076923076923077</v>
      </c>
      <c r="K4" s="13">
        <v>3.0</v>
      </c>
      <c r="L4" s="19">
        <f>VLOOKUP($B4,antR,2,1)</f>
        <v>873</v>
      </c>
      <c r="M4" s="19">
        <f>VLOOKUP($B4,antR,3,1)</f>
        <v>71</v>
      </c>
      <c r="N4" s="19">
        <f>VLOOKUP($B4,antR,4,1)</f>
        <v>53</v>
      </c>
      <c r="O4" s="19">
        <f>VLOOKUP($B4,antR,7,1)</f>
        <v>3</v>
      </c>
      <c r="P4" s="19">
        <f>VLOOKUP($B4,antR,5,1)</f>
        <v>55</v>
      </c>
      <c r="Q4" s="19">
        <f>VLOOKUP($B4,antR,6,1)</f>
        <v>1</v>
      </c>
      <c r="R4" s="20">
        <f>VLOOKUP($B4,antR,8,1)</f>
        <v>0.06071019473</v>
      </c>
      <c r="S4" s="19">
        <f>VLOOKUP($B4,antR,10,1)</f>
        <v>1</v>
      </c>
      <c r="T4" s="1"/>
      <c r="U4" s="1"/>
      <c r="V4" s="26" t="s">
        <v>20</v>
      </c>
      <c r="W4" s="22">
        <v>606.0</v>
      </c>
      <c r="X4" s="22">
        <v>59.0</v>
      </c>
      <c r="Y4" s="22">
        <v>60.0</v>
      </c>
      <c r="Z4" s="22">
        <v>60.0</v>
      </c>
      <c r="AA4" s="22">
        <v>1.0</v>
      </c>
      <c r="AB4" s="22">
        <v>3.0</v>
      </c>
      <c r="AC4" s="23">
        <f t="shared" si="2"/>
        <v>0.09900990099</v>
      </c>
      <c r="AD4" s="24">
        <v>23.153846153846153</v>
      </c>
      <c r="AE4" s="27">
        <v>1.0</v>
      </c>
    </row>
    <row r="5" ht="14.25" customHeight="1">
      <c r="A5" s="13" t="s">
        <v>19</v>
      </c>
      <c r="B5" s="14" t="s">
        <v>21</v>
      </c>
      <c r="C5" s="13">
        <v>556.0</v>
      </c>
      <c r="D5" s="15">
        <f t="shared" si="1"/>
        <v>22.24</v>
      </c>
      <c r="E5" s="16">
        <v>57.0</v>
      </c>
      <c r="F5" s="13">
        <v>45.0</v>
      </c>
      <c r="G5" s="17">
        <v>47.0</v>
      </c>
      <c r="H5" s="13">
        <v>1.0</v>
      </c>
      <c r="I5" s="13">
        <v>3.0</v>
      </c>
      <c r="J5" s="18">
        <v>0.10251798561151079</v>
      </c>
      <c r="K5" s="13">
        <v>4.0</v>
      </c>
      <c r="L5" s="19">
        <f>VLOOKUP($B5,antR,2,1)</f>
        <v>1570</v>
      </c>
      <c r="M5" s="19">
        <f>VLOOKUP($B5,antR,3,1)</f>
        <v>42</v>
      </c>
      <c r="N5" s="19">
        <f>VLOOKUP($B5,antR,4,1)</f>
        <v>47</v>
      </c>
      <c r="O5" s="19">
        <f>VLOOKUP($B5,antR,7,1)</f>
        <v>0</v>
      </c>
      <c r="P5" s="19">
        <f>VLOOKUP($B5,antR,5,1)</f>
        <v>48</v>
      </c>
      <c r="Q5" s="19">
        <f>VLOOKUP($B5,antR,6,1)</f>
        <v>0</v>
      </c>
      <c r="R5" s="20">
        <f>VLOOKUP($B5,antR,8,1)</f>
        <v>0.02993630573</v>
      </c>
      <c r="S5" s="19">
        <f>VLOOKUP($B5,antR,10,1)</f>
        <v>2</v>
      </c>
      <c r="T5" s="1"/>
      <c r="U5" s="1"/>
      <c r="V5" s="21" t="s">
        <v>22</v>
      </c>
      <c r="W5" s="22">
        <v>326.0</v>
      </c>
      <c r="X5" s="22">
        <v>58.0</v>
      </c>
      <c r="Y5" s="22">
        <v>46.0</v>
      </c>
      <c r="Z5" s="22">
        <v>50.0</v>
      </c>
      <c r="AA5" s="22">
        <v>2.0</v>
      </c>
      <c r="AB5" s="22">
        <v>5.0</v>
      </c>
      <c r="AC5" s="23">
        <f t="shared" si="2"/>
        <v>0.1411042945</v>
      </c>
      <c r="AD5" s="24">
        <v>25.14</v>
      </c>
      <c r="AE5" s="27">
        <v>1.0</v>
      </c>
    </row>
    <row r="6" ht="14.25" customHeight="1">
      <c r="A6" s="13" t="s">
        <v>16</v>
      </c>
      <c r="B6" s="14" t="s">
        <v>23</v>
      </c>
      <c r="C6" s="13">
        <v>1454.0</v>
      </c>
      <c r="D6" s="15">
        <f t="shared" si="1"/>
        <v>58.16</v>
      </c>
      <c r="E6" s="16">
        <v>50.0</v>
      </c>
      <c r="F6" s="13">
        <v>44.0</v>
      </c>
      <c r="G6" s="17">
        <v>44.0</v>
      </c>
      <c r="H6" s="13">
        <v>1.0</v>
      </c>
      <c r="I6" s="13">
        <v>3.0</v>
      </c>
      <c r="J6" s="18">
        <v>0.0343878954607978</v>
      </c>
      <c r="K6" s="13">
        <v>1.0</v>
      </c>
      <c r="L6" s="19">
        <f>VLOOKUP($B6,antR,2,1)</f>
        <v>873</v>
      </c>
      <c r="M6" s="19">
        <f>VLOOKUP($B6,antR,3,1)</f>
        <v>71</v>
      </c>
      <c r="N6" s="19">
        <f>VLOOKUP($B6,antR,4,1)</f>
        <v>53</v>
      </c>
      <c r="O6" s="19">
        <f>VLOOKUP($B6,antR,7,1)</f>
        <v>3</v>
      </c>
      <c r="P6" s="19">
        <f>VLOOKUP($B6,antR,5,1)</f>
        <v>55</v>
      </c>
      <c r="Q6" s="19">
        <f>VLOOKUP($B6,antR,6,1)</f>
        <v>1</v>
      </c>
      <c r="R6" s="20">
        <f>VLOOKUP($B6,antR,8,1)</f>
        <v>0.06071019473</v>
      </c>
      <c r="S6" s="19">
        <f>VLOOKUP($B6,antR,10,1)</f>
        <v>1</v>
      </c>
      <c r="T6" s="1"/>
      <c r="U6" s="1"/>
      <c r="V6" s="21" t="s">
        <v>17</v>
      </c>
      <c r="W6" s="22">
        <v>0.0</v>
      </c>
      <c r="X6" s="22">
        <v>57.0</v>
      </c>
      <c r="Y6" s="22">
        <v>45.0</v>
      </c>
      <c r="Z6" s="22">
        <v>46.0</v>
      </c>
      <c r="AA6" s="22">
        <v>0.0</v>
      </c>
      <c r="AB6" s="22">
        <v>0.0</v>
      </c>
      <c r="AC6" s="23" t="str">
        <f t="shared" si="2"/>
        <v>#DIV/0!</v>
      </c>
      <c r="AD6" s="24">
        <v>23.058823529411764</v>
      </c>
      <c r="AE6" s="27">
        <v>1.0</v>
      </c>
    </row>
    <row r="7" ht="14.25" customHeight="1">
      <c r="A7" s="13" t="s">
        <v>19</v>
      </c>
      <c r="B7" s="14" t="s">
        <v>24</v>
      </c>
      <c r="C7" s="13">
        <v>379.0</v>
      </c>
      <c r="D7" s="15">
        <f t="shared" si="1"/>
        <v>15.16</v>
      </c>
      <c r="E7" s="16">
        <v>50.0</v>
      </c>
      <c r="F7" s="13">
        <v>42.0</v>
      </c>
      <c r="G7" s="17">
        <v>43.0</v>
      </c>
      <c r="H7" s="13">
        <v>2.0</v>
      </c>
      <c r="I7" s="13">
        <v>6.0</v>
      </c>
      <c r="J7" s="18">
        <v>0.13192612137203166</v>
      </c>
      <c r="K7" s="13">
        <v>4.0</v>
      </c>
      <c r="L7" s="19">
        <f>VLOOKUP($B7,antR,2,1)</f>
        <v>873</v>
      </c>
      <c r="M7" s="19">
        <f>VLOOKUP($B7,antR,3,1)</f>
        <v>71</v>
      </c>
      <c r="N7" s="19">
        <f>VLOOKUP($B7,antR,4,1)</f>
        <v>53</v>
      </c>
      <c r="O7" s="19">
        <f>VLOOKUP($B7,antR,7,1)</f>
        <v>3</v>
      </c>
      <c r="P7" s="19">
        <f>VLOOKUP($B7,antR,5,1)</f>
        <v>55</v>
      </c>
      <c r="Q7" s="19">
        <f>VLOOKUP($B7,antR,6,1)</f>
        <v>1</v>
      </c>
      <c r="R7" s="20">
        <f>VLOOKUP($B7,antR,8,1)</f>
        <v>0.06071019473</v>
      </c>
      <c r="S7" s="19">
        <f>VLOOKUP($B7,antR,10,1)</f>
        <v>1</v>
      </c>
      <c r="T7" s="1"/>
      <c r="U7" s="1"/>
      <c r="V7" s="21" t="s">
        <v>25</v>
      </c>
      <c r="W7" s="22">
        <v>568.0</v>
      </c>
      <c r="X7" s="22">
        <v>51.0</v>
      </c>
      <c r="Y7" s="22">
        <v>40.0</v>
      </c>
      <c r="Z7" s="22">
        <v>42.0</v>
      </c>
      <c r="AA7" s="22">
        <v>1.0</v>
      </c>
      <c r="AB7" s="22">
        <v>3.0</v>
      </c>
      <c r="AC7" s="23">
        <f t="shared" si="2"/>
        <v>0.07042253521</v>
      </c>
      <c r="AD7" s="24">
        <v>22.595744680851062</v>
      </c>
      <c r="AE7" s="27">
        <v>1.0</v>
      </c>
    </row>
    <row r="8" ht="14.25" customHeight="1">
      <c r="A8" s="13" t="s">
        <v>19</v>
      </c>
      <c r="B8" s="14" t="s">
        <v>20</v>
      </c>
      <c r="C8" s="13">
        <v>706.0</v>
      </c>
      <c r="D8" s="15">
        <f t="shared" si="1"/>
        <v>28.24</v>
      </c>
      <c r="E8" s="16">
        <v>50.0</v>
      </c>
      <c r="F8" s="13">
        <v>42.0</v>
      </c>
      <c r="G8" s="17">
        <v>42.0</v>
      </c>
      <c r="H8" s="13">
        <v>0.0</v>
      </c>
      <c r="I8" s="13">
        <v>0.0</v>
      </c>
      <c r="J8" s="18">
        <v>0.0708215297450425</v>
      </c>
      <c r="K8" s="13">
        <v>3.0</v>
      </c>
      <c r="L8" s="19">
        <f>VLOOKUP($B8,antR,2,1)</f>
        <v>1182</v>
      </c>
      <c r="M8" s="19">
        <f>VLOOKUP($B8,antR,3,1)</f>
        <v>22</v>
      </c>
      <c r="N8" s="19">
        <f>VLOOKUP($B8,antR,4,1)</f>
        <v>23</v>
      </c>
      <c r="O8" s="19">
        <f>VLOOKUP($B8,antR,7,1)</f>
        <v>2</v>
      </c>
      <c r="P8" s="19">
        <f>VLOOKUP($B8,antR,5,1)</f>
        <v>23</v>
      </c>
      <c r="Q8" s="19">
        <f>VLOOKUP($B8,antR,6,1)</f>
        <v>1</v>
      </c>
      <c r="R8" s="20">
        <f>VLOOKUP($B8,antR,8,1)</f>
        <v>0.01945854484</v>
      </c>
      <c r="S8" s="19">
        <f>VLOOKUP($B8,antR,10,1)</f>
        <v>4</v>
      </c>
      <c r="T8" s="1"/>
      <c r="U8" s="1"/>
      <c r="V8" s="21" t="s">
        <v>26</v>
      </c>
      <c r="W8" s="22">
        <v>557.0</v>
      </c>
      <c r="X8" s="22">
        <v>50.0</v>
      </c>
      <c r="Y8" s="22">
        <v>39.0</v>
      </c>
      <c r="Z8" s="22">
        <v>41.0</v>
      </c>
      <c r="AA8" s="22">
        <v>0.0</v>
      </c>
      <c r="AB8" s="22">
        <v>0.0</v>
      </c>
      <c r="AC8" s="23">
        <f t="shared" si="2"/>
        <v>0.07001795332</v>
      </c>
      <c r="AD8" s="24">
        <v>22.69047619047619</v>
      </c>
      <c r="AE8" s="27">
        <v>2.0</v>
      </c>
    </row>
    <row r="9" ht="14.25" customHeight="1">
      <c r="A9" s="13" t="s">
        <v>19</v>
      </c>
      <c r="B9" s="14" t="s">
        <v>27</v>
      </c>
      <c r="C9" s="13">
        <v>700.0</v>
      </c>
      <c r="D9" s="15">
        <f t="shared" si="1"/>
        <v>28</v>
      </c>
      <c r="E9" s="16">
        <v>50.0</v>
      </c>
      <c r="F9" s="13">
        <v>41.0</v>
      </c>
      <c r="G9" s="17">
        <v>42.0</v>
      </c>
      <c r="H9" s="13">
        <v>0.0</v>
      </c>
      <c r="I9" s="13">
        <v>0.0</v>
      </c>
      <c r="J9" s="18">
        <v>0.07142857142857142</v>
      </c>
      <c r="K9" s="13">
        <v>4.0</v>
      </c>
      <c r="L9" s="19">
        <f>VLOOKUP($B9,antR,2,1)</f>
        <v>1182</v>
      </c>
      <c r="M9" s="19">
        <f>VLOOKUP($B9,antR,3,1)</f>
        <v>22</v>
      </c>
      <c r="N9" s="19">
        <f>VLOOKUP($B9,antR,4,1)</f>
        <v>23</v>
      </c>
      <c r="O9" s="19">
        <f>VLOOKUP($B9,antR,7,1)</f>
        <v>2</v>
      </c>
      <c r="P9" s="19">
        <f>VLOOKUP($B9,antR,5,1)</f>
        <v>23</v>
      </c>
      <c r="Q9" s="19">
        <f>VLOOKUP($B9,antR,6,1)</f>
        <v>1</v>
      </c>
      <c r="R9" s="20">
        <f>VLOOKUP($B9,antR,8,1)</f>
        <v>0.01945854484</v>
      </c>
      <c r="S9" s="19">
        <f>VLOOKUP($B9,antR,10,1)</f>
        <v>4</v>
      </c>
      <c r="T9" s="1"/>
      <c r="U9" s="1"/>
      <c r="V9" s="21" t="s">
        <v>27</v>
      </c>
      <c r="W9" s="22">
        <v>658.0</v>
      </c>
      <c r="X9" s="22">
        <v>49.0</v>
      </c>
      <c r="Y9" s="22">
        <v>58.0</v>
      </c>
      <c r="Z9" s="22">
        <v>60.0</v>
      </c>
      <c r="AA9" s="22">
        <v>1.0</v>
      </c>
      <c r="AB9" s="22">
        <v>3.0</v>
      </c>
      <c r="AC9" s="23">
        <f t="shared" si="2"/>
        <v>0.08814589666</v>
      </c>
      <c r="AD9" s="24">
        <v>24.266666666666666</v>
      </c>
      <c r="AE9" s="27">
        <v>1.0</v>
      </c>
    </row>
    <row r="10" ht="14.25" customHeight="1">
      <c r="A10" s="13" t="s">
        <v>16</v>
      </c>
      <c r="B10" s="14" t="s">
        <v>28</v>
      </c>
      <c r="C10" s="13">
        <v>1185.0</v>
      </c>
      <c r="D10" s="15">
        <f t="shared" si="1"/>
        <v>47.4</v>
      </c>
      <c r="E10" s="16">
        <v>49.0</v>
      </c>
      <c r="F10" s="13">
        <v>38.0</v>
      </c>
      <c r="G10" s="17">
        <v>42.0</v>
      </c>
      <c r="H10" s="13">
        <v>2.0</v>
      </c>
      <c r="I10" s="13">
        <v>4.0</v>
      </c>
      <c r="J10" s="18">
        <v>0.04135021097046414</v>
      </c>
      <c r="K10" s="13">
        <v>1.0</v>
      </c>
      <c r="L10" s="19">
        <f>VLOOKUP($B10,antR,2,1)</f>
        <v>873</v>
      </c>
      <c r="M10" s="19">
        <f>VLOOKUP($B10,antR,3,1)</f>
        <v>71</v>
      </c>
      <c r="N10" s="19">
        <f>VLOOKUP($B10,antR,4,1)</f>
        <v>53</v>
      </c>
      <c r="O10" s="19">
        <f>VLOOKUP($B10,antR,7,1)</f>
        <v>3</v>
      </c>
      <c r="P10" s="19">
        <f>VLOOKUP($B10,antR,5,1)</f>
        <v>55</v>
      </c>
      <c r="Q10" s="19">
        <f>VLOOKUP($B10,antR,6,1)</f>
        <v>1</v>
      </c>
      <c r="R10" s="20">
        <f>VLOOKUP($B10,antR,8,1)</f>
        <v>0.06071019473</v>
      </c>
      <c r="S10" s="19">
        <f>VLOOKUP($B10,antR,10,1)</f>
        <v>1</v>
      </c>
      <c r="T10" s="1"/>
      <c r="U10" s="1"/>
      <c r="V10" s="26" t="s">
        <v>23</v>
      </c>
      <c r="W10" s="22">
        <v>1315.0</v>
      </c>
      <c r="X10" s="22">
        <v>46.0</v>
      </c>
      <c r="Y10" s="22">
        <v>44.0</v>
      </c>
      <c r="Z10" s="22">
        <v>45.0</v>
      </c>
      <c r="AA10" s="22">
        <v>1.0</v>
      </c>
      <c r="AB10" s="22">
        <v>3.0</v>
      </c>
      <c r="AC10" s="23">
        <f t="shared" si="2"/>
        <v>0.03346007605</v>
      </c>
      <c r="AD10" s="24">
        <v>25.25</v>
      </c>
      <c r="AE10" s="27">
        <v>1.0</v>
      </c>
    </row>
    <row r="11" ht="14.25" customHeight="1">
      <c r="A11" s="13" t="s">
        <v>16</v>
      </c>
      <c r="B11" s="14" t="s">
        <v>29</v>
      </c>
      <c r="C11" s="13">
        <v>777.0</v>
      </c>
      <c r="D11" s="15">
        <f t="shared" si="1"/>
        <v>31.08</v>
      </c>
      <c r="E11" s="16">
        <v>49.0</v>
      </c>
      <c r="F11" s="13">
        <v>30.0</v>
      </c>
      <c r="G11" s="17">
        <v>30.0</v>
      </c>
      <c r="H11" s="13">
        <v>0.0</v>
      </c>
      <c r="I11" s="13">
        <v>0.0</v>
      </c>
      <c r="J11" s="18">
        <v>0.06306306306306306</v>
      </c>
      <c r="K11" s="13">
        <v>2.0</v>
      </c>
      <c r="L11" s="19">
        <f>VLOOKUP($B11,antR,2,1)</f>
        <v>1182</v>
      </c>
      <c r="M11" s="19">
        <f>VLOOKUP($B11,antR,3,1)</f>
        <v>22</v>
      </c>
      <c r="N11" s="19">
        <f>VLOOKUP($B11,antR,4,1)</f>
        <v>23</v>
      </c>
      <c r="O11" s="19">
        <f>VLOOKUP($B11,antR,7,1)</f>
        <v>2</v>
      </c>
      <c r="P11" s="19">
        <f>VLOOKUP($B11,antR,5,1)</f>
        <v>23</v>
      </c>
      <c r="Q11" s="19">
        <f>VLOOKUP($B11,antR,6,1)</f>
        <v>1</v>
      </c>
      <c r="R11" s="20">
        <f>VLOOKUP($B11,antR,8,1)</f>
        <v>0.01945854484</v>
      </c>
      <c r="S11" s="19">
        <f>VLOOKUP($B11,antR,10,1)</f>
        <v>4</v>
      </c>
      <c r="T11" s="1"/>
      <c r="U11" s="1"/>
      <c r="V11" s="21" t="s">
        <v>21</v>
      </c>
      <c r="W11" s="22">
        <v>407.0</v>
      </c>
      <c r="X11" s="22">
        <v>46.0</v>
      </c>
      <c r="Y11" s="22">
        <v>45.0</v>
      </c>
      <c r="Z11" s="22">
        <v>45.0</v>
      </c>
      <c r="AA11" s="22">
        <v>1.0</v>
      </c>
      <c r="AB11" s="22">
        <v>3.0</v>
      </c>
      <c r="AC11" s="23">
        <f t="shared" si="2"/>
        <v>0.1105651106</v>
      </c>
      <c r="AD11" s="24">
        <v>23.51219512195122</v>
      </c>
      <c r="AE11" s="27">
        <v>2.0</v>
      </c>
    </row>
    <row r="12" ht="14.25" customHeight="1">
      <c r="A12" s="13" t="s">
        <v>19</v>
      </c>
      <c r="B12" s="14" t="s">
        <v>30</v>
      </c>
      <c r="C12" s="13">
        <v>1224.0</v>
      </c>
      <c r="D12" s="15">
        <f t="shared" si="1"/>
        <v>48.96</v>
      </c>
      <c r="E12" s="16">
        <v>49.0</v>
      </c>
      <c r="F12" s="13">
        <v>40.0</v>
      </c>
      <c r="G12" s="17">
        <v>42.0</v>
      </c>
      <c r="H12" s="13">
        <v>1.0</v>
      </c>
      <c r="I12" s="13">
        <v>3.0</v>
      </c>
      <c r="J12" s="18">
        <v>0.04003267973856209</v>
      </c>
      <c r="K12" s="13">
        <v>4.0</v>
      </c>
      <c r="L12" s="19" t="str">
        <f>VLOOKUP($B12,antR,2,1)</f>
        <v>#N/A</v>
      </c>
      <c r="M12" s="19" t="str">
        <f>VLOOKUP($B12,antR,3,1)</f>
        <v>#N/A</v>
      </c>
      <c r="N12" s="19" t="str">
        <f>VLOOKUP($B12,antR,4,1)</f>
        <v>#N/A</v>
      </c>
      <c r="O12" s="19" t="str">
        <f>VLOOKUP($B12,antR,7,1)</f>
        <v>#N/A</v>
      </c>
      <c r="P12" s="19" t="str">
        <f>VLOOKUP($B12,antR,5,1)</f>
        <v>#N/A</v>
      </c>
      <c r="Q12" s="19" t="str">
        <f>VLOOKUP($B12,antR,6,1)</f>
        <v>#N/A</v>
      </c>
      <c r="R12" s="20" t="str">
        <f>VLOOKUP($B12,antR,8,1)</f>
        <v>#N/A</v>
      </c>
      <c r="S12" s="19" t="str">
        <f>VLOOKUP($B12,antR,10,1)</f>
        <v>#N/A</v>
      </c>
      <c r="T12" s="1"/>
      <c r="U12" s="1"/>
      <c r="V12" s="26" t="s">
        <v>31</v>
      </c>
      <c r="W12" s="22">
        <v>0.0</v>
      </c>
      <c r="X12" s="22">
        <v>44.0</v>
      </c>
      <c r="Y12" s="22">
        <v>35.0</v>
      </c>
      <c r="Z12" s="22">
        <v>35.0</v>
      </c>
      <c r="AA12" s="22">
        <v>0.0</v>
      </c>
      <c r="AB12" s="22">
        <v>0.0</v>
      </c>
      <c r="AC12" s="23" t="str">
        <f t="shared" si="2"/>
        <v>#DIV/0!</v>
      </c>
      <c r="AD12" s="24">
        <v>23.897435897435898</v>
      </c>
      <c r="AE12" s="27">
        <v>2.0</v>
      </c>
    </row>
    <row r="13" ht="14.25" customHeight="1">
      <c r="A13" s="13" t="s">
        <v>19</v>
      </c>
      <c r="B13" s="14" t="s">
        <v>32</v>
      </c>
      <c r="C13" s="13">
        <v>1231.0</v>
      </c>
      <c r="D13" s="15">
        <f t="shared" si="1"/>
        <v>49.24</v>
      </c>
      <c r="E13" s="16">
        <v>47.0</v>
      </c>
      <c r="F13" s="13">
        <v>39.0</v>
      </c>
      <c r="G13" s="17">
        <v>40.0</v>
      </c>
      <c r="H13" s="13">
        <v>1.0</v>
      </c>
      <c r="I13" s="13">
        <v>3.0</v>
      </c>
      <c r="J13" s="18">
        <v>0.038180341186027617</v>
      </c>
      <c r="K13" s="13">
        <v>4.0</v>
      </c>
      <c r="L13" s="19">
        <f>VLOOKUP($B13,antR,2,1)</f>
        <v>1570</v>
      </c>
      <c r="M13" s="19">
        <f>VLOOKUP($B13,antR,3,1)</f>
        <v>42</v>
      </c>
      <c r="N13" s="19">
        <f>VLOOKUP($B13,antR,4,1)</f>
        <v>47</v>
      </c>
      <c r="O13" s="19">
        <f>VLOOKUP($B13,antR,7,1)</f>
        <v>0</v>
      </c>
      <c r="P13" s="19">
        <f>VLOOKUP($B13,antR,5,1)</f>
        <v>48</v>
      </c>
      <c r="Q13" s="19">
        <f>VLOOKUP($B13,antR,6,1)</f>
        <v>0</v>
      </c>
      <c r="R13" s="20">
        <f>VLOOKUP($B13,antR,8,1)</f>
        <v>0.02993630573</v>
      </c>
      <c r="S13" s="19">
        <f>VLOOKUP($B13,antR,10,1)</f>
        <v>2</v>
      </c>
      <c r="T13" s="1"/>
      <c r="U13" s="1"/>
      <c r="V13" s="21" t="s">
        <v>33</v>
      </c>
      <c r="W13" s="22">
        <v>1261.0</v>
      </c>
      <c r="X13" s="22">
        <v>43.0</v>
      </c>
      <c r="Y13" s="22">
        <v>41.0</v>
      </c>
      <c r="Z13" s="22">
        <v>41.0</v>
      </c>
      <c r="AA13" s="22">
        <v>2.0</v>
      </c>
      <c r="AB13" s="22">
        <v>5.0</v>
      </c>
      <c r="AC13" s="23">
        <f t="shared" si="2"/>
        <v>0.03251387787</v>
      </c>
      <c r="AD13" s="24">
        <v>24.76923076923077</v>
      </c>
      <c r="AE13" s="27">
        <v>2.0</v>
      </c>
    </row>
    <row r="14" ht="14.25" customHeight="1">
      <c r="A14" s="13" t="s">
        <v>16</v>
      </c>
      <c r="B14" s="14" t="s">
        <v>34</v>
      </c>
      <c r="C14" s="13">
        <v>555.0</v>
      </c>
      <c r="D14" s="15">
        <f t="shared" si="1"/>
        <v>22.2</v>
      </c>
      <c r="E14" s="16">
        <v>43.0</v>
      </c>
      <c r="F14" s="13">
        <v>34.0</v>
      </c>
      <c r="G14" s="17">
        <v>39.0</v>
      </c>
      <c r="H14" s="13">
        <v>0.0</v>
      </c>
      <c r="I14" s="13">
        <v>0.0</v>
      </c>
      <c r="J14" s="18">
        <v>0.07747747747747748</v>
      </c>
      <c r="K14" s="13">
        <v>2.0</v>
      </c>
      <c r="L14" s="19">
        <f>VLOOKUP($B14,antR,2,1)</f>
        <v>873</v>
      </c>
      <c r="M14" s="19">
        <f>VLOOKUP($B14,antR,3,1)</f>
        <v>71</v>
      </c>
      <c r="N14" s="19">
        <f>VLOOKUP($B14,antR,4,1)</f>
        <v>53</v>
      </c>
      <c r="O14" s="19">
        <f>VLOOKUP($B14,antR,7,1)</f>
        <v>3</v>
      </c>
      <c r="P14" s="19">
        <f>VLOOKUP($B14,antR,5,1)</f>
        <v>55</v>
      </c>
      <c r="Q14" s="19">
        <f>VLOOKUP($B14,antR,6,1)</f>
        <v>1</v>
      </c>
      <c r="R14" s="20">
        <f>VLOOKUP($B14,antR,8,1)</f>
        <v>0.06071019473</v>
      </c>
      <c r="S14" s="19">
        <f>VLOOKUP($B14,antR,10,1)</f>
        <v>1</v>
      </c>
      <c r="T14" s="1"/>
      <c r="U14" s="1"/>
      <c r="V14" s="21" t="s">
        <v>35</v>
      </c>
      <c r="W14" s="22">
        <v>1570.0</v>
      </c>
      <c r="X14" s="22">
        <v>42.0</v>
      </c>
      <c r="Y14" s="22">
        <v>47.0</v>
      </c>
      <c r="Z14" s="22">
        <v>48.0</v>
      </c>
      <c r="AA14" s="22">
        <v>0.0</v>
      </c>
      <c r="AB14" s="22">
        <v>0.0</v>
      </c>
      <c r="AC14" s="23">
        <f t="shared" si="2"/>
        <v>0.02993630573</v>
      </c>
      <c r="AD14" s="24">
        <v>24.025</v>
      </c>
      <c r="AE14" s="27">
        <v>2.0</v>
      </c>
    </row>
    <row r="15" ht="14.25" customHeight="1">
      <c r="A15" s="13" t="s">
        <v>16</v>
      </c>
      <c r="B15" s="14" t="s">
        <v>25</v>
      </c>
      <c r="C15" s="13">
        <v>671.0</v>
      </c>
      <c r="D15" s="15">
        <f t="shared" si="1"/>
        <v>26.84</v>
      </c>
      <c r="E15" s="16">
        <v>43.0</v>
      </c>
      <c r="F15" s="13">
        <v>35.0</v>
      </c>
      <c r="G15" s="17">
        <v>36.0</v>
      </c>
      <c r="H15" s="13">
        <v>3.0</v>
      </c>
      <c r="I15" s="13">
        <v>8.0</v>
      </c>
      <c r="J15" s="18">
        <v>0.06408345752608048</v>
      </c>
      <c r="K15" s="13">
        <v>2.0</v>
      </c>
      <c r="L15" s="19">
        <f>VLOOKUP($B15,antR,2,1)</f>
        <v>1570</v>
      </c>
      <c r="M15" s="19">
        <f>VLOOKUP($B15,antR,3,1)</f>
        <v>42</v>
      </c>
      <c r="N15" s="19">
        <f>VLOOKUP($B15,antR,4,1)</f>
        <v>47</v>
      </c>
      <c r="O15" s="19">
        <f>VLOOKUP($B15,antR,7,1)</f>
        <v>0</v>
      </c>
      <c r="P15" s="19">
        <f>VLOOKUP($B15,antR,5,1)</f>
        <v>48</v>
      </c>
      <c r="Q15" s="19">
        <f>VLOOKUP($B15,antR,6,1)</f>
        <v>0</v>
      </c>
      <c r="R15" s="20">
        <f>VLOOKUP($B15,antR,8,1)</f>
        <v>0.02993630573</v>
      </c>
      <c r="S15" s="19">
        <f>VLOOKUP($B15,antR,10,1)</f>
        <v>2</v>
      </c>
      <c r="T15" s="1"/>
      <c r="U15" s="1"/>
      <c r="V15" s="21" t="s">
        <v>36</v>
      </c>
      <c r="W15" s="22">
        <v>1025.0</v>
      </c>
      <c r="X15" s="22">
        <v>42.0</v>
      </c>
      <c r="Y15" s="22">
        <v>46.0</v>
      </c>
      <c r="Z15" s="22">
        <v>47.0</v>
      </c>
      <c r="AA15" s="22">
        <v>2.0</v>
      </c>
      <c r="AB15" s="22">
        <v>5.0</v>
      </c>
      <c r="AC15" s="23">
        <f t="shared" si="2"/>
        <v>0.04487804878</v>
      </c>
      <c r="AD15" s="24">
        <v>23.902439024390244</v>
      </c>
      <c r="AE15" s="27">
        <v>2.0</v>
      </c>
    </row>
    <row r="16" ht="14.25" customHeight="1">
      <c r="A16" s="13" t="s">
        <v>16</v>
      </c>
      <c r="B16" s="14" t="s">
        <v>26</v>
      </c>
      <c r="C16" s="13">
        <v>612.0</v>
      </c>
      <c r="D16" s="15">
        <f t="shared" si="1"/>
        <v>24.48</v>
      </c>
      <c r="E16" s="16">
        <v>43.0</v>
      </c>
      <c r="F16" s="13">
        <v>24.0</v>
      </c>
      <c r="G16" s="17">
        <v>25.0</v>
      </c>
      <c r="H16" s="13">
        <v>1.0</v>
      </c>
      <c r="I16" s="13">
        <v>3.0</v>
      </c>
      <c r="J16" s="18">
        <v>0.07026143790849673</v>
      </c>
      <c r="K16" s="13">
        <v>3.0</v>
      </c>
      <c r="L16" s="19">
        <f>VLOOKUP($B16,antR,2,1)</f>
        <v>873</v>
      </c>
      <c r="M16" s="19">
        <f>VLOOKUP($B16,antR,3,1)</f>
        <v>71</v>
      </c>
      <c r="N16" s="19">
        <f>VLOOKUP($B16,antR,4,1)</f>
        <v>53</v>
      </c>
      <c r="O16" s="19">
        <f>VLOOKUP($B16,antR,7,1)</f>
        <v>3</v>
      </c>
      <c r="P16" s="19">
        <f>VLOOKUP($B16,antR,5,1)</f>
        <v>55</v>
      </c>
      <c r="Q16" s="19">
        <f>VLOOKUP($B16,antR,6,1)</f>
        <v>1</v>
      </c>
      <c r="R16" s="20">
        <f>VLOOKUP($B16,antR,8,1)</f>
        <v>0.06071019473</v>
      </c>
      <c r="S16" s="19">
        <f>VLOOKUP($B16,antR,10,1)</f>
        <v>1</v>
      </c>
      <c r="T16" s="1"/>
      <c r="U16" s="1"/>
      <c r="V16" s="21" t="s">
        <v>37</v>
      </c>
      <c r="W16" s="22">
        <v>1492.0</v>
      </c>
      <c r="X16" s="22">
        <v>40.0</v>
      </c>
      <c r="Y16" s="22">
        <v>44.0</v>
      </c>
      <c r="Z16" s="22">
        <v>44.0</v>
      </c>
      <c r="AA16" s="22">
        <v>2.0</v>
      </c>
      <c r="AB16" s="22">
        <v>6.0</v>
      </c>
      <c r="AC16" s="23">
        <f t="shared" si="2"/>
        <v>0.02949061662</v>
      </c>
      <c r="AD16" s="24">
        <v>23.3</v>
      </c>
      <c r="AE16" s="27">
        <v>2.0</v>
      </c>
    </row>
    <row r="17" ht="14.25" customHeight="1">
      <c r="A17" s="13" t="s">
        <v>16</v>
      </c>
      <c r="B17" s="14" t="s">
        <v>22</v>
      </c>
      <c r="C17" s="13">
        <v>427.0</v>
      </c>
      <c r="D17" s="15">
        <f t="shared" si="1"/>
        <v>17.08</v>
      </c>
      <c r="E17" s="16">
        <v>41.0</v>
      </c>
      <c r="F17" s="13">
        <v>40.0</v>
      </c>
      <c r="G17" s="17">
        <v>40.0</v>
      </c>
      <c r="H17" s="13">
        <v>2.0</v>
      </c>
      <c r="I17" s="13">
        <v>6.0</v>
      </c>
      <c r="J17" s="18">
        <v>0.09601873536299765</v>
      </c>
      <c r="K17" s="13">
        <v>2.0</v>
      </c>
      <c r="L17" s="19">
        <f>VLOOKUP($B17,antR,2,1)</f>
        <v>873</v>
      </c>
      <c r="M17" s="19">
        <f>VLOOKUP($B17,antR,3,1)</f>
        <v>71</v>
      </c>
      <c r="N17" s="19">
        <f>VLOOKUP($B17,antR,4,1)</f>
        <v>53</v>
      </c>
      <c r="O17" s="19">
        <f>VLOOKUP($B17,antR,7,1)</f>
        <v>3</v>
      </c>
      <c r="P17" s="19">
        <f>VLOOKUP($B17,antR,5,1)</f>
        <v>55</v>
      </c>
      <c r="Q17" s="19">
        <f>VLOOKUP($B17,antR,6,1)</f>
        <v>1</v>
      </c>
      <c r="R17" s="20">
        <f>VLOOKUP($B17,antR,8,1)</f>
        <v>0.06071019473</v>
      </c>
      <c r="S17" s="19">
        <f>VLOOKUP($B17,antR,10,1)</f>
        <v>1</v>
      </c>
      <c r="T17" s="1"/>
      <c r="U17" s="1"/>
      <c r="V17" s="21" t="s">
        <v>32</v>
      </c>
      <c r="W17" s="22">
        <v>706.0</v>
      </c>
      <c r="X17" s="22">
        <v>40.0</v>
      </c>
      <c r="Y17" s="22">
        <v>43.0</v>
      </c>
      <c r="Z17" s="22">
        <v>43.0</v>
      </c>
      <c r="AA17" s="22">
        <v>0.0</v>
      </c>
      <c r="AB17" s="22">
        <v>0.0</v>
      </c>
      <c r="AC17" s="23">
        <f t="shared" si="2"/>
        <v>0.06090651558</v>
      </c>
      <c r="AD17" s="24">
        <v>22.94871794871795</v>
      </c>
      <c r="AE17" s="27">
        <v>2.0</v>
      </c>
    </row>
    <row r="18" ht="14.25" customHeight="1">
      <c r="A18" s="13" t="s">
        <v>16</v>
      </c>
      <c r="B18" s="14" t="s">
        <v>31</v>
      </c>
      <c r="C18" s="13">
        <v>836.0</v>
      </c>
      <c r="D18" s="15">
        <f t="shared" si="1"/>
        <v>33.44</v>
      </c>
      <c r="E18" s="16">
        <v>40.0</v>
      </c>
      <c r="F18" s="13">
        <v>33.0</v>
      </c>
      <c r="G18" s="17">
        <v>35.0</v>
      </c>
      <c r="H18" s="13">
        <v>0.0</v>
      </c>
      <c r="I18" s="13">
        <v>0.0</v>
      </c>
      <c r="J18" s="18">
        <v>0.04784688995215311</v>
      </c>
      <c r="K18" s="13">
        <v>2.0</v>
      </c>
      <c r="L18" s="19">
        <f>VLOOKUP($B18,antR,2,1)</f>
        <v>873</v>
      </c>
      <c r="M18" s="19">
        <f>VLOOKUP($B18,antR,3,1)</f>
        <v>71</v>
      </c>
      <c r="N18" s="19">
        <f>VLOOKUP($B18,antR,4,1)</f>
        <v>53</v>
      </c>
      <c r="O18" s="19">
        <f>VLOOKUP($B18,antR,7,1)</f>
        <v>3</v>
      </c>
      <c r="P18" s="19">
        <f>VLOOKUP($B18,antR,5,1)</f>
        <v>55</v>
      </c>
      <c r="Q18" s="19">
        <f>VLOOKUP($B18,antR,6,1)</f>
        <v>1</v>
      </c>
      <c r="R18" s="20">
        <f>VLOOKUP($B18,antR,8,1)</f>
        <v>0.06071019473</v>
      </c>
      <c r="S18" s="19">
        <f>VLOOKUP($B18,antR,10,1)</f>
        <v>1</v>
      </c>
      <c r="T18" s="1"/>
      <c r="U18" s="1"/>
      <c r="V18" s="21" t="s">
        <v>38</v>
      </c>
      <c r="W18" s="22">
        <v>777.0</v>
      </c>
      <c r="X18" s="22">
        <v>40.0</v>
      </c>
      <c r="Y18" s="22">
        <v>31.0</v>
      </c>
      <c r="Z18" s="22">
        <v>32.0</v>
      </c>
      <c r="AA18" s="22">
        <v>1.0</v>
      </c>
      <c r="AB18" s="22">
        <v>3.0</v>
      </c>
      <c r="AC18" s="23">
        <f t="shared" si="2"/>
        <v>0.0398970399</v>
      </c>
      <c r="AD18" s="24">
        <v>24.454545454545453</v>
      </c>
      <c r="AE18" s="27">
        <v>2.0</v>
      </c>
    </row>
    <row r="19" ht="14.25" customHeight="1">
      <c r="A19" s="13" t="s">
        <v>16</v>
      </c>
      <c r="B19" s="14" t="s">
        <v>39</v>
      </c>
      <c r="C19" s="13">
        <v>1017.0</v>
      </c>
      <c r="D19" s="15">
        <f t="shared" si="1"/>
        <v>40.68</v>
      </c>
      <c r="E19" s="16">
        <v>38.0</v>
      </c>
      <c r="F19" s="13">
        <v>28.0</v>
      </c>
      <c r="G19" s="17">
        <v>31.0</v>
      </c>
      <c r="H19" s="13">
        <v>0.0</v>
      </c>
      <c r="I19" s="13">
        <v>0.0</v>
      </c>
      <c r="J19" s="18">
        <v>0.03736479842674533</v>
      </c>
      <c r="K19" s="13">
        <v>2.0</v>
      </c>
      <c r="L19" s="19">
        <f>VLOOKUP($B19,antR,2,1)</f>
        <v>873</v>
      </c>
      <c r="M19" s="19">
        <f>VLOOKUP($B19,antR,3,1)</f>
        <v>71</v>
      </c>
      <c r="N19" s="19">
        <f>VLOOKUP($B19,antR,4,1)</f>
        <v>53</v>
      </c>
      <c r="O19" s="19">
        <f>VLOOKUP($B19,antR,7,1)</f>
        <v>3</v>
      </c>
      <c r="P19" s="19">
        <f>VLOOKUP($B19,antR,5,1)</f>
        <v>55</v>
      </c>
      <c r="Q19" s="19">
        <f>VLOOKUP($B19,antR,6,1)</f>
        <v>1</v>
      </c>
      <c r="R19" s="20">
        <f>VLOOKUP($B19,antR,8,1)</f>
        <v>0.06071019473</v>
      </c>
      <c r="S19" s="19">
        <f>VLOOKUP($B19,antR,10,1)</f>
        <v>1</v>
      </c>
      <c r="T19" s="1"/>
      <c r="U19" s="1"/>
      <c r="V19" s="21" t="s">
        <v>28</v>
      </c>
      <c r="W19" s="22">
        <v>1338.0</v>
      </c>
      <c r="X19" s="22">
        <v>39.0</v>
      </c>
      <c r="Y19" s="22">
        <v>44.0</v>
      </c>
      <c r="Z19" s="22">
        <v>44.0</v>
      </c>
      <c r="AA19" s="22">
        <v>0.0</v>
      </c>
      <c r="AB19" s="22">
        <v>0.0</v>
      </c>
      <c r="AC19" s="23">
        <f t="shared" si="2"/>
        <v>0.03288490284</v>
      </c>
      <c r="AD19" s="24">
        <v>22.56756756756757</v>
      </c>
      <c r="AE19" s="27">
        <v>2.0</v>
      </c>
    </row>
    <row r="20" ht="14.25" customHeight="1">
      <c r="A20" s="13" t="s">
        <v>16</v>
      </c>
      <c r="B20" s="14" t="s">
        <v>40</v>
      </c>
      <c r="C20" s="13">
        <v>959.0</v>
      </c>
      <c r="D20" s="15">
        <f t="shared" si="1"/>
        <v>38.36</v>
      </c>
      <c r="E20" s="16">
        <v>37.0</v>
      </c>
      <c r="F20" s="13">
        <v>29.0</v>
      </c>
      <c r="G20" s="17">
        <v>34.0</v>
      </c>
      <c r="H20" s="13">
        <v>4.0</v>
      </c>
      <c r="I20" s="13">
        <v>10.0</v>
      </c>
      <c r="J20" s="18">
        <v>0.03858185610010428</v>
      </c>
      <c r="K20" s="13">
        <v>2.0</v>
      </c>
      <c r="L20" s="19">
        <f>VLOOKUP($B20,antR,2,1)</f>
        <v>873</v>
      </c>
      <c r="M20" s="19">
        <f>VLOOKUP($B20,antR,3,1)</f>
        <v>71</v>
      </c>
      <c r="N20" s="19">
        <f>VLOOKUP($B20,antR,4,1)</f>
        <v>53</v>
      </c>
      <c r="O20" s="19">
        <f>VLOOKUP($B20,antR,7,1)</f>
        <v>3</v>
      </c>
      <c r="P20" s="19">
        <f>VLOOKUP($B20,antR,5,1)</f>
        <v>55</v>
      </c>
      <c r="Q20" s="19">
        <f>VLOOKUP($B20,antR,6,1)</f>
        <v>1</v>
      </c>
      <c r="R20" s="20">
        <f>VLOOKUP($B20,antR,8,1)</f>
        <v>0.06071019473</v>
      </c>
      <c r="S20" s="19">
        <f>VLOOKUP($B20,antR,10,1)</f>
        <v>1</v>
      </c>
      <c r="T20" s="1"/>
      <c r="U20" s="1"/>
      <c r="V20" s="21" t="s">
        <v>34</v>
      </c>
      <c r="W20" s="22">
        <v>775.0</v>
      </c>
      <c r="X20" s="22">
        <v>39.0</v>
      </c>
      <c r="Y20" s="22">
        <v>40.0</v>
      </c>
      <c r="Z20" s="22">
        <v>41.0</v>
      </c>
      <c r="AA20" s="22">
        <v>1.0</v>
      </c>
      <c r="AB20" s="22">
        <v>3.0</v>
      </c>
      <c r="AC20" s="23">
        <f t="shared" si="2"/>
        <v>0.05161290323</v>
      </c>
      <c r="AD20" s="24">
        <v>23.21875</v>
      </c>
      <c r="AE20" s="27">
        <v>2.0</v>
      </c>
    </row>
    <row r="21" ht="14.25" customHeight="1">
      <c r="A21" s="13" t="s">
        <v>16</v>
      </c>
      <c r="B21" s="14" t="s">
        <v>41</v>
      </c>
      <c r="C21" s="13">
        <v>1117.0</v>
      </c>
      <c r="D21" s="15">
        <f t="shared" si="1"/>
        <v>44.68</v>
      </c>
      <c r="E21" s="16">
        <v>37.0</v>
      </c>
      <c r="F21" s="13">
        <v>29.0</v>
      </c>
      <c r="G21" s="17">
        <v>30.0</v>
      </c>
      <c r="H21" s="13">
        <v>1.0</v>
      </c>
      <c r="I21" s="13">
        <v>2.0</v>
      </c>
      <c r="J21" s="18">
        <v>0.03312444046553268</v>
      </c>
      <c r="K21" s="13">
        <v>2.0</v>
      </c>
      <c r="L21" s="19">
        <f>VLOOKUP($B21,antR,2,1)</f>
        <v>1182</v>
      </c>
      <c r="M21" s="19">
        <f>VLOOKUP($B21,antR,3,1)</f>
        <v>22</v>
      </c>
      <c r="N21" s="19">
        <f>VLOOKUP($B21,antR,4,1)</f>
        <v>23</v>
      </c>
      <c r="O21" s="19">
        <f>VLOOKUP($B21,antR,7,1)</f>
        <v>2</v>
      </c>
      <c r="P21" s="19">
        <f>VLOOKUP($B21,antR,5,1)</f>
        <v>23</v>
      </c>
      <c r="Q21" s="19">
        <f>VLOOKUP($B21,antR,6,1)</f>
        <v>1</v>
      </c>
      <c r="R21" s="20">
        <f>VLOOKUP($B21,antR,8,1)</f>
        <v>0.01945854484</v>
      </c>
      <c r="S21" s="19">
        <f>VLOOKUP($B21,antR,10,1)</f>
        <v>4</v>
      </c>
      <c r="T21" s="1"/>
      <c r="U21" s="1"/>
      <c r="V21" s="21" t="s">
        <v>42</v>
      </c>
      <c r="W21" s="22">
        <v>748.0</v>
      </c>
      <c r="X21" s="22">
        <v>38.0</v>
      </c>
      <c r="Y21" s="22">
        <v>33.0</v>
      </c>
      <c r="Z21" s="22">
        <v>33.0</v>
      </c>
      <c r="AA21" s="22">
        <v>1.0</v>
      </c>
      <c r="AB21" s="22">
        <v>2.0</v>
      </c>
      <c r="AC21" s="23">
        <f t="shared" si="2"/>
        <v>0.04411764706</v>
      </c>
      <c r="AD21" s="24">
        <v>23.096774193548388</v>
      </c>
      <c r="AE21" s="27">
        <v>2.0</v>
      </c>
    </row>
    <row r="22" ht="14.25" customHeight="1">
      <c r="A22" s="13" t="s">
        <v>16</v>
      </c>
      <c r="B22" s="14" t="s">
        <v>43</v>
      </c>
      <c r="C22" s="13">
        <v>1395.0</v>
      </c>
      <c r="D22" s="15">
        <f t="shared" si="1"/>
        <v>55.8</v>
      </c>
      <c r="E22" s="28">
        <v>36.0</v>
      </c>
      <c r="F22" s="13">
        <v>28.0</v>
      </c>
      <c r="G22" s="17">
        <v>28.0</v>
      </c>
      <c r="H22" s="13">
        <v>0.0</v>
      </c>
      <c r="I22" s="13">
        <v>0.0</v>
      </c>
      <c r="J22" s="18">
        <v>0.025806451612903226</v>
      </c>
      <c r="K22" s="13">
        <v>2.0</v>
      </c>
      <c r="L22" s="19">
        <f>VLOOKUP($B22,antR,2,1)</f>
        <v>873</v>
      </c>
      <c r="M22" s="19">
        <f>VLOOKUP($B22,antR,3,1)</f>
        <v>71</v>
      </c>
      <c r="N22" s="19">
        <f>VLOOKUP($B22,antR,4,1)</f>
        <v>53</v>
      </c>
      <c r="O22" s="19">
        <f>VLOOKUP($B22,antR,7,1)</f>
        <v>3</v>
      </c>
      <c r="P22" s="19">
        <f>VLOOKUP($B22,antR,5,1)</f>
        <v>55</v>
      </c>
      <c r="Q22" s="19">
        <f>VLOOKUP($B22,antR,6,1)</f>
        <v>1</v>
      </c>
      <c r="R22" s="20">
        <f>VLOOKUP($B22,antR,8,1)</f>
        <v>0.06071019473</v>
      </c>
      <c r="S22" s="19">
        <f>VLOOKUP($B22,antR,10,1)</f>
        <v>1</v>
      </c>
      <c r="T22" s="1"/>
      <c r="U22" s="1"/>
      <c r="V22" s="21" t="s">
        <v>40</v>
      </c>
      <c r="W22" s="22">
        <v>1041.0</v>
      </c>
      <c r="X22" s="22">
        <v>36.0</v>
      </c>
      <c r="Y22" s="22">
        <v>41.0</v>
      </c>
      <c r="Z22" s="22">
        <v>42.0</v>
      </c>
      <c r="AA22" s="22">
        <v>0.0</v>
      </c>
      <c r="AB22" s="22">
        <v>0.0</v>
      </c>
      <c r="AC22" s="23">
        <f t="shared" si="2"/>
        <v>0.03938520653</v>
      </c>
      <c r="AD22" s="24">
        <v>22.84375</v>
      </c>
      <c r="AE22" s="27">
        <v>2.0</v>
      </c>
    </row>
    <row r="23" ht="14.25" customHeight="1">
      <c r="A23" s="13" t="s">
        <v>16</v>
      </c>
      <c r="B23" s="13" t="s">
        <v>44</v>
      </c>
      <c r="C23" s="29">
        <v>888.0</v>
      </c>
      <c r="D23" s="30">
        <f t="shared" si="1"/>
        <v>35.52</v>
      </c>
      <c r="E23" s="13">
        <v>35.0</v>
      </c>
      <c r="F23" s="29">
        <v>33.0</v>
      </c>
      <c r="G23" s="13">
        <v>33.0</v>
      </c>
      <c r="H23" s="13">
        <v>0.0</v>
      </c>
      <c r="I23" s="13">
        <v>0.0</v>
      </c>
      <c r="J23" s="18">
        <v>0.039414414414414414</v>
      </c>
      <c r="K23" s="13">
        <v>2.0</v>
      </c>
      <c r="L23" s="19">
        <f>VLOOKUP($B23,antR,2,1)</f>
        <v>1182</v>
      </c>
      <c r="M23" s="19">
        <f>VLOOKUP($B23,antR,3,1)</f>
        <v>22</v>
      </c>
      <c r="N23" s="19">
        <f>VLOOKUP($B23,antR,4,1)</f>
        <v>23</v>
      </c>
      <c r="O23" s="19">
        <f>VLOOKUP($B23,antR,7,1)</f>
        <v>2</v>
      </c>
      <c r="P23" s="19">
        <f>VLOOKUP($B23,antR,5,1)</f>
        <v>23</v>
      </c>
      <c r="Q23" s="19">
        <f>VLOOKUP($B23,antR,6,1)</f>
        <v>1</v>
      </c>
      <c r="R23" s="20">
        <f>VLOOKUP($B23,antR,8,1)</f>
        <v>0.01945854484</v>
      </c>
      <c r="S23" s="19">
        <f>VLOOKUP($B23,antR,10,1)</f>
        <v>4</v>
      </c>
      <c r="T23" s="1"/>
      <c r="U23" s="1"/>
      <c r="V23" s="21" t="s">
        <v>45</v>
      </c>
      <c r="W23" s="22">
        <v>1630.0</v>
      </c>
      <c r="X23" s="22">
        <v>33.0</v>
      </c>
      <c r="Y23" s="22">
        <v>33.0</v>
      </c>
      <c r="Z23" s="22">
        <v>36.0</v>
      </c>
      <c r="AA23" s="22">
        <v>0.0</v>
      </c>
      <c r="AB23" s="22">
        <v>0.0</v>
      </c>
      <c r="AC23" s="23">
        <f t="shared" si="2"/>
        <v>0.02024539877</v>
      </c>
      <c r="AD23" s="24">
        <v>23.233333333333334</v>
      </c>
      <c r="AE23" s="27">
        <v>2.0</v>
      </c>
    </row>
    <row r="24" ht="14.25" customHeight="1">
      <c r="A24" s="13" t="s">
        <v>19</v>
      </c>
      <c r="B24" s="13" t="s">
        <v>42</v>
      </c>
      <c r="C24" s="17">
        <v>1056.0</v>
      </c>
      <c r="D24" s="30">
        <f t="shared" si="1"/>
        <v>42.24</v>
      </c>
      <c r="E24" s="13">
        <v>35.0</v>
      </c>
      <c r="F24" s="17">
        <v>27.0</v>
      </c>
      <c r="G24" s="13">
        <v>30.0</v>
      </c>
      <c r="H24" s="13">
        <v>1.0</v>
      </c>
      <c r="I24" s="13">
        <v>3.0</v>
      </c>
      <c r="J24" s="18">
        <v>0.03314393939393939</v>
      </c>
      <c r="K24" s="13">
        <v>4.0</v>
      </c>
      <c r="L24" s="19">
        <f>VLOOKUP($B24,antR,2,1)</f>
        <v>1182</v>
      </c>
      <c r="M24" s="19">
        <f>VLOOKUP($B24,antR,3,1)</f>
        <v>22</v>
      </c>
      <c r="N24" s="19">
        <f>VLOOKUP($B24,antR,4,1)</f>
        <v>23</v>
      </c>
      <c r="O24" s="19">
        <f>VLOOKUP($B24,antR,7,1)</f>
        <v>2</v>
      </c>
      <c r="P24" s="19">
        <f>VLOOKUP($B24,antR,5,1)</f>
        <v>23</v>
      </c>
      <c r="Q24" s="19">
        <f>VLOOKUP($B24,antR,6,1)</f>
        <v>1</v>
      </c>
      <c r="R24" s="20">
        <f>VLOOKUP($B24,antR,8,1)</f>
        <v>0.01945854484</v>
      </c>
      <c r="S24" s="19">
        <f>VLOOKUP($B24,antR,10,1)</f>
        <v>4</v>
      </c>
      <c r="T24" s="1"/>
      <c r="U24" s="1"/>
      <c r="V24" s="26" t="s">
        <v>46</v>
      </c>
      <c r="W24" s="22">
        <v>1303.0</v>
      </c>
      <c r="X24" s="22">
        <v>33.0</v>
      </c>
      <c r="Y24" s="22">
        <v>35.0</v>
      </c>
      <c r="Z24" s="22">
        <v>35.0</v>
      </c>
      <c r="AA24" s="22">
        <v>0.0</v>
      </c>
      <c r="AB24" s="22">
        <v>0.0</v>
      </c>
      <c r="AC24" s="23">
        <f t="shared" si="2"/>
        <v>0.02686108979</v>
      </c>
      <c r="AD24" s="24">
        <v>24.21875</v>
      </c>
      <c r="AE24" s="27">
        <v>2.0</v>
      </c>
    </row>
    <row r="25" ht="14.25" customHeight="1">
      <c r="A25" s="13" t="s">
        <v>19</v>
      </c>
      <c r="B25" s="13" t="s">
        <v>46</v>
      </c>
      <c r="C25" s="17">
        <v>1059.0</v>
      </c>
      <c r="D25" s="30">
        <f t="shared" si="1"/>
        <v>42.36</v>
      </c>
      <c r="E25" s="13">
        <v>35.0</v>
      </c>
      <c r="F25" s="17">
        <v>25.0</v>
      </c>
      <c r="G25" s="13">
        <v>25.0</v>
      </c>
      <c r="H25" s="13">
        <v>1.0</v>
      </c>
      <c r="I25" s="13">
        <v>2.0</v>
      </c>
      <c r="J25" s="18">
        <v>0.033050047214353166</v>
      </c>
      <c r="K25" s="13">
        <v>4.0</v>
      </c>
      <c r="L25" s="19">
        <f>VLOOKUP($B25,antR,2,1)</f>
        <v>873</v>
      </c>
      <c r="M25" s="19">
        <f>VLOOKUP($B25,antR,3,1)</f>
        <v>71</v>
      </c>
      <c r="N25" s="19">
        <f>VLOOKUP($B25,antR,4,1)</f>
        <v>53</v>
      </c>
      <c r="O25" s="19">
        <f>VLOOKUP($B25,antR,7,1)</f>
        <v>3</v>
      </c>
      <c r="P25" s="19">
        <f>VLOOKUP($B25,antR,5,1)</f>
        <v>55</v>
      </c>
      <c r="Q25" s="19">
        <f>VLOOKUP($B25,antR,6,1)</f>
        <v>1</v>
      </c>
      <c r="R25" s="20">
        <f>VLOOKUP($B25,antR,8,1)</f>
        <v>0.06071019473</v>
      </c>
      <c r="S25" s="19">
        <f>VLOOKUP($B25,antR,10,1)</f>
        <v>1</v>
      </c>
      <c r="T25" s="1"/>
      <c r="U25" s="1"/>
      <c r="V25" s="21" t="s">
        <v>47</v>
      </c>
      <c r="W25" s="22">
        <v>371.0</v>
      </c>
      <c r="X25" s="22">
        <v>32.0</v>
      </c>
      <c r="Y25" s="22">
        <v>35.0</v>
      </c>
      <c r="Z25" s="22">
        <v>35.0</v>
      </c>
      <c r="AA25" s="22">
        <v>0.0</v>
      </c>
      <c r="AB25" s="22">
        <v>0.0</v>
      </c>
      <c r="AC25" s="23">
        <f t="shared" si="2"/>
        <v>0.09433962264</v>
      </c>
      <c r="AD25" s="24">
        <v>24.24137931034483</v>
      </c>
      <c r="AE25" s="27">
        <v>2.0</v>
      </c>
    </row>
    <row r="26" ht="14.25" customHeight="1">
      <c r="A26" s="13" t="s">
        <v>16</v>
      </c>
      <c r="B26" s="13" t="s">
        <v>36</v>
      </c>
      <c r="C26" s="17">
        <v>1070.0</v>
      </c>
      <c r="D26" s="30">
        <f t="shared" si="1"/>
        <v>42.8</v>
      </c>
      <c r="E26" s="13">
        <v>33.0</v>
      </c>
      <c r="F26" s="17">
        <v>26.0</v>
      </c>
      <c r="G26" s="13">
        <v>27.0</v>
      </c>
      <c r="H26" s="13">
        <v>1.0</v>
      </c>
      <c r="I26" s="13">
        <v>3.0</v>
      </c>
      <c r="J26" s="18">
        <v>0.0308411214953271</v>
      </c>
      <c r="K26" s="13">
        <v>2.0</v>
      </c>
      <c r="L26" s="19">
        <f>VLOOKUP($B26,antR,2,1)</f>
        <v>1182</v>
      </c>
      <c r="M26" s="19">
        <f>VLOOKUP($B26,antR,3,1)</f>
        <v>22</v>
      </c>
      <c r="N26" s="19">
        <f>VLOOKUP($B26,antR,4,1)</f>
        <v>23</v>
      </c>
      <c r="O26" s="19">
        <f>VLOOKUP($B26,antR,7,1)</f>
        <v>2</v>
      </c>
      <c r="P26" s="19">
        <f>VLOOKUP($B26,antR,5,1)</f>
        <v>23</v>
      </c>
      <c r="Q26" s="19">
        <f>VLOOKUP($B26,antR,6,1)</f>
        <v>1</v>
      </c>
      <c r="R26" s="20">
        <f>VLOOKUP($B26,antR,8,1)</f>
        <v>0.01945854484</v>
      </c>
      <c r="S26" s="19">
        <f>VLOOKUP($B26,antR,10,1)</f>
        <v>4</v>
      </c>
      <c r="T26" s="1"/>
      <c r="U26" s="1"/>
      <c r="V26" s="21" t="s">
        <v>29</v>
      </c>
      <c r="W26" s="22">
        <v>786.0</v>
      </c>
      <c r="X26" s="22">
        <v>32.0</v>
      </c>
      <c r="Y26" s="22">
        <v>27.0</v>
      </c>
      <c r="Z26" s="22">
        <v>28.0</v>
      </c>
      <c r="AA26" s="22">
        <v>0.0</v>
      </c>
      <c r="AB26" s="22">
        <v>0.0</v>
      </c>
      <c r="AC26" s="23">
        <f t="shared" si="2"/>
        <v>0.03435114504</v>
      </c>
      <c r="AD26" s="24">
        <v>23.25</v>
      </c>
      <c r="AE26" s="27">
        <v>2.0</v>
      </c>
    </row>
    <row r="27" ht="14.25" customHeight="1">
      <c r="A27" s="13" t="s">
        <v>16</v>
      </c>
      <c r="B27" s="13" t="s">
        <v>33</v>
      </c>
      <c r="C27" s="17">
        <v>850.0</v>
      </c>
      <c r="D27" s="30">
        <f t="shared" si="1"/>
        <v>34</v>
      </c>
      <c r="E27" s="13">
        <v>32.0</v>
      </c>
      <c r="F27" s="17">
        <v>31.0</v>
      </c>
      <c r="G27" s="13">
        <v>31.0</v>
      </c>
      <c r="H27" s="13">
        <v>1.0</v>
      </c>
      <c r="I27" s="13">
        <v>2.0</v>
      </c>
      <c r="J27" s="18">
        <v>0.03764705882352941</v>
      </c>
      <c r="K27" s="13">
        <v>2.0</v>
      </c>
      <c r="L27" s="19">
        <f>VLOOKUP($B27,antR,2,1)</f>
        <v>873</v>
      </c>
      <c r="M27" s="19">
        <f>VLOOKUP($B27,antR,3,1)</f>
        <v>71</v>
      </c>
      <c r="N27" s="19">
        <f>VLOOKUP($B27,antR,4,1)</f>
        <v>53</v>
      </c>
      <c r="O27" s="19">
        <f>VLOOKUP($B27,antR,7,1)</f>
        <v>3</v>
      </c>
      <c r="P27" s="19">
        <f>VLOOKUP($B27,antR,5,1)</f>
        <v>55</v>
      </c>
      <c r="Q27" s="19">
        <f>VLOOKUP($B27,antR,6,1)</f>
        <v>1</v>
      </c>
      <c r="R27" s="20">
        <f>VLOOKUP($B27,antR,8,1)</f>
        <v>0.06071019473</v>
      </c>
      <c r="S27" s="19">
        <f>VLOOKUP($B27,antR,10,1)</f>
        <v>1</v>
      </c>
      <c r="T27" s="1"/>
      <c r="U27" s="1"/>
      <c r="V27" s="21" t="s">
        <v>30</v>
      </c>
      <c r="W27" s="22">
        <v>595.0</v>
      </c>
      <c r="X27" s="22">
        <v>31.0</v>
      </c>
      <c r="Y27" s="22">
        <v>40.0</v>
      </c>
      <c r="Z27" s="22">
        <v>41.0</v>
      </c>
      <c r="AA27" s="22">
        <v>4.0</v>
      </c>
      <c r="AB27" s="22">
        <v>11.0</v>
      </c>
      <c r="AC27" s="23">
        <f t="shared" si="2"/>
        <v>0.06722689076</v>
      </c>
      <c r="AD27" s="24">
        <v>24.071428571428573</v>
      </c>
      <c r="AE27" s="27">
        <v>2.0</v>
      </c>
    </row>
    <row r="28" ht="14.25" customHeight="1">
      <c r="A28" s="13" t="s">
        <v>16</v>
      </c>
      <c r="B28" s="13" t="s">
        <v>48</v>
      </c>
      <c r="C28" s="17">
        <v>764.0</v>
      </c>
      <c r="D28" s="30">
        <f t="shared" si="1"/>
        <v>30.56</v>
      </c>
      <c r="E28" s="13">
        <v>31.0</v>
      </c>
      <c r="F28" s="17">
        <v>26.0</v>
      </c>
      <c r="G28" s="13">
        <v>28.0</v>
      </c>
      <c r="H28" s="13">
        <v>1.0</v>
      </c>
      <c r="I28" s="13">
        <v>3.0</v>
      </c>
      <c r="J28" s="18">
        <v>0.04057591623036649</v>
      </c>
      <c r="K28" s="13">
        <v>2.0</v>
      </c>
      <c r="L28" s="19">
        <f>VLOOKUP($B28,antR,2,1)</f>
        <v>873</v>
      </c>
      <c r="M28" s="19">
        <f>VLOOKUP($B28,antR,3,1)</f>
        <v>71</v>
      </c>
      <c r="N28" s="19">
        <f>VLOOKUP($B28,antR,4,1)</f>
        <v>53</v>
      </c>
      <c r="O28" s="19">
        <f>VLOOKUP($B28,antR,7,1)</f>
        <v>3</v>
      </c>
      <c r="P28" s="19">
        <f>VLOOKUP($B28,antR,5,1)</f>
        <v>55</v>
      </c>
      <c r="Q28" s="19">
        <f>VLOOKUP($B28,antR,6,1)</f>
        <v>1</v>
      </c>
      <c r="R28" s="20">
        <f>VLOOKUP($B28,antR,8,1)</f>
        <v>0.06071019473</v>
      </c>
      <c r="S28" s="19">
        <f>VLOOKUP($B28,antR,10,1)</f>
        <v>1</v>
      </c>
      <c r="T28" s="1"/>
      <c r="U28" s="1"/>
      <c r="V28" s="21" t="s">
        <v>44</v>
      </c>
      <c r="W28" s="22">
        <v>1002.0</v>
      </c>
      <c r="X28" s="22">
        <v>30.0</v>
      </c>
      <c r="Y28" s="22">
        <v>26.0</v>
      </c>
      <c r="Z28" s="22">
        <v>26.0</v>
      </c>
      <c r="AA28" s="22">
        <v>0.0</v>
      </c>
      <c r="AB28" s="22">
        <v>0.0</v>
      </c>
      <c r="AC28" s="23">
        <f t="shared" si="2"/>
        <v>0.02594810379</v>
      </c>
      <c r="AD28" s="24">
        <v>23.307692307692307</v>
      </c>
      <c r="AE28" s="27">
        <v>3.0</v>
      </c>
    </row>
    <row r="29" ht="14.25" customHeight="1">
      <c r="A29" s="13" t="s">
        <v>19</v>
      </c>
      <c r="B29" s="13" t="s">
        <v>37</v>
      </c>
      <c r="C29" s="17">
        <v>1383.0</v>
      </c>
      <c r="D29" s="30">
        <f t="shared" si="1"/>
        <v>55.32</v>
      </c>
      <c r="E29" s="13">
        <v>31.0</v>
      </c>
      <c r="F29" s="17">
        <v>29.0</v>
      </c>
      <c r="G29" s="13">
        <v>29.0</v>
      </c>
      <c r="H29" s="13">
        <v>1.0</v>
      </c>
      <c r="I29" s="13">
        <v>2.0</v>
      </c>
      <c r="J29" s="18">
        <v>0.022415039768618944</v>
      </c>
      <c r="K29" s="13">
        <v>4.0</v>
      </c>
      <c r="L29" s="19">
        <f>VLOOKUP($B29,antR,2,1)</f>
        <v>775</v>
      </c>
      <c r="M29" s="19">
        <f>VLOOKUP($B29,antR,3,1)</f>
        <v>39</v>
      </c>
      <c r="N29" s="19">
        <f>VLOOKUP($B29,antR,4,1)</f>
        <v>40</v>
      </c>
      <c r="O29" s="19">
        <f>VLOOKUP($B29,antR,7,1)</f>
        <v>3</v>
      </c>
      <c r="P29" s="19">
        <f>VLOOKUP($B29,antR,5,1)</f>
        <v>41</v>
      </c>
      <c r="Q29" s="19">
        <f>VLOOKUP($B29,antR,6,1)</f>
        <v>1</v>
      </c>
      <c r="R29" s="20">
        <f>VLOOKUP($B29,antR,8,1)</f>
        <v>0.05161290323</v>
      </c>
      <c r="S29" s="19">
        <f>VLOOKUP($B29,antR,10,1)</f>
        <v>2</v>
      </c>
      <c r="T29" s="1"/>
      <c r="U29" s="1"/>
      <c r="V29" s="26" t="s">
        <v>39</v>
      </c>
      <c r="W29" s="22">
        <v>891.0</v>
      </c>
      <c r="X29" s="22">
        <v>29.0</v>
      </c>
      <c r="Y29" s="22">
        <v>34.0</v>
      </c>
      <c r="Z29" s="22">
        <v>34.0</v>
      </c>
      <c r="AA29" s="22">
        <v>0.0</v>
      </c>
      <c r="AB29" s="22">
        <v>0.0</v>
      </c>
      <c r="AC29" s="23">
        <f t="shared" si="2"/>
        <v>0.03815937149</v>
      </c>
      <c r="AD29" s="24">
        <v>23.77777777777778</v>
      </c>
      <c r="AE29" s="27">
        <v>3.0</v>
      </c>
    </row>
    <row r="30" ht="14.25" customHeight="1">
      <c r="A30" s="13" t="s">
        <v>16</v>
      </c>
      <c r="B30" s="13" t="s">
        <v>35</v>
      </c>
      <c r="C30" s="17">
        <v>1733.0</v>
      </c>
      <c r="D30" s="30">
        <f t="shared" si="1"/>
        <v>69.32</v>
      </c>
      <c r="E30" s="13">
        <v>30.0</v>
      </c>
      <c r="F30" s="17">
        <v>22.0</v>
      </c>
      <c r="G30" s="13">
        <v>23.0</v>
      </c>
      <c r="H30" s="13">
        <v>0.0</v>
      </c>
      <c r="I30" s="13">
        <v>0.0</v>
      </c>
      <c r="J30" s="18">
        <v>0.017311021350259664</v>
      </c>
      <c r="K30" s="13">
        <v>3.0</v>
      </c>
      <c r="L30" s="19">
        <f>VLOOKUP($B30,antR,2,1)</f>
        <v>873</v>
      </c>
      <c r="M30" s="19">
        <f>VLOOKUP($B30,antR,3,1)</f>
        <v>71</v>
      </c>
      <c r="N30" s="19">
        <f>VLOOKUP($B30,antR,4,1)</f>
        <v>53</v>
      </c>
      <c r="O30" s="19">
        <f>VLOOKUP($B30,antR,7,1)</f>
        <v>3</v>
      </c>
      <c r="P30" s="19">
        <f>VLOOKUP($B30,antR,5,1)</f>
        <v>55</v>
      </c>
      <c r="Q30" s="19">
        <f>VLOOKUP($B30,antR,6,1)</f>
        <v>1</v>
      </c>
      <c r="R30" s="20">
        <f>VLOOKUP($B30,antR,8,1)</f>
        <v>0.06071019473</v>
      </c>
      <c r="S30" s="19">
        <f>VLOOKUP($B30,antR,10,1)</f>
        <v>1</v>
      </c>
      <c r="T30" s="1"/>
      <c r="U30" s="1"/>
      <c r="V30" s="21" t="s">
        <v>49</v>
      </c>
      <c r="W30" s="22">
        <v>716.0</v>
      </c>
      <c r="X30" s="22">
        <v>28.0</v>
      </c>
      <c r="Y30" s="22">
        <v>25.0</v>
      </c>
      <c r="Z30" s="22">
        <v>25.0</v>
      </c>
      <c r="AA30" s="22">
        <v>1.0</v>
      </c>
      <c r="AB30" s="22">
        <v>3.0</v>
      </c>
      <c r="AC30" s="23">
        <f t="shared" si="2"/>
        <v>0.03491620112</v>
      </c>
      <c r="AD30" s="24">
        <v>24.01923076923077</v>
      </c>
      <c r="AE30" s="27">
        <v>3.0</v>
      </c>
    </row>
    <row r="31" ht="14.25" customHeight="1">
      <c r="A31" s="13" t="s">
        <v>19</v>
      </c>
      <c r="B31" s="13" t="s">
        <v>50</v>
      </c>
      <c r="C31" s="17">
        <v>1148.0</v>
      </c>
      <c r="D31" s="30">
        <f t="shared" si="1"/>
        <v>45.92</v>
      </c>
      <c r="E31" s="13">
        <v>30.0</v>
      </c>
      <c r="F31" s="17">
        <v>22.0</v>
      </c>
      <c r="G31" s="13">
        <v>22.0</v>
      </c>
      <c r="H31" s="13">
        <v>1.0</v>
      </c>
      <c r="I31" s="13">
        <v>2.0</v>
      </c>
      <c r="J31" s="18">
        <v>0.02613240418118467</v>
      </c>
      <c r="K31" s="13">
        <v>4.0</v>
      </c>
      <c r="L31" s="19">
        <f>VLOOKUP($B31,antR,2,1)</f>
        <v>873</v>
      </c>
      <c r="M31" s="19">
        <f>VLOOKUP($B31,antR,3,1)</f>
        <v>71</v>
      </c>
      <c r="N31" s="19">
        <f>VLOOKUP($B31,antR,4,1)</f>
        <v>53</v>
      </c>
      <c r="O31" s="19">
        <f>VLOOKUP($B31,antR,7,1)</f>
        <v>3</v>
      </c>
      <c r="P31" s="19">
        <f>VLOOKUP($B31,antR,5,1)</f>
        <v>55</v>
      </c>
      <c r="Q31" s="19">
        <f>VLOOKUP($B31,antR,6,1)</f>
        <v>1</v>
      </c>
      <c r="R31" s="20">
        <f>VLOOKUP($B31,antR,8,1)</f>
        <v>0.06071019473</v>
      </c>
      <c r="S31" s="19">
        <f>VLOOKUP($B31,antR,10,1)</f>
        <v>1</v>
      </c>
      <c r="T31" s="1"/>
      <c r="U31" s="1"/>
      <c r="V31" s="21" t="s">
        <v>51</v>
      </c>
      <c r="W31" s="22">
        <v>940.0</v>
      </c>
      <c r="X31" s="22">
        <v>28.0</v>
      </c>
      <c r="Y31" s="22">
        <v>32.0</v>
      </c>
      <c r="Z31" s="22">
        <v>32.0</v>
      </c>
      <c r="AA31" s="22">
        <v>0.0</v>
      </c>
      <c r="AB31" s="22">
        <v>0.0</v>
      </c>
      <c r="AC31" s="23">
        <f t="shared" si="2"/>
        <v>0.03404255319</v>
      </c>
      <c r="AD31" s="24">
        <v>23.14814814814815</v>
      </c>
      <c r="AE31" s="27">
        <v>3.0</v>
      </c>
    </row>
    <row r="32" ht="14.25" customHeight="1">
      <c r="A32" s="13" t="s">
        <v>19</v>
      </c>
      <c r="B32" s="13" t="s">
        <v>45</v>
      </c>
      <c r="C32" s="17">
        <v>1459.0</v>
      </c>
      <c r="D32" s="30">
        <f t="shared" si="1"/>
        <v>58.36</v>
      </c>
      <c r="E32" s="13">
        <v>29.0</v>
      </c>
      <c r="F32" s="17">
        <v>25.0</v>
      </c>
      <c r="G32" s="13">
        <v>25.0</v>
      </c>
      <c r="H32" s="13">
        <v>1.0</v>
      </c>
      <c r="I32" s="13">
        <v>1.0</v>
      </c>
      <c r="J32" s="18">
        <v>0.019876627827278958</v>
      </c>
      <c r="K32" s="13">
        <v>4.0</v>
      </c>
      <c r="L32" s="19">
        <f>VLOOKUP($B32,antR,2,1)</f>
        <v>873</v>
      </c>
      <c r="M32" s="19">
        <f>VLOOKUP($B32,antR,3,1)</f>
        <v>71</v>
      </c>
      <c r="N32" s="19">
        <f>VLOOKUP($B32,antR,4,1)</f>
        <v>53</v>
      </c>
      <c r="O32" s="19">
        <f>VLOOKUP($B32,antR,7,1)</f>
        <v>3</v>
      </c>
      <c r="P32" s="19">
        <f>VLOOKUP($B32,antR,5,1)</f>
        <v>55</v>
      </c>
      <c r="Q32" s="19">
        <f>VLOOKUP($B32,antR,6,1)</f>
        <v>1</v>
      </c>
      <c r="R32" s="20">
        <f>VLOOKUP($B32,antR,8,1)</f>
        <v>0.06071019473</v>
      </c>
      <c r="S32" s="19">
        <f>VLOOKUP($B32,antR,10,1)</f>
        <v>1</v>
      </c>
      <c r="T32" s="1"/>
      <c r="U32" s="1"/>
      <c r="V32" s="26" t="s">
        <v>41</v>
      </c>
      <c r="W32" s="22">
        <v>1350.0</v>
      </c>
      <c r="X32" s="22">
        <v>27.0</v>
      </c>
      <c r="Y32" s="22">
        <v>29.0</v>
      </c>
      <c r="Z32" s="22">
        <v>29.0</v>
      </c>
      <c r="AA32" s="22">
        <v>0.0</v>
      </c>
      <c r="AB32" s="22">
        <v>0.0</v>
      </c>
      <c r="AC32" s="23">
        <f t="shared" si="2"/>
        <v>0.02148148148</v>
      </c>
      <c r="AD32" s="24">
        <v>23.137931034482758</v>
      </c>
      <c r="AE32" s="27">
        <v>2.0</v>
      </c>
    </row>
    <row r="33" ht="14.25" customHeight="1">
      <c r="A33" s="13" t="s">
        <v>16</v>
      </c>
      <c r="B33" s="13" t="s">
        <v>49</v>
      </c>
      <c r="C33" s="17">
        <v>595.0</v>
      </c>
      <c r="D33" s="30">
        <f t="shared" si="1"/>
        <v>23.8</v>
      </c>
      <c r="E33" s="13">
        <v>27.0</v>
      </c>
      <c r="F33" s="17">
        <v>23.0</v>
      </c>
      <c r="G33" s="13">
        <v>23.0</v>
      </c>
      <c r="H33" s="13">
        <v>1.0</v>
      </c>
      <c r="I33" s="13">
        <v>3.0</v>
      </c>
      <c r="J33" s="18">
        <v>0.0453781512605042</v>
      </c>
      <c r="K33" s="13">
        <v>3.0</v>
      </c>
      <c r="L33" s="19">
        <f>VLOOKUP($B33,antR,2,1)</f>
        <v>873</v>
      </c>
      <c r="M33" s="19">
        <f>VLOOKUP($B33,antR,3,1)</f>
        <v>71</v>
      </c>
      <c r="N33" s="19">
        <f>VLOOKUP($B33,antR,4,1)</f>
        <v>53</v>
      </c>
      <c r="O33" s="19">
        <f>VLOOKUP($B33,antR,7,1)</f>
        <v>3</v>
      </c>
      <c r="P33" s="19">
        <f>VLOOKUP($B33,antR,5,1)</f>
        <v>55</v>
      </c>
      <c r="Q33" s="19">
        <f>VLOOKUP($B33,antR,6,1)</f>
        <v>1</v>
      </c>
      <c r="R33" s="20">
        <f>VLOOKUP($B33,antR,8,1)</f>
        <v>0.06071019473</v>
      </c>
      <c r="S33" s="19">
        <f>VLOOKUP($B33,antR,10,1)</f>
        <v>1</v>
      </c>
      <c r="T33" s="1"/>
      <c r="U33" s="1"/>
      <c r="V33" s="26" t="s">
        <v>48</v>
      </c>
      <c r="W33" s="22">
        <v>1013.0</v>
      </c>
      <c r="X33" s="22">
        <v>27.0</v>
      </c>
      <c r="Y33" s="22">
        <v>26.0</v>
      </c>
      <c r="Z33" s="22">
        <v>26.0</v>
      </c>
      <c r="AA33" s="22">
        <v>1.0</v>
      </c>
      <c r="AB33" s="22">
        <v>3.0</v>
      </c>
      <c r="AC33" s="23">
        <f t="shared" si="2"/>
        <v>0.02566633761</v>
      </c>
      <c r="AD33" s="24">
        <v>23.145833333333332</v>
      </c>
      <c r="AE33" s="27">
        <v>3.0</v>
      </c>
    </row>
    <row r="34" ht="14.25" customHeight="1">
      <c r="A34" s="13" t="s">
        <v>19</v>
      </c>
      <c r="B34" s="13" t="s">
        <v>51</v>
      </c>
      <c r="C34" s="17">
        <v>770.0</v>
      </c>
      <c r="D34" s="30">
        <f t="shared" si="1"/>
        <v>30.8</v>
      </c>
      <c r="E34" s="13">
        <v>26.0</v>
      </c>
      <c r="F34" s="17">
        <v>19.0</v>
      </c>
      <c r="G34" s="13">
        <v>20.0</v>
      </c>
      <c r="H34" s="13">
        <v>0.0</v>
      </c>
      <c r="I34" s="13">
        <v>0.0</v>
      </c>
      <c r="J34" s="18">
        <v>0.033766233766233764</v>
      </c>
      <c r="K34" s="13">
        <v>4.0</v>
      </c>
      <c r="L34" s="19">
        <f>VLOOKUP($B34,antR,2,1)</f>
        <v>873</v>
      </c>
      <c r="M34" s="19">
        <f>VLOOKUP($B34,antR,3,1)</f>
        <v>71</v>
      </c>
      <c r="N34" s="19">
        <f>VLOOKUP($B34,antR,4,1)</f>
        <v>53</v>
      </c>
      <c r="O34" s="19">
        <f>VLOOKUP($B34,antR,7,1)</f>
        <v>3</v>
      </c>
      <c r="P34" s="19">
        <f>VLOOKUP($B34,antR,5,1)</f>
        <v>55</v>
      </c>
      <c r="Q34" s="19">
        <f>VLOOKUP($B34,antR,6,1)</f>
        <v>1</v>
      </c>
      <c r="R34" s="20">
        <f>VLOOKUP($B34,antR,8,1)</f>
        <v>0.06071019473</v>
      </c>
      <c r="S34" s="19">
        <f>VLOOKUP($B34,antR,10,1)</f>
        <v>1</v>
      </c>
      <c r="T34" s="1"/>
      <c r="U34" s="1"/>
      <c r="V34" s="26" t="s">
        <v>52</v>
      </c>
      <c r="W34" s="22">
        <v>742.0</v>
      </c>
      <c r="X34" s="22">
        <v>26.0</v>
      </c>
      <c r="Y34" s="22">
        <v>20.0</v>
      </c>
      <c r="Z34" s="22">
        <v>20.0</v>
      </c>
      <c r="AA34" s="22">
        <v>4.0</v>
      </c>
      <c r="AB34" s="22">
        <v>8.0</v>
      </c>
      <c r="AC34" s="23">
        <f t="shared" si="2"/>
        <v>0.0269541779</v>
      </c>
      <c r="AD34" s="24">
        <v>24.476190476190474</v>
      </c>
      <c r="AE34" s="27">
        <v>3.0</v>
      </c>
    </row>
    <row r="35" ht="14.25" customHeight="1">
      <c r="A35" s="13" t="s">
        <v>19</v>
      </c>
      <c r="B35" s="13" t="s">
        <v>52</v>
      </c>
      <c r="C35" s="17">
        <v>596.0</v>
      </c>
      <c r="D35" s="30">
        <f t="shared" si="1"/>
        <v>23.84</v>
      </c>
      <c r="E35" s="13">
        <v>26.0</v>
      </c>
      <c r="F35" s="17">
        <v>20.0</v>
      </c>
      <c r="G35" s="13">
        <v>20.0</v>
      </c>
      <c r="H35" s="13">
        <v>4.0</v>
      </c>
      <c r="I35" s="13">
        <v>12.0</v>
      </c>
      <c r="J35" s="18">
        <v>0.0436241610738255</v>
      </c>
      <c r="K35" s="13">
        <v>4.0</v>
      </c>
      <c r="L35" s="19">
        <f>VLOOKUP($B35,antR,2,1)</f>
        <v>873</v>
      </c>
      <c r="M35" s="19">
        <f>VLOOKUP($B35,antR,3,1)</f>
        <v>71</v>
      </c>
      <c r="N35" s="19">
        <f>VLOOKUP($B35,antR,4,1)</f>
        <v>53</v>
      </c>
      <c r="O35" s="19">
        <f>VLOOKUP($B35,antR,7,1)</f>
        <v>3</v>
      </c>
      <c r="P35" s="19">
        <f>VLOOKUP($B35,antR,5,1)</f>
        <v>55</v>
      </c>
      <c r="Q35" s="19">
        <f>VLOOKUP($B35,antR,6,1)</f>
        <v>1</v>
      </c>
      <c r="R35" s="20">
        <f>VLOOKUP($B35,antR,8,1)</f>
        <v>0.06071019473</v>
      </c>
      <c r="S35" s="19">
        <f>VLOOKUP($B35,antR,10,1)</f>
        <v>1</v>
      </c>
      <c r="T35" s="1"/>
      <c r="U35" s="1"/>
      <c r="V35" s="26" t="s">
        <v>50</v>
      </c>
      <c r="W35" s="22">
        <v>1869.0</v>
      </c>
      <c r="X35" s="22">
        <v>23.0</v>
      </c>
      <c r="Y35" s="22">
        <v>27.0</v>
      </c>
      <c r="Z35" s="22">
        <v>27.0</v>
      </c>
      <c r="AA35" s="22">
        <v>1.0</v>
      </c>
      <c r="AB35" s="22">
        <v>3.0</v>
      </c>
      <c r="AC35" s="23">
        <f t="shared" si="2"/>
        <v>0.01444622793</v>
      </c>
      <c r="AD35" s="24">
        <v>27.25</v>
      </c>
      <c r="AE35" s="27">
        <v>3.0</v>
      </c>
    </row>
    <row r="36" ht="14.25" customHeight="1">
      <c r="A36" s="31" t="s">
        <v>19</v>
      </c>
      <c r="B36" s="31" t="s">
        <v>53</v>
      </c>
      <c r="C36" s="32">
        <v>1027.0</v>
      </c>
      <c r="D36" s="33">
        <f t="shared" si="1"/>
        <v>41.08</v>
      </c>
      <c r="E36" s="31">
        <v>25.0</v>
      </c>
      <c r="F36" s="32">
        <v>20.0</v>
      </c>
      <c r="G36" s="31">
        <v>21.0</v>
      </c>
      <c r="H36" s="31">
        <v>2.0</v>
      </c>
      <c r="I36" s="31">
        <v>4.0</v>
      </c>
      <c r="J36" s="34">
        <v>0.024342745861733205</v>
      </c>
      <c r="K36" s="31">
        <v>4.0</v>
      </c>
      <c r="L36" s="19" t="str">
        <f>VLOOKUP($B36,antR,2,1)</f>
        <v>#N/A</v>
      </c>
      <c r="M36" s="19" t="str">
        <f>VLOOKUP($B36,antR,3,1)</f>
        <v>#N/A</v>
      </c>
      <c r="N36" s="19" t="str">
        <f>VLOOKUP($B36,antR,4,1)</f>
        <v>#N/A</v>
      </c>
      <c r="O36" s="19" t="str">
        <f>VLOOKUP($B36,antR,7,1)</f>
        <v>#N/A</v>
      </c>
      <c r="P36" s="19" t="str">
        <f>VLOOKUP($B36,antR,5,1)</f>
        <v>#N/A</v>
      </c>
      <c r="Q36" s="19" t="str">
        <f>VLOOKUP($B36,antR,6,1)</f>
        <v>#N/A</v>
      </c>
      <c r="R36" s="20" t="str">
        <f>VLOOKUP($B36,antR,8,1)</f>
        <v>#N/A</v>
      </c>
      <c r="S36" s="19" t="str">
        <f>VLOOKUP($B36,antR,10,1)</f>
        <v>#N/A</v>
      </c>
      <c r="T36" s="1"/>
      <c r="U36" s="1"/>
      <c r="V36" s="21" t="s">
        <v>54</v>
      </c>
      <c r="W36" s="22">
        <v>1417.0</v>
      </c>
      <c r="X36" s="22">
        <v>23.0</v>
      </c>
      <c r="Y36" s="22">
        <v>24.0</v>
      </c>
      <c r="Z36" s="22">
        <v>25.0</v>
      </c>
      <c r="AA36" s="22">
        <v>2.0</v>
      </c>
      <c r="AB36" s="22">
        <v>3.0</v>
      </c>
      <c r="AC36" s="23">
        <f t="shared" si="2"/>
        <v>0.01693719125</v>
      </c>
      <c r="AD36" s="24">
        <v>24.625</v>
      </c>
      <c r="AE36" s="27">
        <v>3.0</v>
      </c>
    </row>
    <row r="37" ht="14.25" customHeight="1">
      <c r="A37" s="13" t="s">
        <v>19</v>
      </c>
      <c r="B37" s="13" t="s">
        <v>54</v>
      </c>
      <c r="C37" s="13">
        <v>1326.0</v>
      </c>
      <c r="D37" s="35">
        <f t="shared" si="1"/>
        <v>53.04</v>
      </c>
      <c r="E37" s="13">
        <v>24.0</v>
      </c>
      <c r="F37" s="13">
        <v>20.0</v>
      </c>
      <c r="G37" s="13">
        <v>20.0</v>
      </c>
      <c r="H37" s="13">
        <v>1.0</v>
      </c>
      <c r="I37" s="13">
        <v>3.0</v>
      </c>
      <c r="J37" s="36">
        <v>0.01809954751131222</v>
      </c>
      <c r="K37" s="13">
        <v>4.0</v>
      </c>
      <c r="L37" s="37">
        <f>VLOOKUP($B37,antR,2,1)</f>
        <v>873</v>
      </c>
      <c r="M37" s="19">
        <f>VLOOKUP($B37,antR,3,1)</f>
        <v>71</v>
      </c>
      <c r="N37" s="19">
        <f>VLOOKUP($B37,antR,4,1)</f>
        <v>53</v>
      </c>
      <c r="O37" s="19">
        <f>VLOOKUP($B37,antR,7,1)</f>
        <v>3</v>
      </c>
      <c r="P37" s="19">
        <f>VLOOKUP($B37,antR,5,1)</f>
        <v>55</v>
      </c>
      <c r="Q37" s="19">
        <f>VLOOKUP($B37,antR,6,1)</f>
        <v>1</v>
      </c>
      <c r="R37" s="20">
        <f>VLOOKUP($B37,antR,8,1)</f>
        <v>0.06071019473</v>
      </c>
      <c r="S37" s="19">
        <f>VLOOKUP($B37,antR,10,1)</f>
        <v>1</v>
      </c>
      <c r="T37" s="1"/>
      <c r="U37" s="1"/>
      <c r="V37" s="26" t="s">
        <v>24</v>
      </c>
      <c r="W37" s="22">
        <v>595.0</v>
      </c>
      <c r="X37" s="22">
        <v>23.0</v>
      </c>
      <c r="Y37" s="22">
        <v>23.0</v>
      </c>
      <c r="Z37" s="22">
        <v>24.0</v>
      </c>
      <c r="AA37" s="22">
        <v>2.0</v>
      </c>
      <c r="AB37" s="22">
        <v>6.0</v>
      </c>
      <c r="AC37" s="23">
        <f t="shared" si="2"/>
        <v>0.03865546218</v>
      </c>
      <c r="AD37" s="24">
        <v>22.0</v>
      </c>
      <c r="AE37" s="27">
        <v>4.0</v>
      </c>
    </row>
    <row r="38" ht="14.25" customHeight="1">
      <c r="A38" s="13" t="s">
        <v>19</v>
      </c>
      <c r="B38" s="13" t="s">
        <v>38</v>
      </c>
      <c r="C38" s="13">
        <v>514.0</v>
      </c>
      <c r="D38" s="35">
        <f t="shared" si="1"/>
        <v>20.56</v>
      </c>
      <c r="E38" s="13">
        <v>21.0</v>
      </c>
      <c r="F38" s="13">
        <v>23.0</v>
      </c>
      <c r="G38" s="13">
        <v>23.0</v>
      </c>
      <c r="H38" s="13">
        <v>0.0</v>
      </c>
      <c r="I38" s="13">
        <v>0.0</v>
      </c>
      <c r="J38" s="36">
        <v>0.04085603112840467</v>
      </c>
      <c r="K38" s="13">
        <v>2.0</v>
      </c>
      <c r="L38" s="37" t="str">
        <f>VLOOKUP($B38,antR,2,1)</f>
        <v>#N/A</v>
      </c>
      <c r="M38" s="19" t="str">
        <f>VLOOKUP($B38,antR,3,1)</f>
        <v>#N/A</v>
      </c>
      <c r="N38" s="19" t="str">
        <f>VLOOKUP($B38,antR,4,1)</f>
        <v>#N/A</v>
      </c>
      <c r="O38" s="19" t="str">
        <f>VLOOKUP($B38,antR,7,1)</f>
        <v>#N/A</v>
      </c>
      <c r="P38" s="19" t="str">
        <f>VLOOKUP($B38,antR,5,1)</f>
        <v>#N/A</v>
      </c>
      <c r="Q38" s="19" t="str">
        <f>VLOOKUP($B38,antR,6,1)</f>
        <v>#N/A</v>
      </c>
      <c r="R38" s="20" t="str">
        <f>VLOOKUP($B38,antR,8,1)</f>
        <v>#N/A</v>
      </c>
      <c r="S38" s="19" t="str">
        <f>VLOOKUP($B38,antR,10,1)</f>
        <v>#N/A</v>
      </c>
      <c r="T38" s="1"/>
      <c r="U38" s="1"/>
      <c r="V38" s="21" t="s">
        <v>53</v>
      </c>
      <c r="W38" s="22">
        <v>1182.0</v>
      </c>
      <c r="X38" s="22">
        <v>22.0</v>
      </c>
      <c r="Y38" s="22">
        <v>23.0</v>
      </c>
      <c r="Z38" s="22">
        <v>23.0</v>
      </c>
      <c r="AA38" s="22">
        <v>1.0</v>
      </c>
      <c r="AB38" s="22">
        <v>2.0</v>
      </c>
      <c r="AC38" s="23">
        <f t="shared" si="2"/>
        <v>0.01945854484</v>
      </c>
      <c r="AD38" s="24">
        <v>20.12</v>
      </c>
      <c r="AE38" s="27">
        <v>4.0</v>
      </c>
    </row>
    <row r="39" ht="14.25" customHeight="1">
      <c r="A39" s="13" t="s">
        <v>16</v>
      </c>
      <c r="B39" s="13" t="s">
        <v>47</v>
      </c>
      <c r="C39" s="13">
        <v>154.0</v>
      </c>
      <c r="D39" s="35">
        <f t="shared" si="1"/>
        <v>6.16</v>
      </c>
      <c r="E39" s="13">
        <v>14.0</v>
      </c>
      <c r="F39" s="13">
        <v>15.0</v>
      </c>
      <c r="G39" s="13">
        <v>15.0</v>
      </c>
      <c r="H39" s="13">
        <v>0.0</v>
      </c>
      <c r="I39" s="13">
        <v>0.0</v>
      </c>
      <c r="J39" s="36">
        <v>0.09090909090909091</v>
      </c>
      <c r="K39" s="13">
        <v>4.0</v>
      </c>
      <c r="L39" s="37" t="str">
        <f>VLOOKUP($B39,antR,2,1)</f>
        <v>#N/A</v>
      </c>
      <c r="M39" s="38" t="str">
        <f>VLOOKUP($B39,antR,3,1)</f>
        <v>#N/A</v>
      </c>
      <c r="N39" s="38" t="str">
        <f>VLOOKUP($B39,antR,4,1)</f>
        <v>#N/A</v>
      </c>
      <c r="O39" s="38" t="str">
        <f>VLOOKUP($B39,antR,7,1)</f>
        <v>#N/A</v>
      </c>
      <c r="P39" s="38" t="str">
        <f>VLOOKUP($B39,antR,5,1)</f>
        <v>#N/A</v>
      </c>
      <c r="Q39" s="38" t="str">
        <f>VLOOKUP($B39,antR,6,1)</f>
        <v>#N/A</v>
      </c>
      <c r="R39" s="39" t="str">
        <f>VLOOKUP($B39,antR,8,1)</f>
        <v>#N/A</v>
      </c>
      <c r="S39" s="38" t="str">
        <f>VLOOKUP($B39,antR,10,1)</f>
        <v>#N/A</v>
      </c>
      <c r="T39" s="1"/>
      <c r="U39" s="1"/>
      <c r="V39" s="40" t="s">
        <v>55</v>
      </c>
      <c r="W39" s="41">
        <v>369.0</v>
      </c>
      <c r="X39" s="41">
        <v>16.0</v>
      </c>
      <c r="Y39" s="41">
        <v>19.0</v>
      </c>
      <c r="Z39" s="41">
        <v>20.0</v>
      </c>
      <c r="AA39" s="41">
        <v>0.0</v>
      </c>
      <c r="AB39" s="41">
        <v>0.0</v>
      </c>
      <c r="AC39" s="23">
        <f t="shared" si="2"/>
        <v>0.05149051491</v>
      </c>
      <c r="AD39" s="42">
        <v>26.0</v>
      </c>
      <c r="AE39" s="43">
        <v>4.0</v>
      </c>
    </row>
    <row r="40" ht="14.25" customHeight="1">
      <c r="A40" s="13" t="s">
        <v>19</v>
      </c>
      <c r="B40" s="13" t="s">
        <v>56</v>
      </c>
      <c r="C40" s="13">
        <v>458.0</v>
      </c>
      <c r="D40" s="35">
        <f t="shared" si="1"/>
        <v>18.32</v>
      </c>
      <c r="E40" s="13">
        <v>12.0</v>
      </c>
      <c r="F40" s="19">
        <v>11.0</v>
      </c>
      <c r="G40" s="19">
        <v>11.0</v>
      </c>
      <c r="H40" s="19">
        <v>0.0</v>
      </c>
      <c r="I40" s="19">
        <v>0.0</v>
      </c>
      <c r="J40" s="36">
        <v>0.026200873362445413</v>
      </c>
      <c r="K40" s="13">
        <v>4.0</v>
      </c>
      <c r="L40" s="37">
        <f>VLOOKUP($B40,antR,2,1)</f>
        <v>873</v>
      </c>
      <c r="M40" s="19">
        <f>VLOOKUP($B40,antR,3,1)</f>
        <v>71</v>
      </c>
      <c r="N40" s="19">
        <f>VLOOKUP($B40,antR,4,1)</f>
        <v>53</v>
      </c>
      <c r="O40" s="19">
        <f>VLOOKUP($B40,antR,7,1)</f>
        <v>3</v>
      </c>
      <c r="P40" s="19">
        <f>VLOOKUP($B40,antR,5,1)</f>
        <v>55</v>
      </c>
      <c r="Q40" s="19">
        <f>VLOOKUP($B40,antR,6,1)</f>
        <v>1</v>
      </c>
      <c r="R40" s="20">
        <f>VLOOKUP($B40,antR,8,1)</f>
        <v>0.06071019473</v>
      </c>
      <c r="S40" s="19">
        <f>VLOOKUP($B40,antR,10,1)</f>
        <v>1</v>
      </c>
      <c r="T40" s="19"/>
      <c r="U40" s="19"/>
      <c r="V40" s="19"/>
      <c r="W40" s="19"/>
      <c r="X40" s="19"/>
      <c r="Y40" s="19"/>
      <c r="Z40" s="19"/>
      <c r="AA40" s="19"/>
      <c r="AB40" s="19"/>
      <c r="AC40" s="19"/>
      <c r="AD40" s="19"/>
      <c r="AE40" s="19"/>
    </row>
    <row r="41" ht="14.25" customHeight="1">
      <c r="A41" s="13" t="s">
        <v>19</v>
      </c>
      <c r="B41" s="13" t="s">
        <v>57</v>
      </c>
      <c r="C41" s="19">
        <v>0.0</v>
      </c>
      <c r="D41" s="35">
        <f t="shared" si="1"/>
        <v>0</v>
      </c>
      <c r="E41" s="19">
        <v>3.0</v>
      </c>
      <c r="F41" s="19">
        <v>1.0</v>
      </c>
      <c r="G41" s="19">
        <v>1.0</v>
      </c>
      <c r="H41" s="19">
        <v>0.0</v>
      </c>
      <c r="I41" s="19">
        <v>0.0</v>
      </c>
      <c r="J41" s="19">
        <v>0.0</v>
      </c>
      <c r="K41" s="19">
        <v>4.0</v>
      </c>
      <c r="L41" s="37">
        <f>VLOOKUP($B41,antR,2,1)</f>
        <v>873</v>
      </c>
      <c r="M41" s="19">
        <f>VLOOKUP($B41,antR,3,1)</f>
        <v>71</v>
      </c>
      <c r="N41" s="19">
        <f>VLOOKUP($B41,antR,4,1)</f>
        <v>53</v>
      </c>
      <c r="O41" s="19">
        <f>VLOOKUP($B41,antR,7,1)</f>
        <v>3</v>
      </c>
      <c r="P41" s="19">
        <f>VLOOKUP($B41,antR,5,1)</f>
        <v>55</v>
      </c>
      <c r="Q41" s="19">
        <f>VLOOKUP($B41,antR,6,1)</f>
        <v>1</v>
      </c>
      <c r="R41" s="20">
        <f>VLOOKUP($B41,antR,8,1)</f>
        <v>0.06071019473</v>
      </c>
      <c r="S41" s="19">
        <f>VLOOKUP($B41,antR,10,1)</f>
        <v>1</v>
      </c>
      <c r="T41" s="1"/>
      <c r="U41" s="1"/>
      <c r="V41" s="1"/>
      <c r="W41" s="1"/>
      <c r="X41" s="1"/>
      <c r="Y41" s="1"/>
      <c r="Z41" s="1"/>
      <c r="AA41" s="1"/>
      <c r="AB41" s="1"/>
      <c r="AC41" s="1"/>
      <c r="AD41" s="1"/>
      <c r="AE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2">
    <mergeCell ref="B1:K1"/>
    <mergeCell ref="L1:S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43"/>
    <col customWidth="1" min="2" max="2" width="43.86"/>
    <col customWidth="1" min="3" max="10" width="10.71"/>
    <col customWidth="1" min="11" max="11" width="17.0"/>
    <col customWidth="1" min="12" max="16" width="10.71"/>
    <col customWidth="1" min="17" max="17" width="20.71"/>
    <col customWidth="1" min="18" max="21" width="10.71"/>
    <col customWidth="1" min="22" max="22" width="33.71"/>
    <col customWidth="1" min="23" max="29" width="10.71"/>
  </cols>
  <sheetData>
    <row r="1">
      <c r="V1" s="44">
        <v>1.0</v>
      </c>
      <c r="W1" s="44">
        <v>2.0</v>
      </c>
      <c r="X1" s="44">
        <v>3.0</v>
      </c>
      <c r="Y1" s="44">
        <v>4.0</v>
      </c>
      <c r="Z1" s="44">
        <v>5.0</v>
      </c>
      <c r="AA1" s="44">
        <v>6.0</v>
      </c>
      <c r="AB1" s="44">
        <v>7.0</v>
      </c>
      <c r="AC1" s="44">
        <v>8.0</v>
      </c>
    </row>
    <row r="2">
      <c r="A2" s="45" t="s">
        <v>2</v>
      </c>
      <c r="B2" s="45" t="s">
        <v>58</v>
      </c>
      <c r="C2" s="46" t="s">
        <v>4</v>
      </c>
      <c r="D2" s="46" t="s">
        <v>59</v>
      </c>
      <c r="E2" s="46" t="s">
        <v>6</v>
      </c>
      <c r="F2" s="46" t="s">
        <v>13</v>
      </c>
      <c r="G2" s="46" t="s">
        <v>9</v>
      </c>
      <c r="H2" s="46" t="s">
        <v>10</v>
      </c>
      <c r="I2" s="46" t="s">
        <v>60</v>
      </c>
      <c r="J2" s="47" t="s">
        <v>12</v>
      </c>
      <c r="K2" s="48" t="s">
        <v>4</v>
      </c>
      <c r="L2" s="49" t="s">
        <v>6</v>
      </c>
      <c r="M2" s="49" t="s">
        <v>8</v>
      </c>
      <c r="N2" s="49" t="s">
        <v>9</v>
      </c>
      <c r="O2" s="49" t="s">
        <v>10</v>
      </c>
      <c r="P2" s="49" t="s">
        <v>11</v>
      </c>
      <c r="Q2" s="50" t="s">
        <v>12</v>
      </c>
      <c r="V2" s="8" t="s">
        <v>3</v>
      </c>
      <c r="W2" s="9" t="s">
        <v>4</v>
      </c>
      <c r="X2" s="10" t="s">
        <v>6</v>
      </c>
      <c r="Y2" s="11" t="s">
        <v>13</v>
      </c>
      <c r="Z2" s="10" t="s">
        <v>9</v>
      </c>
      <c r="AA2" s="10" t="s">
        <v>10</v>
      </c>
      <c r="AB2" s="51" t="s">
        <v>60</v>
      </c>
      <c r="AC2" s="8" t="s">
        <v>12</v>
      </c>
    </row>
    <row r="3">
      <c r="A3" s="44" t="s">
        <v>61</v>
      </c>
      <c r="B3" s="52" t="s">
        <v>62</v>
      </c>
      <c r="C3" s="53">
        <v>1503.0</v>
      </c>
      <c r="D3" s="35">
        <f t="shared" ref="D3:D37" si="1">C3/25</f>
        <v>60.12</v>
      </c>
      <c r="E3" s="35">
        <v>63.0</v>
      </c>
      <c r="F3" s="35">
        <v>61.0</v>
      </c>
      <c r="G3" s="13">
        <v>2.0</v>
      </c>
      <c r="H3" s="13">
        <v>3.0</v>
      </c>
      <c r="I3" s="54">
        <v>0.041916167664670656</v>
      </c>
      <c r="J3" s="16">
        <v>1.0</v>
      </c>
      <c r="K3" s="55">
        <f>VLOOKUP($B3,ANTP,2,0)</f>
        <v>1652</v>
      </c>
      <c r="L3" s="13">
        <f>VLOOKUP($B3,ANTP,3,0)</f>
        <v>53</v>
      </c>
      <c r="M3" s="13">
        <f>VLOOKUP($B3,ANTP,4,0)</f>
        <v>52</v>
      </c>
      <c r="N3" s="13">
        <f>VLOOKUP($B3,ANTP,5,0)</f>
        <v>3</v>
      </c>
      <c r="O3" s="13">
        <f>VLOOKUP($B3,ANTP,6,0)</f>
        <v>5</v>
      </c>
      <c r="P3" s="54">
        <f>VLOOKUP($B3,ANTP,7,0)</f>
        <v>0.03208232446</v>
      </c>
      <c r="Q3" s="56">
        <f>VLOOKUP($B3,ANTP,8,0)</f>
        <v>1</v>
      </c>
      <c r="V3" s="57" t="s">
        <v>62</v>
      </c>
      <c r="W3" s="58">
        <v>1652.0</v>
      </c>
      <c r="X3" s="59">
        <v>53.0</v>
      </c>
      <c r="Y3" s="59">
        <v>52.0</v>
      </c>
      <c r="Z3" s="59">
        <v>3.0</v>
      </c>
      <c r="AA3" s="59">
        <v>5.0</v>
      </c>
      <c r="AB3" s="60">
        <f t="shared" ref="AB3:AB40" si="2">X3/W3</f>
        <v>0.03208232446</v>
      </c>
      <c r="AC3" s="61">
        <v>1.0</v>
      </c>
    </row>
    <row r="4">
      <c r="A4" s="44" t="s">
        <v>61</v>
      </c>
      <c r="B4" s="62" t="s">
        <v>63</v>
      </c>
      <c r="C4" s="63">
        <v>1299.0</v>
      </c>
      <c r="D4" s="35">
        <f t="shared" si="1"/>
        <v>51.96</v>
      </c>
      <c r="E4" s="35">
        <v>52.0</v>
      </c>
      <c r="F4" s="35">
        <v>51.0</v>
      </c>
      <c r="G4" s="13">
        <v>1.0</v>
      </c>
      <c r="H4" s="13">
        <v>3.0</v>
      </c>
      <c r="I4" s="54">
        <v>0.04003079291762895</v>
      </c>
      <c r="J4" s="16">
        <v>1.0</v>
      </c>
      <c r="K4" s="55">
        <f>VLOOKUP($B4,ANTP,2,0)</f>
        <v>1115</v>
      </c>
      <c r="L4" s="13">
        <f>VLOOKUP($B4,ANTP,3,0)</f>
        <v>22</v>
      </c>
      <c r="M4" s="13">
        <f>VLOOKUP($B4,ANTP,4,0)</f>
        <v>21</v>
      </c>
      <c r="N4" s="13">
        <f>VLOOKUP($B4,ANTP,5,0)</f>
        <v>1</v>
      </c>
      <c r="O4" s="13">
        <f>VLOOKUP($B4,ANTP,6,0)</f>
        <v>3</v>
      </c>
      <c r="P4" s="54">
        <f>VLOOKUP($B4,ANTP,7,0)</f>
        <v>0.0197309417</v>
      </c>
      <c r="Q4" s="56">
        <f>VLOOKUP($B4,ANTP,8,0)</f>
        <v>3</v>
      </c>
      <c r="V4" s="64" t="s">
        <v>64</v>
      </c>
      <c r="W4" s="65">
        <v>192.0</v>
      </c>
      <c r="X4" s="66">
        <v>51.0</v>
      </c>
      <c r="Y4" s="66">
        <v>47.0</v>
      </c>
      <c r="Z4" s="66">
        <v>2.0</v>
      </c>
      <c r="AA4" s="66">
        <v>6.0</v>
      </c>
      <c r="AB4" s="60">
        <f t="shared" si="2"/>
        <v>0.265625</v>
      </c>
      <c r="AC4" s="67">
        <v>1.0</v>
      </c>
    </row>
    <row r="5">
      <c r="A5" s="44" t="s">
        <v>61</v>
      </c>
      <c r="B5" s="52" t="s">
        <v>65</v>
      </c>
      <c r="C5" s="63">
        <v>227.0</v>
      </c>
      <c r="D5" s="35">
        <f t="shared" si="1"/>
        <v>9.08</v>
      </c>
      <c r="E5" s="35">
        <v>51.0</v>
      </c>
      <c r="F5" s="35">
        <v>51.0</v>
      </c>
      <c r="G5" s="13">
        <v>7.0</v>
      </c>
      <c r="H5" s="13">
        <v>14.0</v>
      </c>
      <c r="I5" s="54">
        <v>0.22466960352422907</v>
      </c>
      <c r="J5" s="16">
        <v>1.0</v>
      </c>
      <c r="K5" s="55">
        <f>VLOOKUP($B5,ANTP,2,0)</f>
        <v>446</v>
      </c>
      <c r="L5" s="13">
        <f>VLOOKUP($B5,ANTP,3,0)</f>
        <v>27</v>
      </c>
      <c r="M5" s="13">
        <f>VLOOKUP($B5,ANTP,4,0)</f>
        <v>24</v>
      </c>
      <c r="N5" s="13">
        <f>VLOOKUP($B5,ANTP,5,0)</f>
        <v>4</v>
      </c>
      <c r="O5" s="13">
        <f>VLOOKUP($B5,ANTP,6,0)</f>
        <v>11</v>
      </c>
      <c r="P5" s="54">
        <f>VLOOKUP($B5,ANTP,7,0)</f>
        <v>0.06053811659</v>
      </c>
      <c r="Q5" s="56">
        <f>VLOOKUP($B5,ANTP,8,0)</f>
        <v>2</v>
      </c>
      <c r="V5" s="68" t="s">
        <v>66</v>
      </c>
      <c r="W5" s="65">
        <v>1454.0</v>
      </c>
      <c r="X5" s="66">
        <v>48.0</v>
      </c>
      <c r="Y5" s="66">
        <v>40.0</v>
      </c>
      <c r="Z5" s="66">
        <v>1.0</v>
      </c>
      <c r="AA5" s="66">
        <v>3.0</v>
      </c>
      <c r="AB5" s="60">
        <f t="shared" si="2"/>
        <v>0.03301237964</v>
      </c>
      <c r="AC5" s="67">
        <v>1.0</v>
      </c>
    </row>
    <row r="6">
      <c r="A6" s="44" t="s">
        <v>61</v>
      </c>
      <c r="B6" s="62" t="s">
        <v>67</v>
      </c>
      <c r="C6" s="63">
        <v>487.0</v>
      </c>
      <c r="D6" s="35">
        <f t="shared" si="1"/>
        <v>19.48</v>
      </c>
      <c r="E6" s="35">
        <v>49.0</v>
      </c>
      <c r="F6" s="35">
        <v>46.0</v>
      </c>
      <c r="G6" s="13">
        <v>5.0</v>
      </c>
      <c r="H6" s="13">
        <v>13.0</v>
      </c>
      <c r="I6" s="54">
        <v>0.10061601642710473</v>
      </c>
      <c r="J6" s="16">
        <v>1.0</v>
      </c>
      <c r="K6" s="55">
        <f>VLOOKUP($B6,ANTP,2,0)</f>
        <v>255</v>
      </c>
      <c r="L6" s="13">
        <f>VLOOKUP($B6,ANTP,3,0)</f>
        <v>8</v>
      </c>
      <c r="M6" s="13">
        <f>VLOOKUP($B6,ANTP,4,0)</f>
        <v>7</v>
      </c>
      <c r="N6" s="13">
        <f>VLOOKUP($B6,ANTP,5,0)</f>
        <v>1</v>
      </c>
      <c r="O6" s="13">
        <f>VLOOKUP($B6,ANTP,6,0)</f>
        <v>3</v>
      </c>
      <c r="P6" s="54">
        <f>VLOOKUP($B6,ANTP,7,0)</f>
        <v>0.03137254902</v>
      </c>
      <c r="Q6" s="56">
        <f>VLOOKUP($B6,ANTP,8,0)</f>
        <v>4</v>
      </c>
      <c r="V6" s="68" t="s">
        <v>68</v>
      </c>
      <c r="W6" s="65">
        <v>807.0</v>
      </c>
      <c r="X6" s="66">
        <v>41.0</v>
      </c>
      <c r="Y6" s="66">
        <v>40.0</v>
      </c>
      <c r="Z6" s="66">
        <v>2.0</v>
      </c>
      <c r="AA6" s="66">
        <v>3.0</v>
      </c>
      <c r="AB6" s="60">
        <f t="shared" si="2"/>
        <v>0.05080545229</v>
      </c>
      <c r="AC6" s="67">
        <v>1.0</v>
      </c>
    </row>
    <row r="7">
      <c r="A7" s="44" t="s">
        <v>61</v>
      </c>
      <c r="B7" s="52" t="s">
        <v>69</v>
      </c>
      <c r="C7" s="63">
        <v>1195.0</v>
      </c>
      <c r="D7" s="35">
        <f t="shared" si="1"/>
        <v>47.8</v>
      </c>
      <c r="E7" s="35">
        <v>46.0</v>
      </c>
      <c r="F7" s="35">
        <v>44.0</v>
      </c>
      <c r="G7" s="13">
        <v>2.0</v>
      </c>
      <c r="H7" s="13">
        <v>5.0</v>
      </c>
      <c r="I7" s="54">
        <v>0.038493723849372385</v>
      </c>
      <c r="J7" s="16">
        <v>1.0</v>
      </c>
      <c r="K7" s="55">
        <f>VLOOKUP($B7,ANTP,2,0)</f>
        <v>1189</v>
      </c>
      <c r="L7" s="13">
        <f>VLOOKUP($B7,ANTP,3,0)</f>
        <v>33</v>
      </c>
      <c r="M7" s="13">
        <f>VLOOKUP($B7,ANTP,4,0)</f>
        <v>32</v>
      </c>
      <c r="N7" s="13">
        <f>VLOOKUP($B7,ANTP,5,0)</f>
        <v>3</v>
      </c>
      <c r="O7" s="13">
        <f>VLOOKUP($B7,ANTP,6,0)</f>
        <v>7</v>
      </c>
      <c r="P7" s="54">
        <f>VLOOKUP($B7,ANTP,7,0)</f>
        <v>0.02775441548</v>
      </c>
      <c r="Q7" s="56">
        <f>VLOOKUP($B7,ANTP,8,0)</f>
        <v>1</v>
      </c>
      <c r="V7" s="68" t="s">
        <v>69</v>
      </c>
      <c r="W7" s="65">
        <v>1189.0</v>
      </c>
      <c r="X7" s="66">
        <v>33.0</v>
      </c>
      <c r="Y7" s="66">
        <v>32.0</v>
      </c>
      <c r="Z7" s="66">
        <v>3.0</v>
      </c>
      <c r="AA7" s="66">
        <v>7.0</v>
      </c>
      <c r="AB7" s="60">
        <f t="shared" si="2"/>
        <v>0.02775441548</v>
      </c>
      <c r="AC7" s="67">
        <v>1.0</v>
      </c>
    </row>
    <row r="8">
      <c r="A8" s="44" t="s">
        <v>61</v>
      </c>
      <c r="B8" s="69" t="s">
        <v>70</v>
      </c>
      <c r="C8" s="63">
        <v>1059.0</v>
      </c>
      <c r="D8" s="35">
        <f t="shared" si="1"/>
        <v>42.36</v>
      </c>
      <c r="E8" s="35">
        <v>42.0</v>
      </c>
      <c r="F8" s="35">
        <v>41.0</v>
      </c>
      <c r="G8" s="13">
        <v>2.0</v>
      </c>
      <c r="H8" s="13">
        <v>3.0</v>
      </c>
      <c r="I8" s="54">
        <v>0.039660056657223795</v>
      </c>
      <c r="J8" s="16">
        <v>1.0</v>
      </c>
      <c r="K8" s="55">
        <f>VLOOKUP($B8,ANTP,2,0)</f>
        <v>1224</v>
      </c>
      <c r="L8" s="13">
        <f>VLOOKUP($B8,ANTP,3,0)</f>
        <v>16</v>
      </c>
      <c r="M8" s="13">
        <f>VLOOKUP($B8,ANTP,4,0)</f>
        <v>15</v>
      </c>
      <c r="N8" s="13">
        <f>VLOOKUP($B8,ANTP,5,0)</f>
        <v>1</v>
      </c>
      <c r="O8" s="13">
        <f>VLOOKUP($B8,ANTP,6,0)</f>
        <v>3</v>
      </c>
      <c r="P8" s="54">
        <f>VLOOKUP($B8,ANTP,7,0)</f>
        <v>0.01307189542</v>
      </c>
      <c r="Q8" s="56">
        <f>VLOOKUP($B8,ANTP,8,0)</f>
        <v>3</v>
      </c>
      <c r="V8" s="68" t="s">
        <v>71</v>
      </c>
      <c r="W8" s="65">
        <v>726.0</v>
      </c>
      <c r="X8" s="66">
        <v>30.0</v>
      </c>
      <c r="Y8" s="66">
        <v>29.0</v>
      </c>
      <c r="Z8" s="66">
        <v>0.0</v>
      </c>
      <c r="AA8" s="66">
        <v>0.0</v>
      </c>
      <c r="AB8" s="60">
        <f t="shared" si="2"/>
        <v>0.04132231405</v>
      </c>
      <c r="AC8" s="67">
        <v>1.0</v>
      </c>
    </row>
    <row r="9">
      <c r="A9" s="44" t="s">
        <v>61</v>
      </c>
      <c r="B9" s="62" t="s">
        <v>68</v>
      </c>
      <c r="C9" s="63">
        <v>432.0</v>
      </c>
      <c r="D9" s="35">
        <f t="shared" si="1"/>
        <v>17.28</v>
      </c>
      <c r="E9" s="35">
        <v>33.0</v>
      </c>
      <c r="F9" s="35">
        <v>30.0</v>
      </c>
      <c r="G9" s="13">
        <v>6.0</v>
      </c>
      <c r="H9" s="13">
        <v>13.0</v>
      </c>
      <c r="I9" s="54">
        <v>0.0763888888888889</v>
      </c>
      <c r="J9" s="16">
        <v>2.0</v>
      </c>
      <c r="K9" s="55">
        <f>VLOOKUP($B9,ANTP,2,0)</f>
        <v>807</v>
      </c>
      <c r="L9" s="13">
        <f>VLOOKUP($B9,ANTP,3,0)</f>
        <v>41</v>
      </c>
      <c r="M9" s="13">
        <f>VLOOKUP($B9,ANTP,4,0)</f>
        <v>40</v>
      </c>
      <c r="N9" s="13">
        <f>VLOOKUP($B9,ANTP,5,0)</f>
        <v>2</v>
      </c>
      <c r="O9" s="13">
        <f>VLOOKUP($B9,ANTP,6,0)</f>
        <v>3</v>
      </c>
      <c r="P9" s="54">
        <f>VLOOKUP($B9,ANTP,7,0)</f>
        <v>0.05080545229</v>
      </c>
      <c r="Q9" s="56">
        <f>VLOOKUP($B9,ANTP,8,0)</f>
        <v>1</v>
      </c>
      <c r="V9" s="68" t="s">
        <v>72</v>
      </c>
      <c r="W9" s="65">
        <v>542.0</v>
      </c>
      <c r="X9" s="66">
        <v>29.0</v>
      </c>
      <c r="Y9" s="66">
        <v>27.0</v>
      </c>
      <c r="Z9" s="66">
        <v>3.0</v>
      </c>
      <c r="AA9" s="66">
        <v>8.0</v>
      </c>
      <c r="AB9" s="60">
        <f t="shared" si="2"/>
        <v>0.05350553506</v>
      </c>
      <c r="AC9" s="67">
        <v>2.0</v>
      </c>
    </row>
    <row r="10">
      <c r="A10" s="44" t="s">
        <v>61</v>
      </c>
      <c r="B10" s="69" t="s">
        <v>73</v>
      </c>
      <c r="C10" s="63">
        <v>529.0</v>
      </c>
      <c r="D10" s="35">
        <f t="shared" si="1"/>
        <v>21.16</v>
      </c>
      <c r="E10" s="35">
        <v>25.0</v>
      </c>
      <c r="F10" s="35">
        <v>25.0</v>
      </c>
      <c r="G10" s="13">
        <v>0.0</v>
      </c>
      <c r="H10" s="13">
        <v>0.0</v>
      </c>
      <c r="I10" s="54">
        <v>0.04725897920604915</v>
      </c>
      <c r="J10" s="16">
        <v>3.0</v>
      </c>
      <c r="K10" s="55">
        <f>VLOOKUP($B10,ANTP,2,0)</f>
        <v>956</v>
      </c>
      <c r="L10" s="13">
        <f>VLOOKUP($B10,ANTP,3,0)</f>
        <v>9</v>
      </c>
      <c r="M10" s="13">
        <f>VLOOKUP($B10,ANTP,4,0)</f>
        <v>9</v>
      </c>
      <c r="N10" s="13">
        <f>VLOOKUP($B10,ANTP,5,0)</f>
        <v>0</v>
      </c>
      <c r="O10" s="13">
        <f>VLOOKUP($B10,ANTP,6,0)</f>
        <v>0</v>
      </c>
      <c r="P10" s="54">
        <f>VLOOKUP($B10,ANTP,7,0)</f>
        <v>0.009414225941</v>
      </c>
      <c r="Q10" s="56">
        <f>VLOOKUP($B10,ANTP,8,0)</f>
        <v>4</v>
      </c>
      <c r="V10" s="64" t="s">
        <v>74</v>
      </c>
      <c r="W10" s="65">
        <v>1107.0</v>
      </c>
      <c r="X10" s="66">
        <v>27.0</v>
      </c>
      <c r="Y10" s="66">
        <v>26.0</v>
      </c>
      <c r="Z10" s="66">
        <v>2.0</v>
      </c>
      <c r="AA10" s="66">
        <v>4.0</v>
      </c>
      <c r="AB10" s="60">
        <f t="shared" si="2"/>
        <v>0.0243902439</v>
      </c>
      <c r="AC10" s="67">
        <v>2.0</v>
      </c>
    </row>
    <row r="11">
      <c r="A11" s="44" t="s">
        <v>61</v>
      </c>
      <c r="B11" s="62" t="s">
        <v>75</v>
      </c>
      <c r="C11" s="63">
        <v>638.0</v>
      </c>
      <c r="D11" s="35">
        <f t="shared" si="1"/>
        <v>25.52</v>
      </c>
      <c r="E11" s="35">
        <v>26.0</v>
      </c>
      <c r="F11" s="35">
        <v>23.0</v>
      </c>
      <c r="G11" s="13">
        <v>2.0</v>
      </c>
      <c r="H11" s="13">
        <v>6.0</v>
      </c>
      <c r="I11" s="54">
        <v>0.04075235109717868</v>
      </c>
      <c r="J11" s="16">
        <v>3.0</v>
      </c>
      <c r="K11" s="55">
        <f>VLOOKUP($B11,ANTP,2,0)</f>
        <v>689</v>
      </c>
      <c r="L11" s="13">
        <f>VLOOKUP($B11,ANTP,3,0)</f>
        <v>23</v>
      </c>
      <c r="M11" s="13">
        <f>VLOOKUP($B11,ANTP,4,0)</f>
        <v>23</v>
      </c>
      <c r="N11" s="13">
        <f>VLOOKUP($B11,ANTP,5,0)</f>
        <v>1</v>
      </c>
      <c r="O11" s="13">
        <f>VLOOKUP($B11,ANTP,6,0)</f>
        <v>3</v>
      </c>
      <c r="P11" s="54">
        <f>VLOOKUP($B11,ANTP,7,0)</f>
        <v>0.03338171263</v>
      </c>
      <c r="Q11" s="56">
        <f>VLOOKUP($B11,ANTP,8,0)</f>
        <v>3</v>
      </c>
      <c r="V11" s="70" t="s">
        <v>65</v>
      </c>
      <c r="W11" s="71">
        <v>446.0</v>
      </c>
      <c r="X11" s="72">
        <v>27.0</v>
      </c>
      <c r="Y11" s="66">
        <v>24.0</v>
      </c>
      <c r="Z11" s="66">
        <v>4.0</v>
      </c>
      <c r="AA11" s="66">
        <v>11.0</v>
      </c>
      <c r="AB11" s="60">
        <f t="shared" si="2"/>
        <v>0.06053811659</v>
      </c>
      <c r="AC11" s="73">
        <v>2.0</v>
      </c>
    </row>
    <row r="12">
      <c r="A12" s="44" t="s">
        <v>61</v>
      </c>
      <c r="B12" s="52" t="s">
        <v>74</v>
      </c>
      <c r="C12" s="63">
        <v>1065.0</v>
      </c>
      <c r="D12" s="35">
        <f t="shared" si="1"/>
        <v>42.6</v>
      </c>
      <c r="E12" s="35">
        <v>20.0</v>
      </c>
      <c r="F12" s="35">
        <v>18.0</v>
      </c>
      <c r="G12" s="13">
        <v>2.0</v>
      </c>
      <c r="H12" s="13">
        <v>4.0</v>
      </c>
      <c r="I12" s="54">
        <v>0.018779342723004695</v>
      </c>
      <c r="J12" s="16">
        <v>4.0</v>
      </c>
      <c r="K12" s="55">
        <f>VLOOKUP($B12,ANTP,2,0)</f>
        <v>1107</v>
      </c>
      <c r="L12" s="13">
        <f>VLOOKUP($B12,ANTP,3,0)</f>
        <v>27</v>
      </c>
      <c r="M12" s="13">
        <f>VLOOKUP($B12,ANTP,4,0)</f>
        <v>26</v>
      </c>
      <c r="N12" s="13">
        <f>VLOOKUP($B12,ANTP,5,0)</f>
        <v>2</v>
      </c>
      <c r="O12" s="13">
        <f>VLOOKUP($B12,ANTP,6,0)</f>
        <v>4</v>
      </c>
      <c r="P12" s="54">
        <f>VLOOKUP($B12,ANTP,7,0)</f>
        <v>0.0243902439</v>
      </c>
      <c r="Q12" s="56">
        <f>VLOOKUP($B12,ANTP,8,0)</f>
        <v>2</v>
      </c>
      <c r="V12" s="64" t="s">
        <v>76</v>
      </c>
      <c r="W12" s="65">
        <v>483.0</v>
      </c>
      <c r="X12" s="66">
        <v>27.0</v>
      </c>
      <c r="Y12" s="66">
        <v>26.0</v>
      </c>
      <c r="Z12" s="66">
        <v>0.0</v>
      </c>
      <c r="AA12" s="66">
        <v>0.0</v>
      </c>
      <c r="AB12" s="60">
        <f t="shared" si="2"/>
        <v>0.05590062112</v>
      </c>
      <c r="AC12" s="67">
        <v>2.0</v>
      </c>
    </row>
    <row r="13">
      <c r="A13" s="44" t="s">
        <v>61</v>
      </c>
      <c r="B13" s="69" t="s">
        <v>77</v>
      </c>
      <c r="C13" s="63">
        <v>73.0</v>
      </c>
      <c r="D13" s="35">
        <f t="shared" si="1"/>
        <v>2.92</v>
      </c>
      <c r="E13" s="35">
        <v>16.0</v>
      </c>
      <c r="F13" s="35">
        <v>16.0</v>
      </c>
      <c r="G13" s="13">
        <v>6.0</v>
      </c>
      <c r="H13" s="13">
        <v>15.0</v>
      </c>
      <c r="I13" s="54">
        <v>0.2191780821917808</v>
      </c>
      <c r="J13" s="16">
        <v>4.0</v>
      </c>
      <c r="K13" s="55">
        <f>VLOOKUP($B13,ANTP,2,0)</f>
        <v>148</v>
      </c>
      <c r="L13" s="13">
        <f>VLOOKUP($B13,ANTP,3,0)</f>
        <v>13</v>
      </c>
      <c r="M13" s="13">
        <f>VLOOKUP($B13,ANTP,4,0)</f>
        <v>11</v>
      </c>
      <c r="N13" s="13">
        <f>VLOOKUP($B13,ANTP,5,0)</f>
        <v>12</v>
      </c>
      <c r="O13" s="13">
        <f>VLOOKUP($B13,ANTP,6,0)</f>
        <v>25</v>
      </c>
      <c r="P13" s="54">
        <f>VLOOKUP($B13,ANTP,7,0)</f>
        <v>0.08783783784</v>
      </c>
      <c r="Q13" s="56">
        <f>VLOOKUP($B13,ANTP,8,0)</f>
        <v>3</v>
      </c>
      <c r="V13" s="68" t="s">
        <v>78</v>
      </c>
      <c r="W13" s="65">
        <v>180.0</v>
      </c>
      <c r="X13" s="66">
        <v>27.0</v>
      </c>
      <c r="Y13" s="66">
        <v>23.0</v>
      </c>
      <c r="Z13" s="66">
        <v>0.0</v>
      </c>
      <c r="AA13" s="66">
        <v>0.0</v>
      </c>
      <c r="AB13" s="60">
        <f t="shared" si="2"/>
        <v>0.15</v>
      </c>
      <c r="AC13" s="67">
        <v>2.0</v>
      </c>
    </row>
    <row r="14">
      <c r="A14" s="44" t="s">
        <v>61</v>
      </c>
      <c r="B14" s="62" t="s">
        <v>79</v>
      </c>
      <c r="C14" s="63">
        <v>0.0</v>
      </c>
      <c r="D14" s="35">
        <f t="shared" si="1"/>
        <v>0</v>
      </c>
      <c r="E14" s="35">
        <v>15.0</v>
      </c>
      <c r="F14" s="35">
        <v>13.0</v>
      </c>
      <c r="G14" s="13">
        <v>0.0</v>
      </c>
      <c r="H14" s="13">
        <v>0.0</v>
      </c>
      <c r="I14" s="54">
        <v>0.0</v>
      </c>
      <c r="J14" s="16">
        <v>4.0</v>
      </c>
      <c r="K14" s="55" t="str">
        <f>VLOOKUP($B14,ANTP,2,0)</f>
        <v>#N/A</v>
      </c>
      <c r="L14" s="13" t="str">
        <f>VLOOKUP($B14,ANTP,3,0)</f>
        <v>#N/A</v>
      </c>
      <c r="M14" s="13" t="str">
        <f>VLOOKUP($B14,ANTP,4,0)</f>
        <v>#N/A</v>
      </c>
      <c r="N14" s="13" t="str">
        <f>VLOOKUP($B14,ANTP,5,0)</f>
        <v>#N/A</v>
      </c>
      <c r="O14" s="13" t="str">
        <f>VLOOKUP($B14,ANTP,6,0)</f>
        <v>#N/A</v>
      </c>
      <c r="P14" s="54" t="str">
        <f>VLOOKUP($B14,ANTP,7,0)</f>
        <v>#N/A</v>
      </c>
      <c r="Q14" s="56" t="str">
        <f>VLOOKUP($B14,ANTP,8,0)</f>
        <v>#N/A</v>
      </c>
      <c r="V14" s="68" t="s">
        <v>80</v>
      </c>
      <c r="W14" s="65">
        <v>1200.0</v>
      </c>
      <c r="X14" s="66">
        <v>26.0</v>
      </c>
      <c r="Y14" s="66">
        <v>25.0</v>
      </c>
      <c r="Z14" s="66">
        <v>0.0</v>
      </c>
      <c r="AA14" s="66">
        <v>0.0</v>
      </c>
      <c r="AB14" s="60">
        <f t="shared" si="2"/>
        <v>0.02166666667</v>
      </c>
      <c r="AC14" s="67">
        <v>2.0</v>
      </c>
    </row>
    <row r="15">
      <c r="A15" s="44" t="s">
        <v>61</v>
      </c>
      <c r="B15" s="74" t="s">
        <v>80</v>
      </c>
      <c r="C15" s="63">
        <v>811.0</v>
      </c>
      <c r="D15" s="35">
        <f t="shared" si="1"/>
        <v>32.44</v>
      </c>
      <c r="E15" s="35">
        <v>11.0</v>
      </c>
      <c r="F15" s="35">
        <v>11.0</v>
      </c>
      <c r="G15" s="13">
        <v>1.0</v>
      </c>
      <c r="H15" s="13">
        <v>1.0</v>
      </c>
      <c r="I15" s="54">
        <v>0.013563501849568433</v>
      </c>
      <c r="J15" s="16">
        <v>4.0</v>
      </c>
      <c r="K15" s="55">
        <f>VLOOKUP($B15,ANTP,2,0)</f>
        <v>1200</v>
      </c>
      <c r="L15" s="13">
        <f>VLOOKUP($B15,ANTP,3,0)</f>
        <v>26</v>
      </c>
      <c r="M15" s="13">
        <f>VLOOKUP($B15,ANTP,4,0)</f>
        <v>25</v>
      </c>
      <c r="N15" s="13">
        <f>VLOOKUP($B15,ANTP,5,0)</f>
        <v>0</v>
      </c>
      <c r="O15" s="13">
        <f>VLOOKUP($B15,ANTP,6,0)</f>
        <v>0</v>
      </c>
      <c r="P15" s="54">
        <f>VLOOKUP($B15,ANTP,7,0)</f>
        <v>0.02166666667</v>
      </c>
      <c r="Q15" s="56">
        <f>VLOOKUP($B15,ANTP,8,0)</f>
        <v>2</v>
      </c>
      <c r="V15" s="68" t="s">
        <v>81</v>
      </c>
      <c r="W15" s="65">
        <v>254.0</v>
      </c>
      <c r="X15" s="66">
        <v>25.0</v>
      </c>
      <c r="Y15" s="66">
        <v>22.0</v>
      </c>
      <c r="Z15" s="66">
        <v>1.0</v>
      </c>
      <c r="AA15" s="66">
        <v>2.0</v>
      </c>
      <c r="AB15" s="60">
        <f t="shared" si="2"/>
        <v>0.09842519685</v>
      </c>
      <c r="AC15" s="67">
        <v>3.0</v>
      </c>
    </row>
    <row r="16">
      <c r="A16" s="44" t="s">
        <v>61</v>
      </c>
      <c r="B16" s="69" t="s">
        <v>66</v>
      </c>
      <c r="C16" s="63">
        <v>735.0</v>
      </c>
      <c r="D16" s="35">
        <f t="shared" si="1"/>
        <v>29.4</v>
      </c>
      <c r="E16" s="35">
        <v>7.0</v>
      </c>
      <c r="F16" s="35">
        <v>7.0</v>
      </c>
      <c r="G16" s="13">
        <v>0.0</v>
      </c>
      <c r="H16" s="13">
        <v>0.0</v>
      </c>
      <c r="I16" s="54">
        <v>0.009523809523809525</v>
      </c>
      <c r="J16" s="16">
        <v>4.0</v>
      </c>
      <c r="K16" s="55">
        <f>VLOOKUP($B16,ANTP,2,0)</f>
        <v>1454</v>
      </c>
      <c r="L16" s="13">
        <f>VLOOKUP($B16,ANTP,3,0)</f>
        <v>48</v>
      </c>
      <c r="M16" s="13">
        <f>VLOOKUP($B16,ANTP,4,0)</f>
        <v>40</v>
      </c>
      <c r="N16" s="13">
        <f>VLOOKUP($B16,ANTP,5,0)</f>
        <v>1</v>
      </c>
      <c r="O16" s="13">
        <f>VLOOKUP($B16,ANTP,6,0)</f>
        <v>3</v>
      </c>
      <c r="P16" s="54">
        <f>VLOOKUP($B16,ANTP,7,0)</f>
        <v>0.03301237964</v>
      </c>
      <c r="Q16" s="56">
        <f>VLOOKUP($B16,ANTP,8,0)</f>
        <v>1</v>
      </c>
      <c r="V16" s="68" t="s">
        <v>75</v>
      </c>
      <c r="W16" s="65">
        <v>689.0</v>
      </c>
      <c r="X16" s="66">
        <v>23.0</v>
      </c>
      <c r="Y16" s="66">
        <v>23.0</v>
      </c>
      <c r="Z16" s="66">
        <v>1.0</v>
      </c>
      <c r="AA16" s="66">
        <v>3.0</v>
      </c>
      <c r="AB16" s="60">
        <f t="shared" si="2"/>
        <v>0.03338171263</v>
      </c>
      <c r="AC16" s="67">
        <v>3.0</v>
      </c>
    </row>
    <row r="17">
      <c r="A17" s="44" t="s">
        <v>61</v>
      </c>
      <c r="B17" s="75" t="s">
        <v>82</v>
      </c>
      <c r="C17" s="63">
        <v>0.0</v>
      </c>
      <c r="D17" s="35">
        <f t="shared" si="1"/>
        <v>0</v>
      </c>
      <c r="E17" s="35">
        <v>8.0</v>
      </c>
      <c r="F17" s="35">
        <v>6.0</v>
      </c>
      <c r="G17" s="13">
        <v>0.0</v>
      </c>
      <c r="H17" s="13">
        <v>0.0</v>
      </c>
      <c r="I17" s="54">
        <v>0.0</v>
      </c>
      <c r="J17" s="16">
        <v>4.0</v>
      </c>
      <c r="K17" s="55" t="str">
        <f>VLOOKUP($B17,ANTP,2,0)</f>
        <v>#N/A</v>
      </c>
      <c r="L17" s="13" t="str">
        <f>VLOOKUP($B17,ANTP,3,0)</f>
        <v>#N/A</v>
      </c>
      <c r="M17" s="13" t="str">
        <f>VLOOKUP($B17,ANTP,4,0)</f>
        <v>#N/A</v>
      </c>
      <c r="N17" s="13" t="str">
        <f>VLOOKUP($B17,ANTP,5,0)</f>
        <v>#N/A</v>
      </c>
      <c r="O17" s="13" t="str">
        <f>VLOOKUP($B17,ANTP,6,0)</f>
        <v>#N/A</v>
      </c>
      <c r="P17" s="54" t="str">
        <f>VLOOKUP($B17,ANTP,7,0)</f>
        <v>#N/A</v>
      </c>
      <c r="Q17" s="56" t="str">
        <f>VLOOKUP($B17,ANTP,8,0)</f>
        <v>#N/A</v>
      </c>
      <c r="V17" s="68" t="s">
        <v>56</v>
      </c>
      <c r="W17" s="65">
        <v>935.0</v>
      </c>
      <c r="X17" s="66">
        <v>23.0</v>
      </c>
      <c r="Y17" s="66">
        <v>20.0</v>
      </c>
      <c r="Z17" s="66">
        <v>1.0</v>
      </c>
      <c r="AA17" s="66">
        <v>2.0</v>
      </c>
      <c r="AB17" s="60">
        <f t="shared" si="2"/>
        <v>0.02459893048</v>
      </c>
      <c r="AC17" s="67">
        <v>3.0</v>
      </c>
    </row>
    <row r="18">
      <c r="A18" s="44" t="s">
        <v>61</v>
      </c>
      <c r="B18" s="75" t="s">
        <v>83</v>
      </c>
      <c r="C18" s="63">
        <v>0.0</v>
      </c>
      <c r="D18" s="35">
        <f t="shared" si="1"/>
        <v>0</v>
      </c>
      <c r="E18" s="35">
        <v>4.0</v>
      </c>
      <c r="F18" s="35">
        <v>4.0</v>
      </c>
      <c r="G18" s="13">
        <v>2.0</v>
      </c>
      <c r="H18" s="13">
        <v>5.0</v>
      </c>
      <c r="I18" s="54">
        <v>0.0</v>
      </c>
      <c r="J18" s="16">
        <v>4.0</v>
      </c>
      <c r="K18" s="55" t="str">
        <f>VLOOKUP($B18,ANTP,2,0)</f>
        <v>#N/A</v>
      </c>
      <c r="L18" s="13" t="str">
        <f>VLOOKUP($B18,ANTP,3,0)</f>
        <v>#N/A</v>
      </c>
      <c r="M18" s="13" t="str">
        <f>VLOOKUP($B18,ANTP,4,0)</f>
        <v>#N/A</v>
      </c>
      <c r="N18" s="13" t="str">
        <f>VLOOKUP($B18,ANTP,5,0)</f>
        <v>#N/A</v>
      </c>
      <c r="O18" s="13" t="str">
        <f>VLOOKUP($B18,ANTP,6,0)</f>
        <v>#N/A</v>
      </c>
      <c r="P18" s="54" t="str">
        <f>VLOOKUP($B18,ANTP,7,0)</f>
        <v>#N/A</v>
      </c>
      <c r="Q18" s="56" t="str">
        <f>VLOOKUP($B18,ANTP,8,0)</f>
        <v>#N/A</v>
      </c>
      <c r="V18" s="64" t="s">
        <v>63</v>
      </c>
      <c r="W18" s="65">
        <v>1115.0</v>
      </c>
      <c r="X18" s="66">
        <v>22.0</v>
      </c>
      <c r="Y18" s="66">
        <v>21.0</v>
      </c>
      <c r="Z18" s="66">
        <v>1.0</v>
      </c>
      <c r="AA18" s="66">
        <v>3.0</v>
      </c>
      <c r="AB18" s="60">
        <f t="shared" si="2"/>
        <v>0.0197309417</v>
      </c>
      <c r="AC18" s="67">
        <v>3.0</v>
      </c>
    </row>
    <row r="19">
      <c r="A19" s="44" t="s">
        <v>84</v>
      </c>
      <c r="B19" s="76" t="s">
        <v>85</v>
      </c>
      <c r="C19" s="77">
        <v>1131.0</v>
      </c>
      <c r="D19" s="35">
        <f t="shared" si="1"/>
        <v>45.24</v>
      </c>
      <c r="E19" s="35">
        <v>51.0</v>
      </c>
      <c r="F19" s="35">
        <v>52.0</v>
      </c>
      <c r="G19" s="13">
        <v>2.0</v>
      </c>
      <c r="H19" s="13">
        <v>6.0</v>
      </c>
      <c r="I19" s="54">
        <v>0.04509283819628647</v>
      </c>
      <c r="J19" s="16">
        <v>1.0</v>
      </c>
      <c r="K19" s="55">
        <f>VLOOKUP($B19,ANTP,2,0)</f>
        <v>288</v>
      </c>
      <c r="L19" s="13">
        <f>VLOOKUP($B19,ANTP,3,0)</f>
        <v>17</v>
      </c>
      <c r="M19" s="13">
        <f>VLOOKUP($B19,ANTP,4,0)</f>
        <v>17</v>
      </c>
      <c r="N19" s="13">
        <f>VLOOKUP($B19,ANTP,5,0)</f>
        <v>3</v>
      </c>
      <c r="O19" s="13">
        <f>VLOOKUP($B19,ANTP,6,0)</f>
        <v>9</v>
      </c>
      <c r="P19" s="54">
        <f>VLOOKUP($B19,ANTP,7,0)</f>
        <v>0.05902777778</v>
      </c>
      <c r="Q19" s="56">
        <f>VLOOKUP($B19,ANTP,8,0)</f>
        <v>3</v>
      </c>
      <c r="V19" s="68" t="s">
        <v>86</v>
      </c>
      <c r="W19" s="65">
        <v>1259.0</v>
      </c>
      <c r="X19" s="66">
        <v>22.0</v>
      </c>
      <c r="Y19" s="66">
        <v>22.0</v>
      </c>
      <c r="Z19" s="66">
        <v>1.0</v>
      </c>
      <c r="AA19" s="66">
        <v>3.0</v>
      </c>
      <c r="AB19" s="60">
        <f t="shared" si="2"/>
        <v>0.01747418586</v>
      </c>
      <c r="AC19" s="67">
        <v>3.0</v>
      </c>
    </row>
    <row r="20">
      <c r="A20" s="44" t="s">
        <v>84</v>
      </c>
      <c r="B20" s="78" t="s">
        <v>71</v>
      </c>
      <c r="C20" s="77">
        <v>661.0</v>
      </c>
      <c r="D20" s="35">
        <f t="shared" si="1"/>
        <v>26.44</v>
      </c>
      <c r="E20" s="35">
        <v>47.0</v>
      </c>
      <c r="F20" s="35">
        <v>46.0</v>
      </c>
      <c r="G20" s="13">
        <v>1.0</v>
      </c>
      <c r="H20" s="13">
        <v>3.0</v>
      </c>
      <c r="I20" s="54">
        <v>0.07110438729198185</v>
      </c>
      <c r="J20" s="16">
        <v>1.0</v>
      </c>
      <c r="K20" s="55">
        <f>VLOOKUP($B20,ANTP,2,0)</f>
        <v>726</v>
      </c>
      <c r="L20" s="13">
        <f>VLOOKUP($B20,ANTP,3,0)</f>
        <v>30</v>
      </c>
      <c r="M20" s="13">
        <f>VLOOKUP($B20,ANTP,4,0)</f>
        <v>29</v>
      </c>
      <c r="N20" s="13">
        <f>VLOOKUP($B20,ANTP,5,0)</f>
        <v>0</v>
      </c>
      <c r="O20" s="13">
        <f>VLOOKUP($B20,ANTP,6,0)</f>
        <v>0</v>
      </c>
      <c r="P20" s="54">
        <f>VLOOKUP($B20,ANTP,7,0)</f>
        <v>0.04132231405</v>
      </c>
      <c r="Q20" s="56">
        <f>VLOOKUP($B20,ANTP,8,0)</f>
        <v>1</v>
      </c>
      <c r="V20" s="68" t="s">
        <v>87</v>
      </c>
      <c r="W20" s="65">
        <v>779.0</v>
      </c>
      <c r="X20" s="66">
        <v>21.0</v>
      </c>
      <c r="Y20" s="66">
        <v>12.0</v>
      </c>
      <c r="Z20" s="66">
        <v>0.0</v>
      </c>
      <c r="AA20" s="66">
        <v>0.0</v>
      </c>
      <c r="AB20" s="60">
        <f t="shared" si="2"/>
        <v>0.026957638</v>
      </c>
      <c r="AC20" s="67">
        <v>3.0</v>
      </c>
    </row>
    <row r="21" ht="15.75" customHeight="1">
      <c r="A21" s="44" t="s">
        <v>84</v>
      </c>
      <c r="B21" s="78" t="s">
        <v>64</v>
      </c>
      <c r="C21" s="77">
        <v>229.0</v>
      </c>
      <c r="D21" s="35">
        <f t="shared" si="1"/>
        <v>9.16</v>
      </c>
      <c r="E21" s="35">
        <v>47.0</v>
      </c>
      <c r="F21" s="35">
        <v>42.0</v>
      </c>
      <c r="G21" s="13">
        <v>3.0</v>
      </c>
      <c r="H21" s="13">
        <v>7.0</v>
      </c>
      <c r="I21" s="54">
        <v>0.2052401746724891</v>
      </c>
      <c r="J21" s="16">
        <v>1.0</v>
      </c>
      <c r="K21" s="55">
        <f>VLOOKUP($B21,ANTP,2,0)</f>
        <v>192</v>
      </c>
      <c r="L21" s="13">
        <f>VLOOKUP($B21,ANTP,3,0)</f>
        <v>51</v>
      </c>
      <c r="M21" s="13">
        <f>VLOOKUP($B21,ANTP,4,0)</f>
        <v>47</v>
      </c>
      <c r="N21" s="13">
        <f>VLOOKUP($B21,ANTP,5,0)</f>
        <v>2</v>
      </c>
      <c r="O21" s="13">
        <f>VLOOKUP($B21,ANTP,6,0)</f>
        <v>6</v>
      </c>
      <c r="P21" s="54">
        <f>VLOOKUP($B21,ANTP,7,0)</f>
        <v>0.265625</v>
      </c>
      <c r="Q21" s="56">
        <f>VLOOKUP($B21,ANTP,8,0)</f>
        <v>1</v>
      </c>
      <c r="V21" s="68" t="s">
        <v>88</v>
      </c>
      <c r="W21" s="65">
        <v>1455.0</v>
      </c>
      <c r="X21" s="66">
        <v>19.0</v>
      </c>
      <c r="Y21" s="66">
        <v>19.0</v>
      </c>
      <c r="Z21" s="66">
        <v>0.0</v>
      </c>
      <c r="AA21" s="66">
        <v>0.0</v>
      </c>
      <c r="AB21" s="60">
        <f t="shared" si="2"/>
        <v>0.01305841924</v>
      </c>
      <c r="AC21" s="67">
        <v>3.0</v>
      </c>
    </row>
    <row r="22" ht="15.75" customHeight="1">
      <c r="A22" s="44" t="s">
        <v>84</v>
      </c>
      <c r="B22" s="78" t="s">
        <v>89</v>
      </c>
      <c r="C22" s="77">
        <v>216.0</v>
      </c>
      <c r="D22" s="35">
        <f t="shared" si="1"/>
        <v>8.64</v>
      </c>
      <c r="E22" s="35">
        <v>41.0</v>
      </c>
      <c r="F22" s="35">
        <v>41.0</v>
      </c>
      <c r="G22" s="13">
        <v>5.0</v>
      </c>
      <c r="H22" s="13">
        <v>15.0</v>
      </c>
      <c r="I22" s="54">
        <v>0.18981481481481483</v>
      </c>
      <c r="J22" s="16">
        <v>1.0</v>
      </c>
      <c r="K22" s="55">
        <f>VLOOKUP($B22,ANTP,2,0)</f>
        <v>8</v>
      </c>
      <c r="L22" s="13">
        <f>VLOOKUP($B22,ANTP,3,0)</f>
        <v>13</v>
      </c>
      <c r="M22" s="13">
        <f>VLOOKUP($B22,ANTP,4,0)</f>
        <v>10</v>
      </c>
      <c r="N22" s="13">
        <f>VLOOKUP($B22,ANTP,5,0)</f>
        <v>8</v>
      </c>
      <c r="O22" s="13">
        <f>VLOOKUP($B22,ANTP,6,0)</f>
        <v>24</v>
      </c>
      <c r="P22" s="54">
        <f>VLOOKUP($B22,ANTP,7,0)</f>
        <v>1.625</v>
      </c>
      <c r="Q22" s="56">
        <f>VLOOKUP($B22,ANTP,8,0)</f>
        <v>3</v>
      </c>
      <c r="V22" s="68" t="s">
        <v>90</v>
      </c>
      <c r="W22" s="65">
        <v>1284.0</v>
      </c>
      <c r="X22" s="66">
        <v>19.0</v>
      </c>
      <c r="Y22" s="66">
        <v>18.0</v>
      </c>
      <c r="Z22" s="66">
        <v>0.0</v>
      </c>
      <c r="AA22" s="66">
        <v>0.0</v>
      </c>
      <c r="AB22" s="60">
        <f t="shared" si="2"/>
        <v>0.01479750779</v>
      </c>
      <c r="AC22" s="67">
        <v>3.0</v>
      </c>
    </row>
    <row r="23" ht="15.75" customHeight="1">
      <c r="A23" s="44" t="s">
        <v>84</v>
      </c>
      <c r="B23" s="78" t="s">
        <v>91</v>
      </c>
      <c r="C23" s="77">
        <v>173.0</v>
      </c>
      <c r="D23" s="35">
        <f t="shared" si="1"/>
        <v>6.92</v>
      </c>
      <c r="E23" s="35">
        <v>42.0</v>
      </c>
      <c r="F23" s="35">
        <v>41.0</v>
      </c>
      <c r="G23" s="13">
        <v>1.0</v>
      </c>
      <c r="H23" s="13">
        <v>3.0</v>
      </c>
      <c r="I23" s="54">
        <v>0.24277456647398843</v>
      </c>
      <c r="J23" s="16">
        <v>1.0</v>
      </c>
      <c r="K23" s="55">
        <f>VLOOKUP($B23,ANTP,2,0)</f>
        <v>141</v>
      </c>
      <c r="L23" s="13">
        <f>VLOOKUP($B23,ANTP,3,0)</f>
        <v>13</v>
      </c>
      <c r="M23" s="13">
        <f>VLOOKUP($B23,ANTP,4,0)</f>
        <v>12</v>
      </c>
      <c r="N23" s="13">
        <f>VLOOKUP($B23,ANTP,5,0)</f>
        <v>9</v>
      </c>
      <c r="O23" s="13">
        <f>VLOOKUP($B23,ANTP,6,0)</f>
        <v>25</v>
      </c>
      <c r="P23" s="54">
        <f>VLOOKUP($B23,ANTP,7,0)</f>
        <v>0.09219858156</v>
      </c>
      <c r="Q23" s="56">
        <f>VLOOKUP($B23,ANTP,8,0)</f>
        <v>3</v>
      </c>
      <c r="V23" s="68" t="s">
        <v>92</v>
      </c>
      <c r="W23" s="65">
        <v>1234.0</v>
      </c>
      <c r="X23" s="66">
        <v>18.0</v>
      </c>
      <c r="Y23" s="66">
        <v>17.0</v>
      </c>
      <c r="Z23" s="66">
        <v>0.0</v>
      </c>
      <c r="AA23" s="66">
        <v>0.0</v>
      </c>
      <c r="AB23" s="60">
        <f t="shared" si="2"/>
        <v>0.01458670989</v>
      </c>
      <c r="AC23" s="67">
        <v>3.0</v>
      </c>
    </row>
    <row r="24" ht="15.75" customHeight="1">
      <c r="A24" s="44" t="s">
        <v>84</v>
      </c>
      <c r="B24" s="78" t="s">
        <v>72</v>
      </c>
      <c r="C24" s="77">
        <v>605.0</v>
      </c>
      <c r="D24" s="35">
        <f t="shared" si="1"/>
        <v>24.2</v>
      </c>
      <c r="E24" s="35">
        <v>39.0</v>
      </c>
      <c r="F24" s="35">
        <v>41.0</v>
      </c>
      <c r="G24" s="13">
        <v>3.0</v>
      </c>
      <c r="H24" s="13">
        <v>9.0</v>
      </c>
      <c r="I24" s="54">
        <v>0.06446280991735537</v>
      </c>
      <c r="J24" s="16">
        <v>1.0</v>
      </c>
      <c r="K24" s="55">
        <f>VLOOKUP($B24,ANTP,2,0)</f>
        <v>542</v>
      </c>
      <c r="L24" s="13">
        <f>VLOOKUP($B24,ANTP,3,0)</f>
        <v>29</v>
      </c>
      <c r="M24" s="13">
        <f>VLOOKUP($B24,ANTP,4,0)</f>
        <v>27</v>
      </c>
      <c r="N24" s="13">
        <f>VLOOKUP($B24,ANTP,5,0)</f>
        <v>3</v>
      </c>
      <c r="O24" s="13">
        <f>VLOOKUP($B24,ANTP,6,0)</f>
        <v>8</v>
      </c>
      <c r="P24" s="54">
        <f>VLOOKUP($B24,ANTP,7,0)</f>
        <v>0.05350553506</v>
      </c>
      <c r="Q24" s="56">
        <f>VLOOKUP($B24,ANTP,8,0)</f>
        <v>2</v>
      </c>
      <c r="V24" s="68" t="s">
        <v>85</v>
      </c>
      <c r="W24" s="65">
        <v>288.0</v>
      </c>
      <c r="X24" s="66">
        <v>17.0</v>
      </c>
      <c r="Y24" s="66">
        <v>17.0</v>
      </c>
      <c r="Z24" s="66">
        <v>3.0</v>
      </c>
      <c r="AA24" s="66">
        <v>9.0</v>
      </c>
      <c r="AB24" s="60">
        <f t="shared" si="2"/>
        <v>0.05902777778</v>
      </c>
      <c r="AC24" s="67">
        <v>3.0</v>
      </c>
    </row>
    <row r="25" ht="15.75" customHeight="1">
      <c r="A25" s="44" t="s">
        <v>84</v>
      </c>
      <c r="B25" s="79" t="s">
        <v>93</v>
      </c>
      <c r="C25" s="77">
        <v>549.0</v>
      </c>
      <c r="D25" s="35">
        <f t="shared" si="1"/>
        <v>21.96</v>
      </c>
      <c r="E25" s="35">
        <v>41.0</v>
      </c>
      <c r="F25" s="35">
        <v>40.0</v>
      </c>
      <c r="G25" s="13">
        <v>1.0</v>
      </c>
      <c r="H25" s="13">
        <v>3.0</v>
      </c>
      <c r="I25" s="54">
        <v>0.07468123861566485</v>
      </c>
      <c r="J25" s="16">
        <v>2.0</v>
      </c>
      <c r="K25" s="55">
        <f>VLOOKUP($B25,ANTP,2,0)</f>
        <v>308</v>
      </c>
      <c r="L25" s="13">
        <f>VLOOKUP($B25,ANTP,3,0)</f>
        <v>12</v>
      </c>
      <c r="M25" s="13">
        <f>VLOOKUP($B25,ANTP,4,0)</f>
        <v>13</v>
      </c>
      <c r="N25" s="13">
        <f>VLOOKUP($B25,ANTP,5,0)</f>
        <v>1</v>
      </c>
      <c r="O25" s="13">
        <f>VLOOKUP($B25,ANTP,6,0)</f>
        <v>3</v>
      </c>
      <c r="P25" s="54">
        <f>VLOOKUP($B25,ANTP,7,0)</f>
        <v>0.03896103896</v>
      </c>
      <c r="Q25" s="56">
        <f>VLOOKUP($B25,ANTP,8,0)</f>
        <v>4</v>
      </c>
      <c r="V25" s="68" t="s">
        <v>70</v>
      </c>
      <c r="W25" s="65">
        <v>1224.0</v>
      </c>
      <c r="X25" s="66">
        <v>16.0</v>
      </c>
      <c r="Y25" s="66">
        <v>15.0</v>
      </c>
      <c r="Z25" s="66">
        <v>1.0</v>
      </c>
      <c r="AA25" s="66">
        <v>3.0</v>
      </c>
      <c r="AB25" s="60">
        <f t="shared" si="2"/>
        <v>0.01307189542</v>
      </c>
      <c r="AC25" s="67">
        <v>3.0</v>
      </c>
    </row>
    <row r="26" ht="15.75" customHeight="1">
      <c r="A26" s="44" t="s">
        <v>84</v>
      </c>
      <c r="B26" s="78" t="s">
        <v>76</v>
      </c>
      <c r="C26" s="77">
        <v>545.0</v>
      </c>
      <c r="D26" s="35">
        <f t="shared" si="1"/>
        <v>21.8</v>
      </c>
      <c r="E26" s="35">
        <v>42.0</v>
      </c>
      <c r="F26" s="35">
        <v>40.0</v>
      </c>
      <c r="G26" s="13">
        <v>2.0</v>
      </c>
      <c r="H26" s="13">
        <v>3.0</v>
      </c>
      <c r="I26" s="54">
        <v>0.07706422018348624</v>
      </c>
      <c r="J26" s="16">
        <v>2.0</v>
      </c>
      <c r="K26" s="55">
        <f>VLOOKUP($B26,ANTP,2,0)</f>
        <v>483</v>
      </c>
      <c r="L26" s="13">
        <f>VLOOKUP($B26,ANTP,3,0)</f>
        <v>27</v>
      </c>
      <c r="M26" s="13">
        <f>VLOOKUP($B26,ANTP,4,0)</f>
        <v>26</v>
      </c>
      <c r="N26" s="13">
        <f>VLOOKUP($B26,ANTP,5,0)</f>
        <v>0</v>
      </c>
      <c r="O26" s="13">
        <f>VLOOKUP($B26,ANTP,6,0)</f>
        <v>0</v>
      </c>
      <c r="P26" s="54">
        <f>VLOOKUP($B26,ANTP,7,0)</f>
        <v>0.05590062112</v>
      </c>
      <c r="Q26" s="56">
        <f>VLOOKUP($B26,ANTP,8,0)</f>
        <v>2</v>
      </c>
      <c r="V26" s="68" t="s">
        <v>77</v>
      </c>
      <c r="W26" s="65">
        <v>148.0</v>
      </c>
      <c r="X26" s="66">
        <v>13.0</v>
      </c>
      <c r="Y26" s="66">
        <v>11.0</v>
      </c>
      <c r="Z26" s="66">
        <v>12.0</v>
      </c>
      <c r="AA26" s="66">
        <v>25.0</v>
      </c>
      <c r="AB26" s="60">
        <f t="shared" si="2"/>
        <v>0.08783783784</v>
      </c>
      <c r="AC26" s="67">
        <v>3.0</v>
      </c>
    </row>
    <row r="27" ht="15.75" customHeight="1">
      <c r="A27" s="44" t="s">
        <v>84</v>
      </c>
      <c r="B27" s="78" t="s">
        <v>87</v>
      </c>
      <c r="C27" s="77">
        <v>561.0</v>
      </c>
      <c r="D27" s="35">
        <f t="shared" si="1"/>
        <v>22.44</v>
      </c>
      <c r="E27" s="35">
        <v>32.0</v>
      </c>
      <c r="F27" s="35">
        <v>31.0</v>
      </c>
      <c r="G27" s="13">
        <v>1.0</v>
      </c>
      <c r="H27" s="13">
        <v>3.0</v>
      </c>
      <c r="I27" s="54">
        <v>0.0570409982174688</v>
      </c>
      <c r="J27" s="16">
        <v>2.0</v>
      </c>
      <c r="K27" s="55">
        <f>VLOOKUP($B27,ANTP,2,0)</f>
        <v>779</v>
      </c>
      <c r="L27" s="13">
        <f>VLOOKUP($B27,ANTP,3,0)</f>
        <v>21</v>
      </c>
      <c r="M27" s="13">
        <f>VLOOKUP($B27,ANTP,4,0)</f>
        <v>12</v>
      </c>
      <c r="N27" s="13">
        <f>VLOOKUP($B27,ANTP,5,0)</f>
        <v>0</v>
      </c>
      <c r="O27" s="13">
        <f>VLOOKUP($B27,ANTP,6,0)</f>
        <v>0</v>
      </c>
      <c r="P27" s="54">
        <f>VLOOKUP($B27,ANTP,7,0)</f>
        <v>0.026957638</v>
      </c>
      <c r="Q27" s="56">
        <f>VLOOKUP($B27,ANTP,8,0)</f>
        <v>3</v>
      </c>
      <c r="V27" s="68" t="s">
        <v>91</v>
      </c>
      <c r="W27" s="65">
        <v>141.0</v>
      </c>
      <c r="X27" s="66">
        <v>13.0</v>
      </c>
      <c r="Y27" s="66">
        <v>12.0</v>
      </c>
      <c r="Z27" s="66">
        <v>9.0</v>
      </c>
      <c r="AA27" s="66">
        <v>25.0</v>
      </c>
      <c r="AB27" s="60">
        <f t="shared" si="2"/>
        <v>0.09219858156</v>
      </c>
      <c r="AC27" s="67">
        <v>3.0</v>
      </c>
    </row>
    <row r="28" ht="15.75" customHeight="1">
      <c r="A28" s="44" t="s">
        <v>84</v>
      </c>
      <c r="B28" s="78" t="s">
        <v>94</v>
      </c>
      <c r="C28" s="77">
        <v>513.0</v>
      </c>
      <c r="D28" s="35">
        <f t="shared" si="1"/>
        <v>20.52</v>
      </c>
      <c r="E28" s="35">
        <v>28.0</v>
      </c>
      <c r="F28" s="35">
        <v>28.0</v>
      </c>
      <c r="G28" s="13">
        <v>1.0</v>
      </c>
      <c r="H28" s="13">
        <v>1.0</v>
      </c>
      <c r="I28" s="54">
        <v>0.05458089668615984</v>
      </c>
      <c r="J28" s="16">
        <v>2.0</v>
      </c>
      <c r="K28" s="55">
        <f>VLOOKUP($B28,ANTP,2,0)</f>
        <v>718</v>
      </c>
      <c r="L28" s="13">
        <f>VLOOKUP($B28,ANTP,3,0)</f>
        <v>13</v>
      </c>
      <c r="M28" s="13">
        <f>VLOOKUP($B28,ANTP,4,0)</f>
        <v>11</v>
      </c>
      <c r="N28" s="13">
        <f>VLOOKUP($B28,ANTP,5,0)</f>
        <v>0</v>
      </c>
      <c r="O28" s="13">
        <f>VLOOKUP($B28,ANTP,6,0)</f>
        <v>0</v>
      </c>
      <c r="P28" s="54">
        <f>VLOOKUP($B28,ANTP,7,0)</f>
        <v>0.01810584958</v>
      </c>
      <c r="Q28" s="56">
        <f>VLOOKUP($B28,ANTP,8,0)</f>
        <v>3</v>
      </c>
      <c r="V28" s="68" t="s">
        <v>94</v>
      </c>
      <c r="W28" s="65">
        <v>718.0</v>
      </c>
      <c r="X28" s="66">
        <v>13.0</v>
      </c>
      <c r="Y28" s="66">
        <v>11.0</v>
      </c>
      <c r="Z28" s="66">
        <v>0.0</v>
      </c>
      <c r="AA28" s="66">
        <v>0.0</v>
      </c>
      <c r="AB28" s="60">
        <f t="shared" si="2"/>
        <v>0.01810584958</v>
      </c>
      <c r="AC28" s="67">
        <v>3.0</v>
      </c>
    </row>
    <row r="29" ht="15.75" customHeight="1">
      <c r="A29" s="44" t="s">
        <v>84</v>
      </c>
      <c r="B29" s="78" t="s">
        <v>86</v>
      </c>
      <c r="C29" s="77">
        <v>620.0</v>
      </c>
      <c r="D29" s="35">
        <f t="shared" si="1"/>
        <v>24.8</v>
      </c>
      <c r="E29" s="35">
        <v>28.0</v>
      </c>
      <c r="F29" s="35">
        <v>26.0</v>
      </c>
      <c r="G29" s="13">
        <v>0.0</v>
      </c>
      <c r="H29" s="13">
        <v>0.0</v>
      </c>
      <c r="I29" s="54">
        <v>0.04516129032258064</v>
      </c>
      <c r="J29" s="16">
        <v>3.0</v>
      </c>
      <c r="K29" s="55">
        <f>VLOOKUP($B29,ANTP,2,0)</f>
        <v>1259</v>
      </c>
      <c r="L29" s="13">
        <f>VLOOKUP($B29,ANTP,3,0)</f>
        <v>22</v>
      </c>
      <c r="M29" s="13">
        <f>VLOOKUP($B29,ANTP,4,0)</f>
        <v>22</v>
      </c>
      <c r="N29" s="13">
        <f>VLOOKUP($B29,ANTP,5,0)</f>
        <v>1</v>
      </c>
      <c r="O29" s="13">
        <f>VLOOKUP($B29,ANTP,6,0)</f>
        <v>3</v>
      </c>
      <c r="P29" s="54">
        <f>VLOOKUP($B29,ANTP,7,0)</f>
        <v>0.01747418586</v>
      </c>
      <c r="Q29" s="56">
        <f>VLOOKUP($B29,ANTP,8,0)</f>
        <v>3</v>
      </c>
      <c r="V29" s="68" t="s">
        <v>89</v>
      </c>
      <c r="W29" s="65">
        <v>8.0</v>
      </c>
      <c r="X29" s="66">
        <v>13.0</v>
      </c>
      <c r="Y29" s="66">
        <v>10.0</v>
      </c>
      <c r="Z29" s="66">
        <v>8.0</v>
      </c>
      <c r="AA29" s="66">
        <v>24.0</v>
      </c>
      <c r="AB29" s="60">
        <f t="shared" si="2"/>
        <v>1.625</v>
      </c>
      <c r="AC29" s="67">
        <v>3.0</v>
      </c>
    </row>
    <row r="30" ht="15.75" customHeight="1">
      <c r="A30" s="44" t="s">
        <v>84</v>
      </c>
      <c r="B30" s="78" t="s">
        <v>92</v>
      </c>
      <c r="C30" s="77">
        <v>899.0</v>
      </c>
      <c r="D30" s="35">
        <f t="shared" si="1"/>
        <v>35.96</v>
      </c>
      <c r="E30" s="35">
        <v>22.0</v>
      </c>
      <c r="F30" s="35">
        <v>21.0</v>
      </c>
      <c r="G30" s="13">
        <v>2.0</v>
      </c>
      <c r="H30" s="13">
        <v>4.0</v>
      </c>
      <c r="I30" s="54">
        <v>0.024471635150166853</v>
      </c>
      <c r="J30" s="16">
        <v>3.0</v>
      </c>
      <c r="K30" s="55">
        <f>VLOOKUP($B30,ANTP,2,0)</f>
        <v>1234</v>
      </c>
      <c r="L30" s="13">
        <f>VLOOKUP($B30,ANTP,3,0)</f>
        <v>18</v>
      </c>
      <c r="M30" s="13">
        <f>VLOOKUP($B30,ANTP,4,0)</f>
        <v>17</v>
      </c>
      <c r="N30" s="13">
        <f>VLOOKUP($B30,ANTP,5,0)</f>
        <v>0</v>
      </c>
      <c r="O30" s="13">
        <f>VLOOKUP($B30,ANTP,6,0)</f>
        <v>0</v>
      </c>
      <c r="P30" s="54">
        <f>VLOOKUP($B30,ANTP,7,0)</f>
        <v>0.01458670989</v>
      </c>
      <c r="Q30" s="56">
        <f>VLOOKUP($B30,ANTP,8,0)</f>
        <v>3</v>
      </c>
      <c r="V30" s="68" t="s">
        <v>93</v>
      </c>
      <c r="W30" s="65">
        <v>308.0</v>
      </c>
      <c r="X30" s="66">
        <v>12.0</v>
      </c>
      <c r="Y30" s="66">
        <v>13.0</v>
      </c>
      <c r="Z30" s="66">
        <v>1.0</v>
      </c>
      <c r="AA30" s="66">
        <v>3.0</v>
      </c>
      <c r="AB30" s="60">
        <f t="shared" si="2"/>
        <v>0.03896103896</v>
      </c>
      <c r="AC30" s="67">
        <v>4.0</v>
      </c>
    </row>
    <row r="31" ht="15.75" customHeight="1">
      <c r="A31" s="44" t="s">
        <v>84</v>
      </c>
      <c r="B31" s="78" t="s">
        <v>81</v>
      </c>
      <c r="C31" s="80">
        <v>257.0</v>
      </c>
      <c r="D31" s="35">
        <f t="shared" si="1"/>
        <v>10.28</v>
      </c>
      <c r="E31" s="81">
        <v>23.0</v>
      </c>
      <c r="F31" s="81">
        <v>21.0</v>
      </c>
      <c r="G31" s="82">
        <v>1.0</v>
      </c>
      <c r="H31" s="82">
        <v>3.0</v>
      </c>
      <c r="I31" s="83">
        <v>0.08949416342412451</v>
      </c>
      <c r="J31" s="84">
        <v>3.0</v>
      </c>
      <c r="K31" s="55">
        <f>VLOOKUP($B31,ANTP,2,0)</f>
        <v>254</v>
      </c>
      <c r="L31" s="13">
        <f>VLOOKUP($B31,ANTP,3,0)</f>
        <v>25</v>
      </c>
      <c r="M31" s="13">
        <f>VLOOKUP($B31,ANTP,4,0)</f>
        <v>22</v>
      </c>
      <c r="N31" s="13">
        <f>VLOOKUP($B31,ANTP,5,0)</f>
        <v>1</v>
      </c>
      <c r="O31" s="13">
        <f>VLOOKUP($B31,ANTP,6,0)</f>
        <v>2</v>
      </c>
      <c r="P31" s="54">
        <f>VLOOKUP($B31,ANTP,7,0)</f>
        <v>0.09842519685</v>
      </c>
      <c r="Q31" s="56">
        <f>VLOOKUP($B31,ANTP,8,0)</f>
        <v>3</v>
      </c>
      <c r="V31" s="68" t="s">
        <v>73</v>
      </c>
      <c r="W31" s="65">
        <v>956.0</v>
      </c>
      <c r="X31" s="66">
        <v>9.0</v>
      </c>
      <c r="Y31" s="66">
        <v>9.0</v>
      </c>
      <c r="Z31" s="66">
        <v>0.0</v>
      </c>
      <c r="AA31" s="66">
        <v>0.0</v>
      </c>
      <c r="AB31" s="60">
        <f t="shared" si="2"/>
        <v>0.009414225941</v>
      </c>
      <c r="AC31" s="67">
        <v>4.0</v>
      </c>
    </row>
    <row r="32" ht="15.75" customHeight="1">
      <c r="A32" s="44" t="s">
        <v>84</v>
      </c>
      <c r="B32" s="78" t="s">
        <v>78</v>
      </c>
      <c r="C32" s="85">
        <v>146.0</v>
      </c>
      <c r="D32" s="35">
        <f t="shared" si="1"/>
        <v>5.84</v>
      </c>
      <c r="E32" s="86">
        <v>16.0</v>
      </c>
      <c r="F32" s="86">
        <v>15.0</v>
      </c>
      <c r="G32" s="87">
        <v>0.0</v>
      </c>
      <c r="H32" s="87">
        <v>0.0</v>
      </c>
      <c r="I32" s="88">
        <v>0.1095890410958904</v>
      </c>
      <c r="J32" s="87">
        <v>4.0</v>
      </c>
      <c r="K32" s="55">
        <f>VLOOKUP($B32,ANTP,2,0)</f>
        <v>180</v>
      </c>
      <c r="L32" s="13">
        <f>VLOOKUP($B32,ANTP,3,0)</f>
        <v>27</v>
      </c>
      <c r="M32" s="13">
        <f>VLOOKUP($B32,ANTP,4,0)</f>
        <v>23</v>
      </c>
      <c r="N32" s="13">
        <f>VLOOKUP($B32,ANTP,5,0)</f>
        <v>0</v>
      </c>
      <c r="O32" s="13">
        <f>VLOOKUP($B32,ANTP,6,0)</f>
        <v>0</v>
      </c>
      <c r="P32" s="54">
        <f>VLOOKUP($B32,ANTP,7,0)</f>
        <v>0.15</v>
      </c>
      <c r="Q32" s="56">
        <f>VLOOKUP($B32,ANTP,8,0)</f>
        <v>2</v>
      </c>
      <c r="V32" s="64" t="s">
        <v>67</v>
      </c>
      <c r="W32" s="65">
        <v>255.0</v>
      </c>
      <c r="X32" s="66">
        <v>8.0</v>
      </c>
      <c r="Y32" s="66">
        <v>7.0</v>
      </c>
      <c r="Z32" s="66">
        <v>1.0</v>
      </c>
      <c r="AA32" s="66">
        <v>3.0</v>
      </c>
      <c r="AB32" s="60">
        <f t="shared" si="2"/>
        <v>0.03137254902</v>
      </c>
      <c r="AC32" s="67">
        <v>4.0</v>
      </c>
    </row>
    <row r="33" ht="15.75" customHeight="1">
      <c r="A33" s="44" t="s">
        <v>84</v>
      </c>
      <c r="B33" s="78" t="s">
        <v>95</v>
      </c>
      <c r="C33" s="85">
        <v>129.0</v>
      </c>
      <c r="D33" s="35">
        <f t="shared" si="1"/>
        <v>5.16</v>
      </c>
      <c r="E33" s="86">
        <v>12.0</v>
      </c>
      <c r="F33" s="86">
        <v>10.0</v>
      </c>
      <c r="G33" s="87">
        <v>0.0</v>
      </c>
      <c r="H33" s="87">
        <v>0.0</v>
      </c>
      <c r="I33" s="88">
        <v>0.09302325581395349</v>
      </c>
      <c r="J33" s="87">
        <v>4.0</v>
      </c>
      <c r="K33" s="55" t="str">
        <f>VLOOKUP($B33,ANTP,2,0)</f>
        <v>#N/A</v>
      </c>
      <c r="L33" s="13" t="str">
        <f>VLOOKUP($B33,ANTP,3,0)</f>
        <v>#N/A</v>
      </c>
      <c r="M33" s="13" t="str">
        <f>VLOOKUP($B33,ANTP,4,0)</f>
        <v>#N/A</v>
      </c>
      <c r="N33" s="13" t="str">
        <f>VLOOKUP($B33,ANTP,5,0)</f>
        <v>#N/A</v>
      </c>
      <c r="O33" s="13" t="str">
        <f>VLOOKUP($B33,ANTP,6,0)</f>
        <v>#N/A</v>
      </c>
      <c r="P33" s="54" t="str">
        <f>VLOOKUP($B33,ANTP,7,0)</f>
        <v>#N/A</v>
      </c>
      <c r="Q33" s="56" t="str">
        <f>VLOOKUP($B33,ANTP,8,0)</f>
        <v>#N/A</v>
      </c>
      <c r="V33" s="68" t="s">
        <v>96</v>
      </c>
      <c r="W33" s="65">
        <v>467.0</v>
      </c>
      <c r="X33" s="66">
        <v>8.0</v>
      </c>
      <c r="Y33" s="66">
        <v>8.0</v>
      </c>
      <c r="Z33" s="66">
        <v>0.0</v>
      </c>
      <c r="AA33" s="66">
        <v>0.0</v>
      </c>
      <c r="AB33" s="60">
        <f t="shared" si="2"/>
        <v>0.01713062099</v>
      </c>
      <c r="AC33" s="67">
        <v>4.0</v>
      </c>
    </row>
    <row r="34" ht="15.75" customHeight="1">
      <c r="A34" s="44" t="s">
        <v>84</v>
      </c>
      <c r="B34" s="78" t="s">
        <v>90</v>
      </c>
      <c r="C34" s="85">
        <v>524.0</v>
      </c>
      <c r="D34" s="35">
        <f t="shared" si="1"/>
        <v>20.96</v>
      </c>
      <c r="E34" s="86">
        <v>10.0</v>
      </c>
      <c r="F34" s="86">
        <v>9.0</v>
      </c>
      <c r="G34" s="87">
        <v>0.0</v>
      </c>
      <c r="H34" s="87">
        <v>0.0</v>
      </c>
      <c r="I34" s="88">
        <v>0.019083969465648856</v>
      </c>
      <c r="J34" s="87">
        <v>4.0</v>
      </c>
      <c r="K34" s="55">
        <f>VLOOKUP($B34,ANTP,2,0)</f>
        <v>1284</v>
      </c>
      <c r="L34" s="13">
        <f>VLOOKUP($B34,ANTP,3,0)</f>
        <v>19</v>
      </c>
      <c r="M34" s="13">
        <f>VLOOKUP($B34,ANTP,4,0)</f>
        <v>18</v>
      </c>
      <c r="N34" s="13">
        <f>VLOOKUP($B34,ANTP,5,0)</f>
        <v>0</v>
      </c>
      <c r="O34" s="13">
        <f>VLOOKUP($B34,ANTP,6,0)</f>
        <v>0</v>
      </c>
      <c r="P34" s="54">
        <f>VLOOKUP($B34,ANTP,7,0)</f>
        <v>0.01479750779</v>
      </c>
      <c r="Q34" s="56">
        <f>VLOOKUP($B34,ANTP,8,0)</f>
        <v>3</v>
      </c>
      <c r="V34" s="68" t="s">
        <v>97</v>
      </c>
      <c r="W34" s="65">
        <v>170.0</v>
      </c>
      <c r="X34" s="66">
        <v>7.0</v>
      </c>
      <c r="Y34" s="66">
        <v>7.0</v>
      </c>
      <c r="Z34" s="66">
        <v>0.0</v>
      </c>
      <c r="AA34" s="66">
        <v>0.0</v>
      </c>
      <c r="AB34" s="60">
        <f t="shared" si="2"/>
        <v>0.04117647059</v>
      </c>
      <c r="AC34" s="67">
        <v>4.0</v>
      </c>
    </row>
    <row r="35" ht="15.75" customHeight="1">
      <c r="A35" s="44" t="s">
        <v>84</v>
      </c>
      <c r="B35" s="78" t="s">
        <v>98</v>
      </c>
      <c r="C35" s="85">
        <v>279.0</v>
      </c>
      <c r="D35" s="35">
        <f t="shared" si="1"/>
        <v>11.16</v>
      </c>
      <c r="E35" s="86">
        <v>6.0</v>
      </c>
      <c r="F35" s="86">
        <v>6.0</v>
      </c>
      <c r="G35" s="87">
        <v>0.0</v>
      </c>
      <c r="H35" s="87">
        <v>0.0</v>
      </c>
      <c r="I35" s="88">
        <v>0.021505376344086023</v>
      </c>
      <c r="J35" s="87">
        <v>4.0</v>
      </c>
      <c r="K35" s="55" t="str">
        <f>VLOOKUP($B35,ANTP,2,0)</f>
        <v>#N/A</v>
      </c>
      <c r="L35" s="13" t="str">
        <f>VLOOKUP($B35,ANTP,3,0)</f>
        <v>#N/A</v>
      </c>
      <c r="M35" s="13" t="str">
        <f>VLOOKUP($B35,ANTP,4,0)</f>
        <v>#N/A</v>
      </c>
      <c r="N35" s="13" t="str">
        <f>VLOOKUP($B35,ANTP,5,0)</f>
        <v>#N/A</v>
      </c>
      <c r="O35" s="13" t="str">
        <f>VLOOKUP($B35,ANTP,6,0)</f>
        <v>#N/A</v>
      </c>
      <c r="P35" s="54" t="str">
        <f>VLOOKUP($B35,ANTP,7,0)</f>
        <v>#N/A</v>
      </c>
      <c r="Q35" s="56" t="str">
        <f>VLOOKUP($B35,ANTP,8,0)</f>
        <v>#N/A</v>
      </c>
      <c r="V35" s="68" t="s">
        <v>99</v>
      </c>
      <c r="W35" s="65">
        <v>128.0</v>
      </c>
      <c r="X35" s="66">
        <v>7.0</v>
      </c>
      <c r="Y35" s="66">
        <v>7.0</v>
      </c>
      <c r="Z35" s="66">
        <v>0.0</v>
      </c>
      <c r="AA35" s="66">
        <v>0.0</v>
      </c>
      <c r="AB35" s="60">
        <f t="shared" si="2"/>
        <v>0.0546875</v>
      </c>
      <c r="AC35" s="67">
        <v>4.0</v>
      </c>
    </row>
    <row r="36" ht="15.75" customHeight="1">
      <c r="A36" s="44" t="s">
        <v>84</v>
      </c>
      <c r="B36" s="78" t="s">
        <v>100</v>
      </c>
      <c r="C36" s="85">
        <v>513.0</v>
      </c>
      <c r="D36" s="35">
        <f t="shared" si="1"/>
        <v>20.52</v>
      </c>
      <c r="E36" s="86">
        <v>5.0</v>
      </c>
      <c r="F36" s="86">
        <v>4.0</v>
      </c>
      <c r="G36" s="87">
        <v>0.0</v>
      </c>
      <c r="H36" s="87">
        <v>0.0</v>
      </c>
      <c r="I36" s="88">
        <v>0.009746588693957114</v>
      </c>
      <c r="J36" s="87">
        <v>4.0</v>
      </c>
      <c r="K36" s="55" t="str">
        <f>VLOOKUP($B36,ANTP,2,0)</f>
        <v>#N/A</v>
      </c>
      <c r="L36" s="13" t="str">
        <f>VLOOKUP($B36,ANTP,3,0)</f>
        <v>#N/A</v>
      </c>
      <c r="M36" s="13" t="str">
        <f>VLOOKUP($B36,ANTP,4,0)</f>
        <v>#N/A</v>
      </c>
      <c r="N36" s="13" t="str">
        <f>VLOOKUP($B36,ANTP,5,0)</f>
        <v>#N/A</v>
      </c>
      <c r="O36" s="13" t="str">
        <f>VLOOKUP($B36,ANTP,6,0)</f>
        <v>#N/A</v>
      </c>
      <c r="P36" s="54" t="str">
        <f>VLOOKUP($B36,ANTP,7,0)</f>
        <v>#N/A</v>
      </c>
      <c r="Q36" s="56" t="str">
        <f>VLOOKUP($B36,ANTP,8,0)</f>
        <v>#N/A</v>
      </c>
      <c r="V36" s="68" t="s">
        <v>101</v>
      </c>
      <c r="W36" s="65">
        <v>105.0</v>
      </c>
      <c r="X36" s="66">
        <v>5.0</v>
      </c>
      <c r="Y36" s="66">
        <v>5.0</v>
      </c>
      <c r="Z36" s="66">
        <v>0.0</v>
      </c>
      <c r="AA36" s="66">
        <v>0.0</v>
      </c>
      <c r="AB36" s="60">
        <f t="shared" si="2"/>
        <v>0.04761904762</v>
      </c>
      <c r="AC36" s="67">
        <v>4.0</v>
      </c>
    </row>
    <row r="37" ht="15.75" customHeight="1">
      <c r="B37" s="89" t="s">
        <v>102</v>
      </c>
      <c r="C37" s="85">
        <v>561.0</v>
      </c>
      <c r="D37" s="35">
        <f t="shared" si="1"/>
        <v>22.44</v>
      </c>
      <c r="E37" s="86">
        <v>5.0</v>
      </c>
      <c r="F37" s="86">
        <v>3.0</v>
      </c>
      <c r="G37" s="87">
        <v>0.0</v>
      </c>
      <c r="H37" s="87">
        <v>0.0</v>
      </c>
      <c r="I37" s="88">
        <v>0.008912655971479501</v>
      </c>
      <c r="J37" s="87">
        <v>4.0</v>
      </c>
      <c r="K37" s="55" t="str">
        <f>VLOOKUP($B37,ANTP,2,0)</f>
        <v>#N/A</v>
      </c>
      <c r="L37" s="13" t="str">
        <f>VLOOKUP($B37,ANTP,3,0)</f>
        <v>#N/A</v>
      </c>
      <c r="M37" s="13" t="str">
        <f>VLOOKUP($B37,ANTP,4,0)</f>
        <v>#N/A</v>
      </c>
      <c r="N37" s="13" t="str">
        <f>VLOOKUP($B37,ANTP,5,0)</f>
        <v>#N/A</v>
      </c>
      <c r="O37" s="13" t="str">
        <f>VLOOKUP($B37,ANTP,6,0)</f>
        <v>#N/A</v>
      </c>
      <c r="P37" s="54" t="str">
        <f>VLOOKUP($B37,ANTP,7,0)</f>
        <v>#N/A</v>
      </c>
      <c r="Q37" s="56" t="str">
        <f>VLOOKUP($B37,ANTP,8,0)</f>
        <v>#N/A</v>
      </c>
      <c r="V37" s="68" t="s">
        <v>103</v>
      </c>
      <c r="W37" s="65">
        <v>0.0</v>
      </c>
      <c r="X37" s="66">
        <v>2.0</v>
      </c>
      <c r="Y37" s="66">
        <v>2.0</v>
      </c>
      <c r="Z37" s="66">
        <v>0.0</v>
      </c>
      <c r="AA37" s="66">
        <v>0.0</v>
      </c>
      <c r="AB37" s="60" t="str">
        <f t="shared" si="2"/>
        <v>#DIV/0!</v>
      </c>
      <c r="AC37" s="67">
        <v>4.0</v>
      </c>
    </row>
    <row r="38" ht="15.75" customHeight="1">
      <c r="B38" s="90"/>
      <c r="C38" s="85"/>
      <c r="D38" s="86"/>
      <c r="E38" s="86"/>
      <c r="F38" s="86"/>
      <c r="G38" s="87"/>
      <c r="H38" s="87"/>
      <c r="I38" s="88"/>
      <c r="J38" s="87"/>
      <c r="K38" s="87"/>
      <c r="L38" s="87"/>
      <c r="M38" s="87"/>
      <c r="N38" s="87"/>
      <c r="O38" s="87"/>
      <c r="P38" s="88"/>
      <c r="Q38" s="87"/>
      <c r="V38" s="68" t="s">
        <v>104</v>
      </c>
      <c r="W38" s="65">
        <v>0.0</v>
      </c>
      <c r="X38" s="66">
        <v>0.0</v>
      </c>
      <c r="Y38" s="66">
        <v>0.0</v>
      </c>
      <c r="Z38" s="66">
        <v>0.0</v>
      </c>
      <c r="AA38" s="66">
        <v>0.0</v>
      </c>
      <c r="AB38" s="60" t="str">
        <f t="shared" si="2"/>
        <v>#DIV/0!</v>
      </c>
      <c r="AC38" s="67">
        <v>4.0</v>
      </c>
    </row>
    <row r="39" ht="15.75" customHeight="1">
      <c r="B39" s="90"/>
      <c r="C39" s="85"/>
      <c r="D39" s="86"/>
      <c r="E39" s="86"/>
      <c r="F39" s="86"/>
      <c r="G39" s="87"/>
      <c r="H39" s="87"/>
      <c r="I39" s="88"/>
      <c r="J39" s="87"/>
      <c r="K39" s="87"/>
      <c r="L39" s="87"/>
      <c r="M39" s="87"/>
      <c r="N39" s="87"/>
      <c r="O39" s="87"/>
      <c r="P39" s="88"/>
      <c r="Q39" s="87"/>
      <c r="V39" s="68" t="s">
        <v>105</v>
      </c>
      <c r="W39" s="65">
        <v>66.0</v>
      </c>
      <c r="X39" s="66">
        <v>0.0</v>
      </c>
      <c r="Y39" s="66">
        <v>0.0</v>
      </c>
      <c r="Z39" s="66">
        <v>0.0</v>
      </c>
      <c r="AA39" s="66">
        <v>0.0</v>
      </c>
      <c r="AB39" s="60">
        <f t="shared" si="2"/>
        <v>0</v>
      </c>
      <c r="AC39" s="67">
        <v>4.0</v>
      </c>
    </row>
    <row r="40" ht="15.75" customHeight="1">
      <c r="B40" s="90"/>
      <c r="C40" s="85"/>
      <c r="D40" s="86"/>
      <c r="E40" s="86"/>
      <c r="F40" s="86"/>
      <c r="G40" s="87"/>
      <c r="H40" s="87"/>
      <c r="I40" s="88"/>
      <c r="J40" s="87"/>
      <c r="K40" s="87"/>
      <c r="L40" s="87"/>
      <c r="M40" s="87"/>
      <c r="N40" s="87"/>
      <c r="O40" s="87"/>
      <c r="P40" s="88"/>
      <c r="Q40" s="87"/>
      <c r="V40" s="68" t="s">
        <v>106</v>
      </c>
      <c r="W40" s="65">
        <v>44.0</v>
      </c>
      <c r="X40" s="66">
        <v>0.0</v>
      </c>
      <c r="Y40" s="66">
        <v>0.0</v>
      </c>
      <c r="Z40" s="66">
        <v>0.0</v>
      </c>
      <c r="AA40" s="66">
        <v>0.0</v>
      </c>
      <c r="AB40" s="60">
        <f t="shared" si="2"/>
        <v>0</v>
      </c>
      <c r="AC40" s="67">
        <v>4.0</v>
      </c>
    </row>
    <row r="41" ht="15.75" customHeight="1">
      <c r="V41" s="68"/>
      <c r="W41" s="65">
        <f t="shared" ref="W41:AB41" si="3">SUM(W3:W40)</f>
        <v>24008</v>
      </c>
      <c r="X41" s="66">
        <f t="shared" si="3"/>
        <v>754</v>
      </c>
      <c r="Y41" s="66">
        <f t="shared" si="3"/>
        <v>699</v>
      </c>
      <c r="Z41" s="66">
        <f t="shared" si="3"/>
        <v>60</v>
      </c>
      <c r="AA41" s="66">
        <f t="shared" si="3"/>
        <v>152</v>
      </c>
      <c r="AB41" s="60" t="str">
        <f t="shared" si="3"/>
        <v>#DIV/0!</v>
      </c>
      <c r="AC41" s="67">
        <v>4.0</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2:$Q$38">
    <sortState ref="B2:Q38">
      <sortCondition descending="1" ref="C2:C38"/>
    </sortState>
  </autoFilter>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29"/>
    <col customWidth="1" min="2" max="2" width="8.71"/>
    <col customWidth="1" min="3" max="3" width="14.57"/>
    <col customWidth="1" min="4" max="4" width="9.43"/>
    <col customWidth="1" min="5" max="5" width="26.43"/>
    <col customWidth="1" min="6" max="6" width="41.86"/>
    <col customWidth="1" min="7" max="7" width="17.14"/>
    <col customWidth="1" min="8" max="8" width="31.14"/>
    <col customWidth="1" min="9" max="9" width="37.14"/>
    <col customWidth="1" min="10" max="10" width="19.86"/>
    <col customWidth="1" min="11" max="11" width="20.43"/>
    <col customWidth="1" min="12" max="12" width="18.86"/>
    <col customWidth="1" min="13" max="13" width="23.43"/>
    <col customWidth="1" min="14" max="14" width="20.86"/>
    <col customWidth="1" min="15" max="15" width="17.14"/>
    <col customWidth="1" min="16" max="16" width="31.14"/>
    <col customWidth="1" min="17" max="17" width="36.14"/>
    <col customWidth="1" min="18" max="18" width="19.86"/>
    <col customWidth="1" min="19" max="19" width="36.29"/>
    <col customWidth="1" min="20" max="20" width="30.29"/>
    <col customWidth="1" min="21" max="22" width="23.43"/>
    <col customWidth="1" min="23" max="23" width="17.14"/>
    <col customWidth="1" min="24" max="24" width="15.57"/>
    <col customWidth="1" min="25" max="25" width="19.0"/>
    <col customWidth="1" min="26" max="26" width="17.86"/>
    <col customWidth="1" min="27" max="27" width="15.43"/>
    <col customWidth="1" min="28" max="28" width="17.86"/>
  </cols>
  <sheetData>
    <row r="2">
      <c r="F2" s="91" t="s">
        <v>107</v>
      </c>
    </row>
    <row r="3">
      <c r="B3" s="92">
        <v>10.0</v>
      </c>
      <c r="C3" s="93">
        <f>TODAY()</f>
        <v>46218</v>
      </c>
    </row>
    <row r="4">
      <c r="C4" s="44" t="s">
        <v>108</v>
      </c>
      <c r="F4" s="1" t="s">
        <v>109</v>
      </c>
      <c r="G4" s="94" t="s">
        <v>110</v>
      </c>
      <c r="H4" s="95" t="s">
        <v>111</v>
      </c>
      <c r="I4" s="96">
        <v>532.0</v>
      </c>
      <c r="K4" s="44" t="s">
        <v>112</v>
      </c>
      <c r="L4" s="97">
        <v>1056.0</v>
      </c>
      <c r="N4" s="44" t="s">
        <v>113</v>
      </c>
      <c r="O4" s="98"/>
      <c r="Q4" s="44" t="s">
        <v>114</v>
      </c>
      <c r="R4" s="99">
        <f>I4/U4</f>
        <v>0.3057471264</v>
      </c>
      <c r="T4" s="44" t="s">
        <v>115</v>
      </c>
      <c r="U4" s="100">
        <v>1740.0</v>
      </c>
    </row>
    <row r="5">
      <c r="H5" s="101"/>
      <c r="I5" s="102"/>
      <c r="K5" s="103" t="s">
        <v>116</v>
      </c>
      <c r="L5" s="104">
        <f>(I4/L4)-1</f>
        <v>-0.4962121212</v>
      </c>
      <c r="U5" s="44"/>
    </row>
    <row r="6">
      <c r="F6" s="92" t="s">
        <v>117</v>
      </c>
    </row>
    <row r="7">
      <c r="F7" s="105" t="s">
        <v>118</v>
      </c>
      <c r="G7" s="105" t="s">
        <v>119</v>
      </c>
      <c r="H7" s="105" t="s">
        <v>120</v>
      </c>
      <c r="I7" s="105" t="s">
        <v>121</v>
      </c>
      <c r="J7" s="105" t="s">
        <v>122</v>
      </c>
      <c r="K7" s="105" t="s">
        <v>123</v>
      </c>
      <c r="L7" s="105" t="s">
        <v>124</v>
      </c>
      <c r="M7" s="105" t="s">
        <v>125</v>
      </c>
      <c r="N7" s="105" t="s">
        <v>126</v>
      </c>
      <c r="O7" s="105" t="s">
        <v>127</v>
      </c>
      <c r="P7" s="105" t="s">
        <v>128</v>
      </c>
      <c r="Q7" s="105" t="s">
        <v>129</v>
      </c>
      <c r="R7" s="105" t="s">
        <v>130</v>
      </c>
      <c r="S7" s="105" t="s">
        <v>131</v>
      </c>
      <c r="T7" s="105" t="s">
        <v>132</v>
      </c>
      <c r="U7" s="105" t="s">
        <v>133</v>
      </c>
      <c r="V7" s="105" t="s">
        <v>134</v>
      </c>
      <c r="W7" s="105" t="s">
        <v>135</v>
      </c>
      <c r="X7" s="105" t="s">
        <v>136</v>
      </c>
      <c r="Y7" s="105" t="s">
        <v>137</v>
      </c>
      <c r="Z7" s="105" t="s">
        <v>138</v>
      </c>
      <c r="AA7" s="105" t="s">
        <v>139</v>
      </c>
      <c r="AB7" s="105" t="s">
        <v>140</v>
      </c>
    </row>
    <row r="8">
      <c r="F8" s="106">
        <v>2025.0</v>
      </c>
      <c r="G8" s="107">
        <v>46047.0</v>
      </c>
      <c r="H8" s="108">
        <v>28260.0</v>
      </c>
      <c r="I8" s="108">
        <v>28260.0</v>
      </c>
      <c r="J8" s="106" t="s">
        <v>141</v>
      </c>
      <c r="K8" s="108">
        <v>91677.0</v>
      </c>
      <c r="L8" s="106">
        <v>3.24</v>
      </c>
      <c r="M8" s="108">
        <v>26439.0</v>
      </c>
      <c r="N8" s="106" t="s">
        <v>142</v>
      </c>
      <c r="O8" s="108">
        <v>26187.0</v>
      </c>
      <c r="P8" s="106" t="s">
        <v>143</v>
      </c>
      <c r="Q8" s="106">
        <v>843.0</v>
      </c>
      <c r="R8" s="106" t="s">
        <v>144</v>
      </c>
      <c r="S8" s="106"/>
      <c r="T8" s="106" t="s">
        <v>145</v>
      </c>
      <c r="U8" s="106">
        <v>57.0</v>
      </c>
      <c r="V8" s="106" t="s">
        <v>146</v>
      </c>
      <c r="W8" s="106">
        <v>51.0</v>
      </c>
      <c r="X8" s="106" t="s">
        <v>146</v>
      </c>
      <c r="Y8" s="106">
        <v>35.0</v>
      </c>
      <c r="Z8" s="106" t="s">
        <v>147</v>
      </c>
      <c r="AA8" s="106">
        <v>86.0</v>
      </c>
      <c r="AB8" s="106" t="s">
        <v>148</v>
      </c>
    </row>
    <row r="9">
      <c r="F9" s="106">
        <v>2025.0</v>
      </c>
      <c r="G9" s="109">
        <v>45689.0</v>
      </c>
      <c r="H9" s="108">
        <v>40200.0</v>
      </c>
      <c r="I9" s="108">
        <v>40200.0</v>
      </c>
      <c r="J9" s="106" t="s">
        <v>141</v>
      </c>
      <c r="K9" s="108">
        <v>120669.0</v>
      </c>
      <c r="L9" s="106">
        <v>3.0</v>
      </c>
      <c r="M9" s="108">
        <v>20966.0</v>
      </c>
      <c r="N9" s="106" t="s">
        <v>149</v>
      </c>
      <c r="O9" s="108">
        <v>17952.0</v>
      </c>
      <c r="P9" s="106" t="s">
        <v>150</v>
      </c>
      <c r="Q9" s="106">
        <v>971.0</v>
      </c>
      <c r="R9" s="106" t="s">
        <v>151</v>
      </c>
      <c r="S9" s="106"/>
      <c r="T9" s="106" t="s">
        <v>145</v>
      </c>
      <c r="U9" s="106">
        <v>90.0</v>
      </c>
      <c r="V9" s="106" t="s">
        <v>152</v>
      </c>
      <c r="W9" s="106">
        <v>72.0</v>
      </c>
      <c r="X9" s="106" t="s">
        <v>148</v>
      </c>
      <c r="Y9" s="106">
        <v>37.0</v>
      </c>
      <c r="Z9" s="106" t="s">
        <v>146</v>
      </c>
      <c r="AA9" s="106">
        <v>109.0</v>
      </c>
      <c r="AB9" s="106" t="s">
        <v>153</v>
      </c>
    </row>
    <row r="10">
      <c r="F10" s="106">
        <v>2025.0</v>
      </c>
      <c r="G10" s="109">
        <v>45717.0</v>
      </c>
      <c r="H10" s="108">
        <v>34452.0</v>
      </c>
      <c r="I10" s="108">
        <v>34452.0</v>
      </c>
      <c r="J10" s="106" t="s">
        <v>141</v>
      </c>
      <c r="K10" s="108">
        <v>130356.0</v>
      </c>
      <c r="L10" s="106">
        <v>3.78</v>
      </c>
      <c r="M10" s="108">
        <v>18182.0</v>
      </c>
      <c r="N10" s="106" t="s">
        <v>154</v>
      </c>
      <c r="O10" s="108">
        <v>8505.0</v>
      </c>
      <c r="P10" s="106" t="s">
        <v>155</v>
      </c>
      <c r="Q10" s="106">
        <v>927.0</v>
      </c>
      <c r="R10" s="106" t="s">
        <v>156</v>
      </c>
      <c r="S10" s="106"/>
      <c r="T10" s="106" t="s">
        <v>145</v>
      </c>
      <c r="U10" s="106">
        <v>60.0</v>
      </c>
      <c r="V10" s="106" t="s">
        <v>148</v>
      </c>
      <c r="W10" s="106">
        <v>30.0</v>
      </c>
      <c r="X10" s="106" t="s">
        <v>146</v>
      </c>
      <c r="Y10" s="106">
        <v>34.0</v>
      </c>
      <c r="Z10" s="106" t="s">
        <v>146</v>
      </c>
      <c r="AA10" s="106">
        <v>64.0</v>
      </c>
      <c r="AB10" s="106" t="s">
        <v>152</v>
      </c>
    </row>
    <row r="11">
      <c r="F11" s="106">
        <v>2025.0</v>
      </c>
      <c r="G11" s="109">
        <v>45748.0</v>
      </c>
      <c r="H11" s="108">
        <v>44817.0</v>
      </c>
      <c r="I11" s="108">
        <v>35738.0</v>
      </c>
      <c r="J11" s="106" t="s">
        <v>157</v>
      </c>
      <c r="K11" s="108">
        <v>87097.0</v>
      </c>
      <c r="L11" s="106">
        <v>1.94</v>
      </c>
      <c r="M11" s="108">
        <v>16786.0</v>
      </c>
      <c r="N11" s="106" t="s">
        <v>155</v>
      </c>
      <c r="O11" s="108">
        <v>7172.0</v>
      </c>
      <c r="P11" s="106" t="s">
        <v>158</v>
      </c>
      <c r="Q11" s="106">
        <v>944.0</v>
      </c>
      <c r="R11" s="106" t="s">
        <v>159</v>
      </c>
      <c r="S11" s="106"/>
      <c r="T11" s="106" t="s">
        <v>145</v>
      </c>
      <c r="U11" s="106">
        <v>156.0</v>
      </c>
      <c r="V11" s="106" t="s">
        <v>160</v>
      </c>
      <c r="W11" s="106">
        <v>93.0</v>
      </c>
      <c r="X11" s="106" t="s">
        <v>161</v>
      </c>
      <c r="Y11" s="106">
        <v>92.0</v>
      </c>
      <c r="Z11" s="106" t="s">
        <v>153</v>
      </c>
      <c r="AA11" s="106">
        <v>185.0</v>
      </c>
      <c r="AB11" s="106" t="s">
        <v>162</v>
      </c>
    </row>
    <row r="12">
      <c r="F12" s="106">
        <v>2025.0</v>
      </c>
      <c r="G12" s="109">
        <v>45778.0</v>
      </c>
      <c r="H12" s="108">
        <v>46975.0</v>
      </c>
      <c r="I12" s="108">
        <v>35421.0</v>
      </c>
      <c r="J12" s="106" t="s">
        <v>163</v>
      </c>
      <c r="K12" s="108">
        <v>116270.0</v>
      </c>
      <c r="L12" s="106">
        <v>2.48</v>
      </c>
      <c r="M12" s="108">
        <v>20483.0</v>
      </c>
      <c r="N12" s="106" t="s">
        <v>164</v>
      </c>
      <c r="O12" s="108">
        <v>9300.0</v>
      </c>
      <c r="P12" s="106" t="s">
        <v>165</v>
      </c>
      <c r="Q12" s="106">
        <v>1561.0</v>
      </c>
      <c r="R12" s="106" t="s">
        <v>166</v>
      </c>
      <c r="S12" s="106"/>
      <c r="T12" s="106" t="s">
        <v>145</v>
      </c>
      <c r="U12" s="106">
        <v>197.0</v>
      </c>
      <c r="V12" s="106" t="s">
        <v>167</v>
      </c>
      <c r="W12" s="106">
        <v>141.0</v>
      </c>
      <c r="X12" s="106" t="s">
        <v>168</v>
      </c>
      <c r="Y12" s="106">
        <v>96.0</v>
      </c>
      <c r="Z12" s="106" t="s">
        <v>153</v>
      </c>
      <c r="AA12" s="106">
        <v>237.0</v>
      </c>
      <c r="AB12" s="106" t="s">
        <v>169</v>
      </c>
    </row>
    <row r="13">
      <c r="F13" s="106">
        <v>2025.0</v>
      </c>
      <c r="G13" s="109">
        <v>45809.0</v>
      </c>
      <c r="H13" s="108">
        <v>47904.0</v>
      </c>
      <c r="I13" s="108">
        <v>47904.0</v>
      </c>
      <c r="J13" s="106" t="s">
        <v>141</v>
      </c>
      <c r="K13" s="108">
        <v>101607.0</v>
      </c>
      <c r="L13" s="106">
        <v>2.12</v>
      </c>
      <c r="M13" s="108">
        <v>18279.0</v>
      </c>
      <c r="N13" s="106" t="s">
        <v>170</v>
      </c>
      <c r="O13" s="108">
        <v>8094.0</v>
      </c>
      <c r="P13" s="106" t="s">
        <v>171</v>
      </c>
      <c r="Q13" s="106">
        <v>1511.0</v>
      </c>
      <c r="R13" s="106" t="s">
        <v>172</v>
      </c>
      <c r="S13" s="106"/>
      <c r="T13" s="106" t="s">
        <v>145</v>
      </c>
      <c r="U13" s="106">
        <v>141.0</v>
      </c>
      <c r="V13" s="106" t="s">
        <v>173</v>
      </c>
      <c r="W13" s="106">
        <v>129.0</v>
      </c>
      <c r="X13" s="106" t="s">
        <v>168</v>
      </c>
      <c r="Y13" s="106">
        <v>129.0</v>
      </c>
      <c r="Z13" s="106" t="s">
        <v>168</v>
      </c>
      <c r="AA13" s="106">
        <v>258.0</v>
      </c>
      <c r="AB13" s="106" t="s">
        <v>174</v>
      </c>
    </row>
    <row r="14">
      <c r="F14" s="106">
        <v>2025.0</v>
      </c>
      <c r="G14" s="109">
        <v>45839.0</v>
      </c>
      <c r="H14" s="108">
        <v>48708.0</v>
      </c>
      <c r="I14" s="108">
        <v>48706.0</v>
      </c>
      <c r="J14" s="106" t="s">
        <v>141</v>
      </c>
      <c r="K14" s="108">
        <v>106478.0</v>
      </c>
      <c r="L14" s="106">
        <v>2.19</v>
      </c>
      <c r="M14" s="108">
        <v>22704.0</v>
      </c>
      <c r="N14" s="106" t="s">
        <v>155</v>
      </c>
      <c r="O14" s="108">
        <v>10402.0</v>
      </c>
      <c r="P14" s="106" t="s">
        <v>175</v>
      </c>
      <c r="Q14" s="106">
        <v>1777.0</v>
      </c>
      <c r="R14" s="106" t="s">
        <v>176</v>
      </c>
      <c r="S14" s="106"/>
      <c r="T14" s="106" t="s">
        <v>145</v>
      </c>
      <c r="U14" s="106">
        <v>138.0</v>
      </c>
      <c r="V14" s="106" t="s">
        <v>161</v>
      </c>
      <c r="W14" s="106">
        <v>132.0</v>
      </c>
      <c r="X14" s="106" t="s">
        <v>161</v>
      </c>
      <c r="Y14" s="106">
        <v>118.0</v>
      </c>
      <c r="Z14" s="106" t="s">
        <v>153</v>
      </c>
      <c r="AA14" s="106">
        <v>250.0</v>
      </c>
      <c r="AB14" s="106" t="s">
        <v>162</v>
      </c>
    </row>
    <row r="15">
      <c r="F15" s="106">
        <v>2025.0</v>
      </c>
      <c r="G15" s="109">
        <v>45870.0</v>
      </c>
      <c r="H15" s="108">
        <v>54965.0</v>
      </c>
      <c r="I15" s="108">
        <v>54922.0</v>
      </c>
      <c r="J15" s="106" t="s">
        <v>141</v>
      </c>
      <c r="K15" s="108">
        <v>101233.0</v>
      </c>
      <c r="L15" s="106">
        <v>1.84</v>
      </c>
      <c r="M15" s="108">
        <v>23770.0</v>
      </c>
      <c r="N15" s="106" t="s">
        <v>158</v>
      </c>
      <c r="O15" s="108">
        <v>11079.0</v>
      </c>
      <c r="P15" s="106" t="s">
        <v>155</v>
      </c>
      <c r="Q15" s="106">
        <v>1401.0</v>
      </c>
      <c r="R15" s="106" t="s">
        <v>177</v>
      </c>
      <c r="S15" s="106">
        <v>116.0</v>
      </c>
      <c r="T15" s="106" t="s">
        <v>153</v>
      </c>
      <c r="U15" s="106">
        <v>110.0</v>
      </c>
      <c r="V15" s="106" t="s">
        <v>153</v>
      </c>
      <c r="W15" s="106">
        <v>95.0</v>
      </c>
      <c r="X15" s="106" t="s">
        <v>152</v>
      </c>
      <c r="Y15" s="106">
        <v>121.0</v>
      </c>
      <c r="Z15" s="106" t="s">
        <v>153</v>
      </c>
      <c r="AA15" s="106">
        <v>216.0</v>
      </c>
      <c r="AB15" s="106" t="s">
        <v>160</v>
      </c>
    </row>
    <row r="16">
      <c r="F16" s="106">
        <v>2025.0</v>
      </c>
      <c r="G16" s="109">
        <v>45901.0</v>
      </c>
      <c r="H16" s="108">
        <v>46516.0</v>
      </c>
      <c r="I16" s="108">
        <v>45493.0</v>
      </c>
      <c r="J16" s="106" t="s">
        <v>178</v>
      </c>
      <c r="K16" s="108">
        <v>147247.0</v>
      </c>
      <c r="L16" s="106">
        <v>3.17</v>
      </c>
      <c r="M16" s="108">
        <v>20873.0</v>
      </c>
      <c r="N16" s="106" t="s">
        <v>175</v>
      </c>
      <c r="O16" s="108">
        <v>11044.0</v>
      </c>
      <c r="P16" s="106" t="s">
        <v>154</v>
      </c>
      <c r="Q16" s="106">
        <v>1265.0</v>
      </c>
      <c r="R16" s="106" t="s">
        <v>179</v>
      </c>
      <c r="S16" s="106">
        <v>124.0</v>
      </c>
      <c r="T16" s="106" t="s">
        <v>161</v>
      </c>
      <c r="U16" s="106">
        <v>96.0</v>
      </c>
      <c r="V16" s="106" t="s">
        <v>153</v>
      </c>
      <c r="W16" s="106">
        <v>94.0</v>
      </c>
      <c r="X16" s="106" t="s">
        <v>153</v>
      </c>
      <c r="Y16" s="106">
        <v>126.0</v>
      </c>
      <c r="Z16" s="106" t="s">
        <v>161</v>
      </c>
      <c r="AA16" s="106">
        <v>220.0</v>
      </c>
      <c r="AB16" s="106" t="s">
        <v>162</v>
      </c>
    </row>
    <row r="17">
      <c r="F17" s="106">
        <v>2025.0</v>
      </c>
      <c r="G17" s="109">
        <v>45931.0</v>
      </c>
      <c r="H17" s="108">
        <v>46615.0</v>
      </c>
      <c r="I17" s="108">
        <v>46596.0</v>
      </c>
      <c r="J17" s="106" t="s">
        <v>141</v>
      </c>
      <c r="K17" s="108">
        <v>100405.0</v>
      </c>
      <c r="L17" s="106">
        <v>2.15</v>
      </c>
      <c r="M17" s="108">
        <v>22625.0</v>
      </c>
      <c r="N17" s="106" t="s">
        <v>180</v>
      </c>
      <c r="O17" s="108">
        <v>12046.0</v>
      </c>
      <c r="P17" s="106" t="s">
        <v>154</v>
      </c>
      <c r="Q17" s="106">
        <v>1591.0</v>
      </c>
      <c r="R17" s="106" t="s">
        <v>181</v>
      </c>
      <c r="S17" s="106">
        <v>86.0</v>
      </c>
      <c r="T17" s="106" t="s">
        <v>152</v>
      </c>
      <c r="U17" s="106">
        <v>79.0</v>
      </c>
      <c r="V17" s="106" t="s">
        <v>148</v>
      </c>
      <c r="W17" s="106">
        <v>54.0</v>
      </c>
      <c r="X17" s="106" t="s">
        <v>146</v>
      </c>
      <c r="Y17" s="106">
        <v>69.0</v>
      </c>
      <c r="Z17" s="106" t="s">
        <v>148</v>
      </c>
      <c r="AA17" s="106">
        <v>123.0</v>
      </c>
      <c r="AB17" s="106" t="s">
        <v>153</v>
      </c>
    </row>
    <row r="18">
      <c r="F18" s="106">
        <v>2025.0</v>
      </c>
      <c r="G18" s="109">
        <v>45962.0</v>
      </c>
      <c r="H18" s="108">
        <v>41479.0</v>
      </c>
      <c r="I18" s="108">
        <v>41469.0</v>
      </c>
      <c r="J18" s="106" t="s">
        <v>141</v>
      </c>
      <c r="K18" s="108">
        <v>92966.0</v>
      </c>
      <c r="L18" s="106">
        <v>2.24</v>
      </c>
      <c r="M18" s="108">
        <v>17440.0</v>
      </c>
      <c r="N18" s="106" t="s">
        <v>182</v>
      </c>
      <c r="O18" s="108">
        <v>9530.0</v>
      </c>
      <c r="P18" s="106" t="s">
        <v>183</v>
      </c>
      <c r="Q18" s="106">
        <v>834.0</v>
      </c>
      <c r="R18" s="106" t="s">
        <v>184</v>
      </c>
      <c r="S18" s="106">
        <v>25.0</v>
      </c>
      <c r="T18" s="106" t="s">
        <v>147</v>
      </c>
      <c r="U18" s="106">
        <v>22.0</v>
      </c>
      <c r="V18" s="106" t="s">
        <v>147</v>
      </c>
      <c r="W18" s="106">
        <v>29.0</v>
      </c>
      <c r="X18" s="106" t="s">
        <v>146</v>
      </c>
      <c r="Y18" s="106">
        <v>51.0</v>
      </c>
      <c r="Z18" s="106" t="s">
        <v>148</v>
      </c>
      <c r="AA18" s="106">
        <v>80.0</v>
      </c>
      <c r="AB18" s="106" t="s">
        <v>153</v>
      </c>
    </row>
    <row r="19">
      <c r="F19" s="106">
        <v>2025.0</v>
      </c>
      <c r="G19" s="109">
        <v>45992.0</v>
      </c>
      <c r="H19" s="108">
        <v>52333.0</v>
      </c>
      <c r="I19" s="108">
        <v>52270.0</v>
      </c>
      <c r="J19" s="106" t="s">
        <v>141</v>
      </c>
      <c r="K19" s="108">
        <v>140358.0</v>
      </c>
      <c r="L19" s="106">
        <v>2.68</v>
      </c>
      <c r="M19" s="108">
        <v>25083.0</v>
      </c>
      <c r="N19" s="106" t="s">
        <v>185</v>
      </c>
      <c r="O19" s="108">
        <v>14644.0</v>
      </c>
      <c r="P19" s="106" t="s">
        <v>164</v>
      </c>
      <c r="Q19" s="106">
        <v>1404.0</v>
      </c>
      <c r="R19" s="106" t="s">
        <v>159</v>
      </c>
      <c r="S19" s="106">
        <v>34.0</v>
      </c>
      <c r="T19" s="106" t="s">
        <v>147</v>
      </c>
      <c r="U19" s="106">
        <v>21.0</v>
      </c>
      <c r="V19" s="106" t="s">
        <v>147</v>
      </c>
      <c r="W19" s="106">
        <v>21.0</v>
      </c>
      <c r="X19" s="106" t="s">
        <v>147</v>
      </c>
      <c r="Y19" s="106">
        <v>87.0</v>
      </c>
      <c r="Z19" s="106" t="s">
        <v>148</v>
      </c>
      <c r="AA19" s="106">
        <v>108.0</v>
      </c>
      <c r="AB19" s="106" t="s">
        <v>152</v>
      </c>
    </row>
    <row r="20">
      <c r="F20" s="106">
        <v>2026.0</v>
      </c>
      <c r="G20" s="109">
        <v>46023.0</v>
      </c>
      <c r="H20" s="108">
        <v>42592.0</v>
      </c>
      <c r="I20" s="108">
        <v>41439.0</v>
      </c>
      <c r="J20" s="106" t="s">
        <v>186</v>
      </c>
      <c r="K20" s="108">
        <v>125289.0</v>
      </c>
      <c r="L20" s="106">
        <v>97.0</v>
      </c>
      <c r="M20" s="108">
        <v>21315.0</v>
      </c>
      <c r="N20" s="106" t="s">
        <v>187</v>
      </c>
      <c r="O20" s="108">
        <v>12337.0</v>
      </c>
      <c r="P20" s="106" t="s">
        <v>164</v>
      </c>
      <c r="Q20" s="106">
        <v>1355.0</v>
      </c>
      <c r="R20" s="106" t="s">
        <v>188</v>
      </c>
      <c r="S20" s="106">
        <v>60.0</v>
      </c>
      <c r="T20" s="106" t="s">
        <v>148</v>
      </c>
      <c r="U20" s="106">
        <v>42.0</v>
      </c>
      <c r="V20" s="106" t="s">
        <v>146</v>
      </c>
      <c r="W20" s="106">
        <v>33.0</v>
      </c>
      <c r="X20" s="106" t="s">
        <v>146</v>
      </c>
      <c r="Y20" s="106">
        <v>27.0</v>
      </c>
      <c r="Z20" s="106" t="s">
        <v>147</v>
      </c>
      <c r="AA20" s="106">
        <v>60.0</v>
      </c>
      <c r="AB20" s="106" t="s">
        <v>148</v>
      </c>
    </row>
    <row r="21" ht="15.75" customHeight="1">
      <c r="F21" s="106">
        <v>2026.0</v>
      </c>
      <c r="G21" s="109">
        <v>46054.0</v>
      </c>
      <c r="H21" s="108">
        <v>40300.0</v>
      </c>
      <c r="I21" s="108">
        <v>37206.0</v>
      </c>
      <c r="J21" s="106" t="s">
        <v>189</v>
      </c>
      <c r="K21" s="108">
        <v>153667.0</v>
      </c>
      <c r="L21" s="106">
        <v>3.81</v>
      </c>
      <c r="M21" s="108">
        <v>19826.0</v>
      </c>
      <c r="N21" s="106" t="s">
        <v>154</v>
      </c>
      <c r="O21" s="108">
        <v>11990.0</v>
      </c>
      <c r="P21" s="106" t="s">
        <v>190</v>
      </c>
      <c r="Q21" s="106">
        <v>1072.0</v>
      </c>
      <c r="R21" s="106" t="s">
        <v>191</v>
      </c>
      <c r="S21" s="106">
        <v>74.0</v>
      </c>
      <c r="T21" s="106" t="s">
        <v>152</v>
      </c>
      <c r="U21" s="106">
        <v>71.0</v>
      </c>
      <c r="V21" s="106" t="s">
        <v>152</v>
      </c>
      <c r="W21" s="106">
        <v>71.0</v>
      </c>
      <c r="X21" s="106" t="s">
        <v>152</v>
      </c>
      <c r="Y21" s="106">
        <v>75.0</v>
      </c>
      <c r="Z21" s="106" t="s">
        <v>152</v>
      </c>
      <c r="AA21" s="106">
        <v>146.0</v>
      </c>
      <c r="AB21" s="106" t="s">
        <v>168</v>
      </c>
    </row>
    <row r="22" ht="15.75" customHeight="1">
      <c r="F22" s="106">
        <v>2026.0</v>
      </c>
      <c r="G22" s="109">
        <v>46082.0</v>
      </c>
      <c r="H22" s="108">
        <v>49533.0</v>
      </c>
      <c r="I22" s="108">
        <v>49516.0</v>
      </c>
      <c r="J22" s="110">
        <f>Renovaciones!$I22/Renovaciones!$H22</f>
        <v>0.9996567945</v>
      </c>
      <c r="K22" s="108">
        <v>205028.0</v>
      </c>
      <c r="L22" s="111">
        <f>Renovaciones!$K22/Renovaciones!$H22</f>
        <v>4.139220318</v>
      </c>
      <c r="M22" s="108">
        <v>22163.0</v>
      </c>
      <c r="N22" s="112">
        <f>Renovaciones!$M22/Renovaciones!$I22</f>
        <v>0.4475926973</v>
      </c>
      <c r="O22" s="108">
        <v>12194.0</v>
      </c>
      <c r="P22" s="112">
        <f>Renovaciones!$O22/Renovaciones!$M22</f>
        <v>0.5501962731</v>
      </c>
      <c r="Q22" s="106">
        <v>1210.0</v>
      </c>
      <c r="R22" s="113">
        <f>Renovaciones!$Q22/Renovaciones!$M22</f>
        <v>0.054595497</v>
      </c>
      <c r="S22" s="106">
        <v>30.0</v>
      </c>
      <c r="T22" s="113">
        <f>Renovaciones!$S22/Renovaciones!$M22</f>
        <v>0.001353607364</v>
      </c>
      <c r="U22" s="106">
        <v>26.0</v>
      </c>
      <c r="V22" s="113">
        <f>Renovaciones!$S22/Renovaciones!$M22</f>
        <v>0.001353607364</v>
      </c>
      <c r="W22" s="106">
        <v>62.0</v>
      </c>
      <c r="X22" s="113">
        <f>Renovaciones!$S22/Renovaciones!$M22</f>
        <v>0.001353607364</v>
      </c>
      <c r="Y22" s="106">
        <v>58.0</v>
      </c>
      <c r="Z22" s="113">
        <f>Renovaciones!$Y22/Renovaciones!$M22</f>
        <v>0.002616974236</v>
      </c>
      <c r="AA22" s="106">
        <f>Renovaciones!$Y22+Renovaciones!$W22</f>
        <v>120</v>
      </c>
      <c r="AB22" s="113">
        <f>Renovaciones!$AA22/Renovaciones!$M22</f>
        <v>0.005414429454</v>
      </c>
    </row>
    <row r="23" ht="15.75" customHeight="1">
      <c r="F23" s="114">
        <v>2026.0</v>
      </c>
      <c r="G23" s="115">
        <v>46113.0</v>
      </c>
      <c r="H23" s="116">
        <v>48829.0</v>
      </c>
      <c r="I23" s="116">
        <v>47984.0</v>
      </c>
      <c r="J23" s="117">
        <f>Renovaciones!$I23/Renovaciones!$H23</f>
        <v>0.9826947101</v>
      </c>
      <c r="K23" s="116">
        <v>154619.0</v>
      </c>
      <c r="L23" s="118">
        <f>Renovaciones!$K23/Renovaciones!$I23</f>
        <v>3.222303268</v>
      </c>
      <c r="M23" s="116">
        <v>22837.0</v>
      </c>
      <c r="N23" s="119">
        <f>Renovaciones!$M23/Renovaciones!$I23</f>
        <v>0.4759294765</v>
      </c>
      <c r="O23" s="116">
        <v>11345.0</v>
      </c>
      <c r="P23" s="119">
        <f>Renovaciones!$O23/Renovaciones!$M23</f>
        <v>0.4967815387</v>
      </c>
      <c r="Q23" s="114">
        <v>1162.0</v>
      </c>
      <c r="R23" s="120">
        <f>Renovaciones!$Q23/Renovaciones!$M23</f>
        <v>0.05088234006</v>
      </c>
      <c r="S23" s="114">
        <v>38.0</v>
      </c>
      <c r="T23" s="120">
        <f>Renovaciones!$S23/Renovaciones!$M23</f>
        <v>0.00166396637</v>
      </c>
      <c r="U23" s="114">
        <v>36.0</v>
      </c>
      <c r="V23" s="120">
        <f>Renovaciones!$U23/Renovaciones!$M23</f>
        <v>0.001576389193</v>
      </c>
      <c r="W23" s="114">
        <v>86.0</v>
      </c>
      <c r="X23" s="120">
        <f>Renovaciones!$W23/Renovaciones!$M23</f>
        <v>0.003765818628</v>
      </c>
      <c r="Y23" s="114">
        <v>53.0</v>
      </c>
      <c r="Z23" s="120">
        <f>Renovaciones!$Y23/Renovaciones!$M23</f>
        <v>0.002320795201</v>
      </c>
      <c r="AA23" s="114">
        <f>Renovaciones!$Y23+Renovaciones!$W23</f>
        <v>139</v>
      </c>
      <c r="AB23" s="120">
        <f>Renovaciones!$AA23/Renovaciones!$M23</f>
        <v>0.006086613828</v>
      </c>
    </row>
    <row r="24" ht="15.75" customHeight="1">
      <c r="F24" s="114">
        <v>2026.0</v>
      </c>
      <c r="G24" s="115">
        <v>46144.0</v>
      </c>
      <c r="H24" s="116">
        <v>54537.0</v>
      </c>
      <c r="I24" s="116">
        <v>54518.0</v>
      </c>
      <c r="J24" s="117">
        <f>Renovaciones!$I24/Renovaciones!$H24</f>
        <v>0.9996516127</v>
      </c>
      <c r="K24" s="116">
        <v>171149.0</v>
      </c>
      <c r="L24" s="118">
        <f>Renovaciones!$K24/Renovaciones!$I24</f>
        <v>3.139311787</v>
      </c>
      <c r="M24" s="116">
        <v>27581.0</v>
      </c>
      <c r="N24" s="119">
        <f>Renovaciones!$M24/Renovaciones!$I24</f>
        <v>0.5059063062</v>
      </c>
      <c r="O24" s="116">
        <v>16804.0</v>
      </c>
      <c r="P24" s="119">
        <f>Renovaciones!$O24/Renovaciones!$M24</f>
        <v>0.6092599978</v>
      </c>
      <c r="Q24" s="114">
        <f>J40+G40</f>
        <v>532</v>
      </c>
      <c r="R24" s="120">
        <f>Renovaciones!$Q24/Renovaciones!$M24</f>
        <v>0.01928864073</v>
      </c>
      <c r="S24" s="114">
        <v>43.0</v>
      </c>
      <c r="T24" s="120">
        <f>Renovaciones!$S24/Renovaciones!$M24</f>
        <v>0.00155904427</v>
      </c>
      <c r="U24" s="114">
        <v>40.0</v>
      </c>
      <c r="V24" s="117">
        <f>Renovaciones!$U24/Renovaciones!$M24</f>
        <v>0.001450273739</v>
      </c>
      <c r="W24" s="114">
        <v>104.0</v>
      </c>
      <c r="X24" s="117">
        <f>Renovaciones!$W24/Renovaciones!$M24</f>
        <v>0.003770711722</v>
      </c>
      <c r="Y24" s="114">
        <v>27.0</v>
      </c>
      <c r="Z24" s="117">
        <f>Renovaciones!$Y24/Renovaciones!$M24</f>
        <v>0.0009789347739</v>
      </c>
      <c r="AA24" s="114">
        <f>Renovaciones!$Y24+Renovaciones!$W24</f>
        <v>131</v>
      </c>
      <c r="AB24" s="117">
        <f>Renovaciones!$AA24/Renovaciones!$M24</f>
        <v>0.004749646496</v>
      </c>
    </row>
    <row r="25" ht="15.75" customHeight="1">
      <c r="F25" s="114">
        <v>2026.0</v>
      </c>
      <c r="G25" s="115">
        <v>46176.0</v>
      </c>
      <c r="H25" s="121">
        <v>55530.0</v>
      </c>
      <c r="I25" s="121">
        <v>55530.0</v>
      </c>
      <c r="J25" s="122">
        <f>Renovaciones!$I25/Renovaciones!$H25</f>
        <v>1</v>
      </c>
      <c r="K25" s="121">
        <v>213950.0</v>
      </c>
      <c r="L25" s="123">
        <f>Renovaciones!$K25/Renovaciones!$H25</f>
        <v>3.852872321</v>
      </c>
      <c r="M25" s="121">
        <v>28778.0</v>
      </c>
      <c r="N25" s="124">
        <f>Renovaciones!$M25/Renovaciones!$I25</f>
        <v>0.5182423915</v>
      </c>
      <c r="O25" s="121">
        <v>18778.0</v>
      </c>
      <c r="P25" s="124">
        <f>Renovaciones!$O25/Renovaciones!$M25</f>
        <v>0.6525123358</v>
      </c>
      <c r="Q25" s="125">
        <v>1164.0</v>
      </c>
      <c r="R25" s="126">
        <f>Renovaciones!$Q25/Renovaciones!$M25</f>
        <v>0.04044756411</v>
      </c>
      <c r="S25" s="125">
        <v>47.0</v>
      </c>
      <c r="T25" s="126"/>
      <c r="U25" s="125">
        <v>125.0</v>
      </c>
      <c r="V25" s="122">
        <f>Renovaciones!$U25/Renovaciones!$M25</f>
        <v>0.004343595802</v>
      </c>
      <c r="W25" s="125">
        <v>98.0</v>
      </c>
      <c r="X25" s="126">
        <f>Renovaciones!$S25/Renovaciones!$M25</f>
        <v>0.001633192022</v>
      </c>
      <c r="Y25" s="125">
        <v>48.0</v>
      </c>
      <c r="Z25" s="122">
        <f>Renovaciones!$Y25/Renovaciones!$M25</f>
        <v>0.001667940788</v>
      </c>
      <c r="AA25" s="125">
        <f>Renovaciones!$Y25+Renovaciones!$W25+Renovaciones!$Q25</f>
        <v>1310</v>
      </c>
      <c r="AB25" s="122">
        <f>Renovaciones!$AA25/Renovaciones!$M25</f>
        <v>0.04552088401</v>
      </c>
    </row>
    <row r="26" ht="15.75" customHeight="1">
      <c r="F26" s="127">
        <v>2026.0</v>
      </c>
      <c r="G26" s="128">
        <v>46229.0</v>
      </c>
      <c r="H26" s="129">
        <v>51956.0</v>
      </c>
      <c r="I26" s="129">
        <v>51956.0</v>
      </c>
      <c r="J26" s="130">
        <f>I26/H26</f>
        <v>1</v>
      </c>
      <c r="K26" s="129">
        <v>95819.0</v>
      </c>
      <c r="L26" s="131">
        <f>K26/I26</f>
        <v>1.844233582</v>
      </c>
      <c r="M26" s="129">
        <v>14386.0</v>
      </c>
      <c r="N26" s="132">
        <f>M26/I26</f>
        <v>0.2768881361</v>
      </c>
      <c r="O26" s="129">
        <v>8705.0</v>
      </c>
      <c r="P26" s="132">
        <f>O26/M26</f>
        <v>0.6051021827</v>
      </c>
      <c r="Q26" s="129">
        <v>532.0</v>
      </c>
      <c r="R26" s="132">
        <f>Q26/I26</f>
        <v>0.01023943337</v>
      </c>
      <c r="S26" s="129">
        <v>20.0</v>
      </c>
      <c r="T26" s="132">
        <f>S26/I26</f>
        <v>0.000384941104</v>
      </c>
      <c r="U26" s="129">
        <v>48.0</v>
      </c>
      <c r="V26" s="132">
        <f>U26/I26</f>
        <v>0.0009238586496</v>
      </c>
      <c r="W26" s="129">
        <v>42.0</v>
      </c>
      <c r="X26" s="132">
        <f>W26/I26</f>
        <v>0.0008083763184</v>
      </c>
      <c r="Y26" s="129">
        <v>20.0</v>
      </c>
      <c r="Z26" s="132">
        <f>Y26/I26</f>
        <v>0.000384941104</v>
      </c>
      <c r="AA26" s="133">
        <f>Y26+W26</f>
        <v>62</v>
      </c>
      <c r="AB26" s="132">
        <f>W26/I26</f>
        <v>0.0008083763184</v>
      </c>
    </row>
    <row r="27" ht="15.75" customHeight="1">
      <c r="F27" s="134"/>
    </row>
    <row r="28" ht="15.75" customHeight="1">
      <c r="F28" s="134" t="s">
        <v>192</v>
      </c>
    </row>
    <row r="29" ht="15.75" customHeight="1"/>
    <row r="30" ht="15.75" customHeight="1">
      <c r="F30" s="135" t="s">
        <v>193</v>
      </c>
      <c r="G30" s="136"/>
      <c r="H30" s="137"/>
      <c r="I30" s="138"/>
      <c r="J30" s="136"/>
      <c r="L30" s="139"/>
      <c r="M30" s="140"/>
    </row>
    <row r="31" ht="15.75" customHeight="1">
      <c r="F31" s="77" t="s">
        <v>194</v>
      </c>
      <c r="G31" s="141">
        <v>51956.0</v>
      </c>
      <c r="H31" s="137"/>
      <c r="I31" s="77" t="s">
        <v>194</v>
      </c>
      <c r="J31" s="142"/>
      <c r="L31" s="85"/>
      <c r="M31" s="143"/>
      <c r="N31" s="44" t="s">
        <v>108</v>
      </c>
      <c r="O31" s="44" t="s">
        <v>108</v>
      </c>
    </row>
    <row r="32" ht="15.75" customHeight="1">
      <c r="F32" s="77" t="s">
        <v>195</v>
      </c>
      <c r="G32" s="141">
        <v>51956.0</v>
      </c>
      <c r="H32" s="137"/>
      <c r="I32" s="77" t="s">
        <v>195</v>
      </c>
      <c r="J32" s="142"/>
      <c r="L32" s="85"/>
      <c r="M32" s="143"/>
    </row>
    <row r="33" ht="15.75" customHeight="1">
      <c r="F33" s="77" t="s">
        <v>196</v>
      </c>
      <c r="G33" s="144">
        <f>G32/G31</f>
        <v>1</v>
      </c>
      <c r="H33" s="137"/>
      <c r="I33" s="77" t="s">
        <v>196</v>
      </c>
      <c r="J33" s="144"/>
      <c r="L33" s="85"/>
      <c r="M33" s="145"/>
    </row>
    <row r="34" ht="15.75" customHeight="1">
      <c r="F34" s="77" t="s">
        <v>197</v>
      </c>
      <c r="G34" s="141">
        <v>95819.0</v>
      </c>
      <c r="H34" s="137"/>
      <c r="I34" s="77" t="s">
        <v>197</v>
      </c>
      <c r="J34" s="142"/>
      <c r="L34" s="85"/>
      <c r="M34" s="143"/>
    </row>
    <row r="35" ht="15.75" customHeight="1">
      <c r="F35" s="77" t="s">
        <v>198</v>
      </c>
      <c r="G35" s="146">
        <f>G34/G31</f>
        <v>1.844233582</v>
      </c>
      <c r="H35" s="137"/>
      <c r="I35" s="77" t="s">
        <v>198</v>
      </c>
      <c r="J35" s="146"/>
      <c r="L35" s="85"/>
      <c r="M35" s="147"/>
    </row>
    <row r="36" ht="15.75" customHeight="1">
      <c r="F36" s="77" t="s">
        <v>199</v>
      </c>
      <c r="G36" s="141">
        <v>14386.0</v>
      </c>
      <c r="H36" s="137"/>
      <c r="I36" s="77" t="s">
        <v>199</v>
      </c>
      <c r="J36" s="142"/>
      <c r="L36" s="85"/>
      <c r="M36" s="143"/>
    </row>
    <row r="37" ht="15.75" customHeight="1">
      <c r="F37" s="77" t="s">
        <v>200</v>
      </c>
      <c r="G37" s="148">
        <f>G36/G32</f>
        <v>0.2768881361</v>
      </c>
      <c r="H37" s="137"/>
      <c r="I37" s="77" t="s">
        <v>200</v>
      </c>
      <c r="J37" s="148"/>
      <c r="L37" s="85"/>
      <c r="M37" s="149"/>
    </row>
    <row r="38" ht="15.75" customHeight="1">
      <c r="F38" s="77" t="s">
        <v>127</v>
      </c>
      <c r="G38" s="141">
        <v>8705.0</v>
      </c>
      <c r="H38" s="137"/>
      <c r="I38" s="77" t="s">
        <v>127</v>
      </c>
      <c r="J38" s="142"/>
      <c r="L38" s="85"/>
      <c r="M38" s="85"/>
    </row>
    <row r="39" ht="15.75" customHeight="1">
      <c r="F39" s="77" t="s">
        <v>201</v>
      </c>
      <c r="G39" s="150">
        <f>G38/G36</f>
        <v>0.6051021827</v>
      </c>
      <c r="H39" s="137"/>
      <c r="I39" s="77" t="s">
        <v>201</v>
      </c>
      <c r="J39" s="150"/>
      <c r="L39" s="85"/>
      <c r="M39" s="149"/>
    </row>
    <row r="40" ht="15.75" customHeight="1">
      <c r="F40" s="19" t="s">
        <v>202</v>
      </c>
      <c r="G40" s="151">
        <v>532.0</v>
      </c>
      <c r="I40" s="19" t="s">
        <v>203</v>
      </c>
      <c r="J40" s="19"/>
    </row>
    <row r="41" ht="15.75" customHeight="1">
      <c r="F41" s="19" t="s">
        <v>204</v>
      </c>
      <c r="G41" s="152">
        <f>G40/G32</f>
        <v>0.01023943337</v>
      </c>
      <c r="I41" s="19" t="s">
        <v>204</v>
      </c>
      <c r="J41" s="152"/>
    </row>
    <row r="42" ht="15.75" customHeight="1">
      <c r="I42" s="153"/>
      <c r="J42" s="153"/>
    </row>
    <row r="43" ht="15.75" customHeight="1">
      <c r="F43" s="154" t="s">
        <v>205</v>
      </c>
      <c r="G43" s="155">
        <f>I4-G40</f>
        <v>0</v>
      </c>
      <c r="I43" s="95" t="s">
        <v>205</v>
      </c>
      <c r="J43" s="156">
        <f>Q25-G40-J40</f>
        <v>632</v>
      </c>
    </row>
    <row r="44" ht="15.75" customHeight="1">
      <c r="F44" s="157"/>
      <c r="G44" s="1"/>
    </row>
    <row r="45" ht="15.75" customHeight="1"/>
    <row r="46" ht="15.75" customHeight="1">
      <c r="E46" s="158" t="s">
        <v>0</v>
      </c>
      <c r="F46" s="159"/>
      <c r="G46" s="159"/>
      <c r="H46" s="159"/>
      <c r="I46" s="159"/>
      <c r="J46" s="159"/>
      <c r="K46" s="159"/>
      <c r="L46" s="159"/>
      <c r="M46" s="159"/>
      <c r="N46" s="159"/>
      <c r="O46" s="160"/>
      <c r="P46" s="161" t="s">
        <v>206</v>
      </c>
      <c r="Q46" s="162"/>
      <c r="R46" s="162"/>
      <c r="S46" s="162"/>
      <c r="T46" s="162"/>
      <c r="U46" s="162"/>
      <c r="V46" s="162"/>
      <c r="W46" s="163"/>
    </row>
    <row r="47" ht="15.75" customHeight="1">
      <c r="E47" s="6" t="s">
        <v>2</v>
      </c>
      <c r="F47" s="6" t="s">
        <v>3</v>
      </c>
      <c r="G47" s="6" t="s">
        <v>4</v>
      </c>
      <c r="H47" s="6" t="s">
        <v>5</v>
      </c>
      <c r="I47" s="6" t="s">
        <v>6</v>
      </c>
      <c r="J47" s="6" t="s">
        <v>7</v>
      </c>
      <c r="K47" s="6" t="s">
        <v>8</v>
      </c>
      <c r="L47" s="6" t="s">
        <v>9</v>
      </c>
      <c r="M47" s="6" t="s">
        <v>10</v>
      </c>
      <c r="N47" s="6" t="s">
        <v>11</v>
      </c>
      <c r="O47" s="6" t="s">
        <v>12</v>
      </c>
      <c r="P47" s="164" t="s">
        <v>4</v>
      </c>
      <c r="Q47" s="164" t="s">
        <v>6</v>
      </c>
      <c r="R47" s="164" t="s">
        <v>7</v>
      </c>
      <c r="S47" s="164" t="s">
        <v>8</v>
      </c>
      <c r="T47" s="164" t="s">
        <v>9</v>
      </c>
      <c r="U47" s="164" t="s">
        <v>10</v>
      </c>
      <c r="V47" s="164" t="s">
        <v>11</v>
      </c>
      <c r="W47" s="164" t="s">
        <v>12</v>
      </c>
    </row>
    <row r="48" ht="15.75" customHeight="1">
      <c r="E48" s="165" t="s">
        <v>16</v>
      </c>
      <c r="F48" s="165" t="s">
        <v>17</v>
      </c>
      <c r="G48" s="13">
        <v>838.0</v>
      </c>
      <c r="H48" s="35">
        <v>33.52</v>
      </c>
      <c r="I48" s="13">
        <v>70.0</v>
      </c>
      <c r="J48" s="13">
        <v>50.0</v>
      </c>
      <c r="K48" s="13">
        <v>56.0</v>
      </c>
      <c r="L48" s="13">
        <v>2.0</v>
      </c>
      <c r="M48" s="13">
        <v>4.0</v>
      </c>
      <c r="N48" s="36">
        <v>0.08353221957040573</v>
      </c>
      <c r="O48" s="13">
        <v>1.0</v>
      </c>
      <c r="P48" s="19">
        <v>1182.0</v>
      </c>
      <c r="Q48" s="19">
        <v>22.0</v>
      </c>
      <c r="R48" s="19">
        <v>23.0</v>
      </c>
      <c r="S48" s="19">
        <v>2.0</v>
      </c>
      <c r="T48" s="19">
        <v>23.0</v>
      </c>
      <c r="U48" s="19">
        <v>1.0</v>
      </c>
      <c r="V48" s="20">
        <v>0.0194585448392555</v>
      </c>
      <c r="W48" s="19">
        <v>4.0</v>
      </c>
    </row>
    <row r="49" ht="15.75" customHeight="1">
      <c r="E49" s="165" t="s">
        <v>19</v>
      </c>
      <c r="F49" s="165" t="s">
        <v>18</v>
      </c>
      <c r="G49" s="13">
        <v>780.0</v>
      </c>
      <c r="H49" s="35">
        <v>31.2</v>
      </c>
      <c r="I49" s="13">
        <v>63.0</v>
      </c>
      <c r="J49" s="13">
        <v>55.0</v>
      </c>
      <c r="K49" s="13">
        <v>59.0</v>
      </c>
      <c r="L49" s="13">
        <v>1.0</v>
      </c>
      <c r="M49" s="13">
        <v>3.0</v>
      </c>
      <c r="N49" s="36">
        <v>0.08076923076923077</v>
      </c>
      <c r="O49" s="13">
        <v>3.0</v>
      </c>
      <c r="P49" s="19">
        <v>873.0</v>
      </c>
      <c r="Q49" s="19">
        <v>71.0</v>
      </c>
      <c r="R49" s="19">
        <v>53.0</v>
      </c>
      <c r="S49" s="19">
        <v>3.0</v>
      </c>
      <c r="T49" s="19">
        <v>55.0</v>
      </c>
      <c r="U49" s="19">
        <v>1.0</v>
      </c>
      <c r="V49" s="20">
        <v>0.06071019473081329</v>
      </c>
      <c r="W49" s="19">
        <v>1.0</v>
      </c>
    </row>
    <row r="50" ht="15.75" customHeight="1">
      <c r="E50" s="165" t="s">
        <v>19</v>
      </c>
      <c r="F50" s="166" t="s">
        <v>21</v>
      </c>
      <c r="G50" s="13">
        <v>556.0</v>
      </c>
      <c r="H50" s="35">
        <v>22.24</v>
      </c>
      <c r="I50" s="13">
        <v>57.0</v>
      </c>
      <c r="J50" s="13">
        <v>45.0</v>
      </c>
      <c r="K50" s="13">
        <v>47.0</v>
      </c>
      <c r="L50" s="13">
        <v>1.0</v>
      </c>
      <c r="M50" s="13">
        <v>3.0</v>
      </c>
      <c r="N50" s="36">
        <v>0.10251798561151079</v>
      </c>
      <c r="O50" s="13">
        <v>4.0</v>
      </c>
      <c r="P50" s="19">
        <v>1182.0</v>
      </c>
      <c r="Q50" s="19">
        <v>22.0</v>
      </c>
      <c r="R50" s="19">
        <v>23.0</v>
      </c>
      <c r="S50" s="19">
        <v>2.0</v>
      </c>
      <c r="T50" s="19">
        <v>23.0</v>
      </c>
      <c r="U50" s="19">
        <v>1.0</v>
      </c>
      <c r="V50" s="20">
        <v>0.0194585448392555</v>
      </c>
      <c r="W50" s="19">
        <v>4.0</v>
      </c>
    </row>
    <row r="51" ht="15.75" customHeight="1">
      <c r="E51" s="165" t="s">
        <v>16</v>
      </c>
      <c r="F51" s="165" t="s">
        <v>23</v>
      </c>
      <c r="G51" s="13">
        <v>1454.0</v>
      </c>
      <c r="H51" s="35">
        <v>58.16</v>
      </c>
      <c r="I51" s="13">
        <v>50.0</v>
      </c>
      <c r="J51" s="13">
        <v>44.0</v>
      </c>
      <c r="K51" s="13">
        <v>44.0</v>
      </c>
      <c r="L51" s="13">
        <v>1.0</v>
      </c>
      <c r="M51" s="13">
        <v>3.0</v>
      </c>
      <c r="N51" s="36">
        <v>0.0343878954607978</v>
      </c>
      <c r="O51" s="13">
        <v>1.0</v>
      </c>
      <c r="P51" s="19">
        <v>1315.0</v>
      </c>
      <c r="Q51" s="19">
        <v>46.0</v>
      </c>
      <c r="R51" s="19">
        <v>44.0</v>
      </c>
      <c r="S51" s="19">
        <v>3.0</v>
      </c>
      <c r="T51" s="19">
        <v>45.0</v>
      </c>
      <c r="U51" s="19">
        <v>1.0</v>
      </c>
      <c r="V51" s="20">
        <v>0.033460076045627375</v>
      </c>
      <c r="W51" s="19">
        <v>1.0</v>
      </c>
    </row>
    <row r="52" ht="15.75" customHeight="1">
      <c r="E52" s="165" t="s">
        <v>19</v>
      </c>
      <c r="F52" s="166" t="s">
        <v>24</v>
      </c>
      <c r="G52" s="13">
        <v>379.0</v>
      </c>
      <c r="H52" s="35">
        <v>15.16</v>
      </c>
      <c r="I52" s="13">
        <v>50.0</v>
      </c>
      <c r="J52" s="13">
        <v>42.0</v>
      </c>
      <c r="K52" s="13">
        <v>43.0</v>
      </c>
      <c r="L52" s="13">
        <v>2.0</v>
      </c>
      <c r="M52" s="13">
        <v>6.0</v>
      </c>
      <c r="N52" s="36">
        <v>0.13192612137203166</v>
      </c>
      <c r="O52" s="13">
        <v>4.0</v>
      </c>
      <c r="P52" s="19">
        <v>1315.0</v>
      </c>
      <c r="Q52" s="19">
        <v>46.0</v>
      </c>
      <c r="R52" s="19">
        <v>44.0</v>
      </c>
      <c r="S52" s="19">
        <v>3.0</v>
      </c>
      <c r="T52" s="19">
        <v>45.0</v>
      </c>
      <c r="U52" s="19">
        <v>1.0</v>
      </c>
      <c r="V52" s="20">
        <v>0.033460076045627375</v>
      </c>
      <c r="W52" s="19">
        <v>1.0</v>
      </c>
    </row>
    <row r="53" ht="15.75" customHeight="1">
      <c r="E53" s="165" t="s">
        <v>19</v>
      </c>
      <c r="F53" s="165" t="s">
        <v>20</v>
      </c>
      <c r="G53" s="13">
        <v>706.0</v>
      </c>
      <c r="H53" s="35">
        <v>28.24</v>
      </c>
      <c r="I53" s="13">
        <v>50.0</v>
      </c>
      <c r="J53" s="13">
        <v>42.0</v>
      </c>
      <c r="K53" s="13">
        <v>42.0</v>
      </c>
      <c r="L53" s="13">
        <v>0.0</v>
      </c>
      <c r="M53" s="13">
        <v>0.0</v>
      </c>
      <c r="N53" s="36">
        <v>0.0708215297450425</v>
      </c>
      <c r="O53" s="13">
        <v>3.0</v>
      </c>
      <c r="P53" s="19">
        <v>1182.0</v>
      </c>
      <c r="Q53" s="19">
        <v>22.0</v>
      </c>
      <c r="R53" s="19">
        <v>23.0</v>
      </c>
      <c r="S53" s="19">
        <v>2.0</v>
      </c>
      <c r="T53" s="19">
        <v>23.0</v>
      </c>
      <c r="U53" s="19">
        <v>1.0</v>
      </c>
      <c r="V53" s="20">
        <v>0.0194585448392555</v>
      </c>
      <c r="W53" s="19">
        <v>4.0</v>
      </c>
    </row>
    <row r="54" ht="15.75" customHeight="1">
      <c r="E54" s="165" t="s">
        <v>19</v>
      </c>
      <c r="F54" s="166" t="s">
        <v>27</v>
      </c>
      <c r="G54" s="13">
        <v>700.0</v>
      </c>
      <c r="H54" s="35">
        <v>28.0</v>
      </c>
      <c r="I54" s="13">
        <v>50.0</v>
      </c>
      <c r="J54" s="13">
        <v>41.0</v>
      </c>
      <c r="K54" s="13">
        <v>42.0</v>
      </c>
      <c r="L54" s="13">
        <v>0.0</v>
      </c>
      <c r="M54" s="13">
        <v>0.0</v>
      </c>
      <c r="N54" s="36">
        <v>0.07142857142857142</v>
      </c>
      <c r="O54" s="13">
        <v>4.0</v>
      </c>
      <c r="P54" s="19">
        <v>1182.0</v>
      </c>
      <c r="Q54" s="19">
        <v>22.0</v>
      </c>
      <c r="R54" s="19">
        <v>23.0</v>
      </c>
      <c r="S54" s="19">
        <v>2.0</v>
      </c>
      <c r="T54" s="19">
        <v>23.0</v>
      </c>
      <c r="U54" s="19">
        <v>1.0</v>
      </c>
      <c r="V54" s="20">
        <v>0.0194585448392555</v>
      </c>
      <c r="W54" s="19">
        <v>4.0</v>
      </c>
    </row>
    <row r="55" ht="15.75" customHeight="1">
      <c r="E55" s="165" t="s">
        <v>16</v>
      </c>
      <c r="F55" s="165" t="s">
        <v>28</v>
      </c>
      <c r="G55" s="13">
        <v>1185.0</v>
      </c>
      <c r="H55" s="35">
        <v>47.4</v>
      </c>
      <c r="I55" s="13">
        <v>49.0</v>
      </c>
      <c r="J55" s="13">
        <v>38.0</v>
      </c>
      <c r="K55" s="13">
        <v>42.0</v>
      </c>
      <c r="L55" s="13">
        <v>2.0</v>
      </c>
      <c r="M55" s="13">
        <v>4.0</v>
      </c>
      <c r="N55" s="36">
        <v>0.04135021097046414</v>
      </c>
      <c r="O55" s="13">
        <v>1.0</v>
      </c>
      <c r="P55" s="19">
        <v>1315.0</v>
      </c>
      <c r="Q55" s="19">
        <v>46.0</v>
      </c>
      <c r="R55" s="19">
        <v>44.0</v>
      </c>
      <c r="S55" s="19">
        <v>3.0</v>
      </c>
      <c r="T55" s="19">
        <v>45.0</v>
      </c>
      <c r="U55" s="19">
        <v>1.0</v>
      </c>
      <c r="V55" s="20">
        <v>0.033460076045627375</v>
      </c>
      <c r="W55" s="19">
        <v>1.0</v>
      </c>
    </row>
    <row r="56" ht="15.75" customHeight="1">
      <c r="E56" s="165" t="s">
        <v>16</v>
      </c>
      <c r="F56" s="166" t="s">
        <v>29</v>
      </c>
      <c r="G56" s="13">
        <v>777.0</v>
      </c>
      <c r="H56" s="35">
        <v>31.08</v>
      </c>
      <c r="I56" s="13">
        <v>49.0</v>
      </c>
      <c r="J56" s="13">
        <v>30.0</v>
      </c>
      <c r="K56" s="13">
        <v>30.0</v>
      </c>
      <c r="L56" s="13">
        <v>0.0</v>
      </c>
      <c r="M56" s="13">
        <v>0.0</v>
      </c>
      <c r="N56" s="36">
        <v>0.06306306306306306</v>
      </c>
      <c r="O56" s="13">
        <v>2.0</v>
      </c>
      <c r="P56" s="19">
        <v>1182.0</v>
      </c>
      <c r="Q56" s="19">
        <v>22.0</v>
      </c>
      <c r="R56" s="19">
        <v>23.0</v>
      </c>
      <c r="S56" s="19">
        <v>2.0</v>
      </c>
      <c r="T56" s="19">
        <v>23.0</v>
      </c>
      <c r="U56" s="19">
        <v>1.0</v>
      </c>
      <c r="V56" s="20">
        <v>0.0194585448392555</v>
      </c>
      <c r="W56" s="19">
        <v>4.0</v>
      </c>
    </row>
    <row r="57" ht="15.75" customHeight="1">
      <c r="E57" s="165" t="s">
        <v>19</v>
      </c>
      <c r="F57" s="165" t="s">
        <v>30</v>
      </c>
      <c r="G57" s="13">
        <v>1224.0</v>
      </c>
      <c r="H57" s="35">
        <v>48.96</v>
      </c>
      <c r="I57" s="13">
        <v>49.0</v>
      </c>
      <c r="J57" s="13">
        <v>40.0</v>
      </c>
      <c r="K57" s="13">
        <v>42.0</v>
      </c>
      <c r="L57" s="13">
        <v>1.0</v>
      </c>
      <c r="M57" s="13">
        <v>3.0</v>
      </c>
      <c r="N57" s="36">
        <v>0.04003267973856209</v>
      </c>
      <c r="O57" s="13">
        <v>4.0</v>
      </c>
      <c r="P57" s="19" t="e">
        <v>#N/A</v>
      </c>
      <c r="Q57" s="19" t="e">
        <v>#N/A</v>
      </c>
      <c r="R57" s="19" t="e">
        <v>#N/A</v>
      </c>
      <c r="S57" s="19" t="e">
        <v>#N/A</v>
      </c>
      <c r="T57" s="19" t="e">
        <v>#N/A</v>
      </c>
      <c r="U57" s="19" t="e">
        <v>#N/A</v>
      </c>
      <c r="V57" s="20" t="e">
        <v>#N/A</v>
      </c>
      <c r="W57" s="19" t="e">
        <v>#N/A</v>
      </c>
    </row>
    <row r="58" ht="15.75" customHeight="1">
      <c r="E58" s="165" t="s">
        <v>19</v>
      </c>
      <c r="F58" s="166" t="s">
        <v>32</v>
      </c>
      <c r="G58" s="13">
        <v>1231.0</v>
      </c>
      <c r="H58" s="35">
        <v>49.24</v>
      </c>
      <c r="I58" s="13">
        <v>47.0</v>
      </c>
      <c r="J58" s="13">
        <v>39.0</v>
      </c>
      <c r="K58" s="13">
        <v>40.0</v>
      </c>
      <c r="L58" s="13">
        <v>1.0</v>
      </c>
      <c r="M58" s="13">
        <v>3.0</v>
      </c>
      <c r="N58" s="36">
        <v>0.038180341186027617</v>
      </c>
      <c r="O58" s="13">
        <v>4.0</v>
      </c>
      <c r="P58" s="19">
        <v>1182.0</v>
      </c>
      <c r="Q58" s="19">
        <v>22.0</v>
      </c>
      <c r="R58" s="19">
        <v>23.0</v>
      </c>
      <c r="S58" s="19">
        <v>2.0</v>
      </c>
      <c r="T58" s="19">
        <v>23.0</v>
      </c>
      <c r="U58" s="19">
        <v>1.0</v>
      </c>
      <c r="V58" s="20">
        <v>0.0194585448392555</v>
      </c>
      <c r="W58" s="19">
        <v>4.0</v>
      </c>
    </row>
    <row r="59" ht="15.75" customHeight="1">
      <c r="E59" s="165" t="s">
        <v>16</v>
      </c>
      <c r="F59" s="165" t="s">
        <v>34</v>
      </c>
      <c r="G59" s="13">
        <v>555.0</v>
      </c>
      <c r="H59" s="35">
        <v>22.2</v>
      </c>
      <c r="I59" s="13">
        <v>43.0</v>
      </c>
      <c r="J59" s="13">
        <v>34.0</v>
      </c>
      <c r="K59" s="13">
        <v>39.0</v>
      </c>
      <c r="L59" s="13">
        <v>0.0</v>
      </c>
      <c r="M59" s="13">
        <v>0.0</v>
      </c>
      <c r="N59" s="36">
        <v>0.07747747747747748</v>
      </c>
      <c r="O59" s="13">
        <v>2.0</v>
      </c>
      <c r="P59" s="19">
        <v>775.0</v>
      </c>
      <c r="Q59" s="19">
        <v>39.0</v>
      </c>
      <c r="R59" s="19">
        <v>40.0</v>
      </c>
      <c r="S59" s="19">
        <v>3.0</v>
      </c>
      <c r="T59" s="19">
        <v>41.0</v>
      </c>
      <c r="U59" s="19">
        <v>1.0</v>
      </c>
      <c r="V59" s="20">
        <v>0.05161290322580645</v>
      </c>
      <c r="W59" s="19">
        <v>2.0</v>
      </c>
    </row>
    <row r="60" ht="15.75" customHeight="1">
      <c r="E60" s="165" t="s">
        <v>16</v>
      </c>
      <c r="F60" s="165" t="s">
        <v>25</v>
      </c>
      <c r="G60" s="13">
        <v>671.0</v>
      </c>
      <c r="H60" s="35">
        <v>26.84</v>
      </c>
      <c r="I60" s="13">
        <v>43.0</v>
      </c>
      <c r="J60" s="13">
        <v>35.0</v>
      </c>
      <c r="K60" s="13">
        <v>36.0</v>
      </c>
      <c r="L60" s="13">
        <v>3.0</v>
      </c>
      <c r="M60" s="13">
        <v>8.0</v>
      </c>
      <c r="N60" s="36">
        <v>0.06408345752608048</v>
      </c>
      <c r="O60" s="13">
        <v>2.0</v>
      </c>
      <c r="P60" s="19">
        <v>1182.0</v>
      </c>
      <c r="Q60" s="19">
        <v>22.0</v>
      </c>
      <c r="R60" s="19">
        <v>23.0</v>
      </c>
      <c r="S60" s="19">
        <v>2.0</v>
      </c>
      <c r="T60" s="19">
        <v>23.0</v>
      </c>
      <c r="U60" s="19">
        <v>1.0</v>
      </c>
      <c r="V60" s="20">
        <v>0.0194585448392555</v>
      </c>
      <c r="W60" s="19">
        <v>4.0</v>
      </c>
    </row>
    <row r="61" ht="15.75" customHeight="1">
      <c r="E61" s="165" t="s">
        <v>16</v>
      </c>
      <c r="F61" s="166" t="s">
        <v>26</v>
      </c>
      <c r="G61" s="13">
        <v>612.0</v>
      </c>
      <c r="H61" s="35">
        <v>24.48</v>
      </c>
      <c r="I61" s="13">
        <v>43.0</v>
      </c>
      <c r="J61" s="13">
        <v>24.0</v>
      </c>
      <c r="K61" s="13">
        <v>25.0</v>
      </c>
      <c r="L61" s="13">
        <v>1.0</v>
      </c>
      <c r="M61" s="13">
        <v>3.0</v>
      </c>
      <c r="N61" s="36">
        <v>0.07026143790849673</v>
      </c>
      <c r="O61" s="13">
        <v>3.0</v>
      </c>
      <c r="P61" s="19">
        <v>1315.0</v>
      </c>
      <c r="Q61" s="19">
        <v>46.0</v>
      </c>
      <c r="R61" s="19">
        <v>44.0</v>
      </c>
      <c r="S61" s="19">
        <v>3.0</v>
      </c>
      <c r="T61" s="19">
        <v>45.0</v>
      </c>
      <c r="U61" s="19">
        <v>1.0</v>
      </c>
      <c r="V61" s="20">
        <v>0.033460076045627375</v>
      </c>
      <c r="W61" s="19">
        <v>1.0</v>
      </c>
    </row>
    <row r="62" ht="15.75" customHeight="1">
      <c r="E62" s="165" t="s">
        <v>16</v>
      </c>
      <c r="F62" s="165" t="s">
        <v>22</v>
      </c>
      <c r="G62" s="13">
        <v>427.0</v>
      </c>
      <c r="H62" s="35">
        <v>17.08</v>
      </c>
      <c r="I62" s="13">
        <v>41.0</v>
      </c>
      <c r="J62" s="13">
        <v>40.0</v>
      </c>
      <c r="K62" s="13">
        <v>40.0</v>
      </c>
      <c r="L62" s="13">
        <v>2.0</v>
      </c>
      <c r="M62" s="13">
        <v>6.0</v>
      </c>
      <c r="N62" s="36">
        <v>0.09601873536299765</v>
      </c>
      <c r="O62" s="13">
        <v>2.0</v>
      </c>
      <c r="P62" s="19">
        <v>1315.0</v>
      </c>
      <c r="Q62" s="19">
        <v>46.0</v>
      </c>
      <c r="R62" s="19">
        <v>44.0</v>
      </c>
      <c r="S62" s="19">
        <v>3.0</v>
      </c>
      <c r="T62" s="19">
        <v>45.0</v>
      </c>
      <c r="U62" s="19">
        <v>1.0</v>
      </c>
      <c r="V62" s="20">
        <v>0.033460076045627375</v>
      </c>
      <c r="W62" s="19">
        <v>1.0</v>
      </c>
    </row>
    <row r="63" ht="15.75" customHeight="1">
      <c r="E63" s="165" t="s">
        <v>16</v>
      </c>
      <c r="F63" s="165" t="s">
        <v>31</v>
      </c>
      <c r="G63" s="13">
        <v>836.0</v>
      </c>
      <c r="H63" s="35">
        <v>33.44</v>
      </c>
      <c r="I63" s="13">
        <v>40.0</v>
      </c>
      <c r="J63" s="13">
        <v>33.0</v>
      </c>
      <c r="K63" s="13">
        <v>35.0</v>
      </c>
      <c r="L63" s="13">
        <v>0.0</v>
      </c>
      <c r="M63" s="13">
        <v>0.0</v>
      </c>
      <c r="N63" s="36">
        <v>0.04784688995215311</v>
      </c>
      <c r="O63" s="13">
        <v>2.0</v>
      </c>
      <c r="P63" s="19">
        <v>1182.0</v>
      </c>
      <c r="Q63" s="19">
        <v>22.0</v>
      </c>
      <c r="R63" s="19">
        <v>23.0</v>
      </c>
      <c r="S63" s="19">
        <v>2.0</v>
      </c>
      <c r="T63" s="19">
        <v>23.0</v>
      </c>
      <c r="U63" s="19">
        <v>1.0</v>
      </c>
      <c r="V63" s="20">
        <v>0.0194585448392555</v>
      </c>
      <c r="W63" s="19">
        <v>4.0</v>
      </c>
    </row>
    <row r="64" ht="15.75" customHeight="1">
      <c r="E64" s="165" t="s">
        <v>16</v>
      </c>
      <c r="F64" s="165" t="s">
        <v>39</v>
      </c>
      <c r="G64" s="13">
        <v>1017.0</v>
      </c>
      <c r="H64" s="35">
        <v>40.68</v>
      </c>
      <c r="I64" s="13">
        <v>38.0</v>
      </c>
      <c r="J64" s="13">
        <v>28.0</v>
      </c>
      <c r="K64" s="13">
        <v>31.0</v>
      </c>
      <c r="L64" s="13">
        <v>0.0</v>
      </c>
      <c r="M64" s="13">
        <v>0.0</v>
      </c>
      <c r="N64" s="36">
        <v>0.03736479842674533</v>
      </c>
      <c r="O64" s="13">
        <v>2.0</v>
      </c>
      <c r="P64" s="19">
        <v>1315.0</v>
      </c>
      <c r="Q64" s="19">
        <v>46.0</v>
      </c>
      <c r="R64" s="19">
        <v>44.0</v>
      </c>
      <c r="S64" s="19">
        <v>3.0</v>
      </c>
      <c r="T64" s="19">
        <v>45.0</v>
      </c>
      <c r="U64" s="19">
        <v>1.0</v>
      </c>
      <c r="V64" s="20">
        <v>0.033460076045627375</v>
      </c>
      <c r="W64" s="19">
        <v>1.0</v>
      </c>
    </row>
    <row r="65" ht="15.75" customHeight="1">
      <c r="E65" s="165" t="s">
        <v>16</v>
      </c>
      <c r="F65" s="165" t="s">
        <v>40</v>
      </c>
      <c r="G65" s="13">
        <v>959.0</v>
      </c>
      <c r="H65" s="35">
        <v>38.36</v>
      </c>
      <c r="I65" s="13">
        <v>37.0</v>
      </c>
      <c r="J65" s="13">
        <v>29.0</v>
      </c>
      <c r="K65" s="13">
        <v>34.0</v>
      </c>
      <c r="L65" s="13">
        <v>4.0</v>
      </c>
      <c r="M65" s="13">
        <v>10.0</v>
      </c>
      <c r="N65" s="36">
        <v>0.03858185610010428</v>
      </c>
      <c r="O65" s="13">
        <v>2.0</v>
      </c>
      <c r="P65" s="19">
        <v>1315.0</v>
      </c>
      <c r="Q65" s="19">
        <v>46.0</v>
      </c>
      <c r="R65" s="19">
        <v>44.0</v>
      </c>
      <c r="S65" s="19">
        <v>3.0</v>
      </c>
      <c r="T65" s="19">
        <v>45.0</v>
      </c>
      <c r="U65" s="19">
        <v>1.0</v>
      </c>
      <c r="V65" s="20">
        <v>0.033460076045627375</v>
      </c>
      <c r="W65" s="19">
        <v>1.0</v>
      </c>
    </row>
    <row r="66" ht="15.75" customHeight="1">
      <c r="E66" s="165" t="s">
        <v>16</v>
      </c>
      <c r="F66" s="166" t="s">
        <v>41</v>
      </c>
      <c r="G66" s="13">
        <v>1117.0</v>
      </c>
      <c r="H66" s="35">
        <v>44.68</v>
      </c>
      <c r="I66" s="13">
        <v>37.0</v>
      </c>
      <c r="J66" s="13">
        <v>29.0</v>
      </c>
      <c r="K66" s="13">
        <v>30.0</v>
      </c>
      <c r="L66" s="13">
        <v>1.0</v>
      </c>
      <c r="M66" s="13">
        <v>2.0</v>
      </c>
      <c r="N66" s="36">
        <v>0.03312444046553268</v>
      </c>
      <c r="O66" s="13">
        <v>2.0</v>
      </c>
      <c r="P66" s="19">
        <v>1182.0</v>
      </c>
      <c r="Q66" s="19">
        <v>22.0</v>
      </c>
      <c r="R66" s="19">
        <v>23.0</v>
      </c>
      <c r="S66" s="19">
        <v>2.0</v>
      </c>
      <c r="T66" s="19">
        <v>23.0</v>
      </c>
      <c r="U66" s="19">
        <v>1.0</v>
      </c>
      <c r="V66" s="20">
        <v>0.0194585448392555</v>
      </c>
      <c r="W66" s="19">
        <v>4.0</v>
      </c>
    </row>
    <row r="67" ht="15.75" customHeight="1">
      <c r="E67" s="165" t="s">
        <v>16</v>
      </c>
      <c r="F67" s="165" t="s">
        <v>43</v>
      </c>
      <c r="G67" s="13">
        <v>1395.0</v>
      </c>
      <c r="H67" s="35">
        <v>55.8</v>
      </c>
      <c r="I67" s="13">
        <v>36.0</v>
      </c>
      <c r="J67" s="13">
        <v>28.0</v>
      </c>
      <c r="K67" s="13">
        <v>28.0</v>
      </c>
      <c r="L67" s="13">
        <v>0.0</v>
      </c>
      <c r="M67" s="13">
        <v>0.0</v>
      </c>
      <c r="N67" s="36">
        <v>0.025806451612903226</v>
      </c>
      <c r="O67" s="13">
        <v>2.0</v>
      </c>
      <c r="P67" s="19">
        <v>595.0</v>
      </c>
      <c r="Q67" s="19">
        <v>31.0</v>
      </c>
      <c r="R67" s="19">
        <v>40.0</v>
      </c>
      <c r="S67" s="19">
        <v>11.0</v>
      </c>
      <c r="T67" s="19">
        <v>41.0</v>
      </c>
      <c r="U67" s="19">
        <v>4.0</v>
      </c>
      <c r="V67" s="20">
        <v>0.06722689075630252</v>
      </c>
      <c r="W67" s="19">
        <v>2.0</v>
      </c>
    </row>
    <row r="68" ht="15.75" customHeight="1">
      <c r="E68" s="165" t="s">
        <v>16</v>
      </c>
      <c r="F68" s="165" t="s">
        <v>44</v>
      </c>
      <c r="G68" s="13">
        <v>888.0</v>
      </c>
      <c r="H68" s="35">
        <v>35.52</v>
      </c>
      <c r="I68" s="13">
        <v>35.0</v>
      </c>
      <c r="J68" s="13">
        <v>33.0</v>
      </c>
      <c r="K68" s="13">
        <v>33.0</v>
      </c>
      <c r="L68" s="13">
        <v>0.0</v>
      </c>
      <c r="M68" s="13">
        <v>0.0</v>
      </c>
      <c r="N68" s="36">
        <v>0.039414414414414414</v>
      </c>
      <c r="O68" s="13">
        <v>2.0</v>
      </c>
      <c r="P68" s="19">
        <v>1182.0</v>
      </c>
      <c r="Q68" s="19">
        <v>22.0</v>
      </c>
      <c r="R68" s="19">
        <v>23.0</v>
      </c>
      <c r="S68" s="19">
        <v>2.0</v>
      </c>
      <c r="T68" s="19">
        <v>23.0</v>
      </c>
      <c r="U68" s="19">
        <v>1.0</v>
      </c>
      <c r="V68" s="20">
        <v>0.0194585448392555</v>
      </c>
      <c r="W68" s="19">
        <v>4.0</v>
      </c>
    </row>
    <row r="69" ht="15.75" customHeight="1">
      <c r="E69" s="165" t="s">
        <v>19</v>
      </c>
      <c r="F69" s="166" t="s">
        <v>42</v>
      </c>
      <c r="G69" s="13">
        <v>1056.0</v>
      </c>
      <c r="H69" s="35">
        <v>42.24</v>
      </c>
      <c r="I69" s="13">
        <v>35.0</v>
      </c>
      <c r="J69" s="13">
        <v>27.0</v>
      </c>
      <c r="K69" s="13">
        <v>30.0</v>
      </c>
      <c r="L69" s="13">
        <v>1.0</v>
      </c>
      <c r="M69" s="13">
        <v>3.0</v>
      </c>
      <c r="N69" s="36">
        <v>0.03314393939393939</v>
      </c>
      <c r="O69" s="13">
        <v>4.0</v>
      </c>
      <c r="P69" s="19">
        <v>1182.0</v>
      </c>
      <c r="Q69" s="19">
        <v>22.0</v>
      </c>
      <c r="R69" s="19">
        <v>23.0</v>
      </c>
      <c r="S69" s="19">
        <v>2.0</v>
      </c>
      <c r="T69" s="19">
        <v>23.0</v>
      </c>
      <c r="U69" s="19">
        <v>1.0</v>
      </c>
      <c r="V69" s="20">
        <v>0.0194585448392555</v>
      </c>
      <c r="W69" s="19">
        <v>4.0</v>
      </c>
    </row>
    <row r="70" ht="15.75" customHeight="1">
      <c r="E70" s="165" t="s">
        <v>19</v>
      </c>
      <c r="F70" s="165" t="s">
        <v>46</v>
      </c>
      <c r="G70" s="13">
        <v>1059.0</v>
      </c>
      <c r="H70" s="35">
        <v>42.36</v>
      </c>
      <c r="I70" s="13">
        <v>35.0</v>
      </c>
      <c r="J70" s="13">
        <v>25.0</v>
      </c>
      <c r="K70" s="13">
        <v>25.0</v>
      </c>
      <c r="L70" s="13">
        <v>1.0</v>
      </c>
      <c r="M70" s="13">
        <v>2.0</v>
      </c>
      <c r="N70" s="36">
        <v>0.033050047214353166</v>
      </c>
      <c r="O70" s="13">
        <v>4.0</v>
      </c>
      <c r="P70" s="19">
        <v>1315.0</v>
      </c>
      <c r="Q70" s="19">
        <v>46.0</v>
      </c>
      <c r="R70" s="19">
        <v>44.0</v>
      </c>
      <c r="S70" s="19">
        <v>3.0</v>
      </c>
      <c r="T70" s="19">
        <v>45.0</v>
      </c>
      <c r="U70" s="19">
        <v>1.0</v>
      </c>
      <c r="V70" s="20">
        <v>0.033460076045627375</v>
      </c>
      <c r="W70" s="19">
        <v>1.0</v>
      </c>
    </row>
    <row r="71" ht="15.75" customHeight="1">
      <c r="E71" s="165" t="s">
        <v>16</v>
      </c>
      <c r="F71" s="165" t="s">
        <v>36</v>
      </c>
      <c r="G71" s="13">
        <v>1070.0</v>
      </c>
      <c r="H71" s="35">
        <v>42.8</v>
      </c>
      <c r="I71" s="13">
        <v>33.0</v>
      </c>
      <c r="J71" s="13">
        <v>26.0</v>
      </c>
      <c r="K71" s="13">
        <v>27.0</v>
      </c>
      <c r="L71" s="13">
        <v>1.0</v>
      </c>
      <c r="M71" s="13">
        <v>3.0</v>
      </c>
      <c r="N71" s="36">
        <v>0.0308411214953271</v>
      </c>
      <c r="O71" s="13">
        <v>2.0</v>
      </c>
      <c r="P71" s="19">
        <v>1182.0</v>
      </c>
      <c r="Q71" s="19">
        <v>22.0</v>
      </c>
      <c r="R71" s="19">
        <v>23.0</v>
      </c>
      <c r="S71" s="19">
        <v>2.0</v>
      </c>
      <c r="T71" s="19">
        <v>23.0</v>
      </c>
      <c r="U71" s="19">
        <v>1.0</v>
      </c>
      <c r="V71" s="20">
        <v>0.0194585448392555</v>
      </c>
      <c r="W71" s="19">
        <v>4.0</v>
      </c>
    </row>
    <row r="72" ht="15.75" customHeight="1">
      <c r="E72" s="165" t="s">
        <v>16</v>
      </c>
      <c r="F72" s="165" t="s">
        <v>33</v>
      </c>
      <c r="G72" s="13">
        <v>850.0</v>
      </c>
      <c r="H72" s="35">
        <v>34.0</v>
      </c>
      <c r="I72" s="13">
        <v>32.0</v>
      </c>
      <c r="J72" s="13">
        <v>31.0</v>
      </c>
      <c r="K72" s="13">
        <v>31.0</v>
      </c>
      <c r="L72" s="13">
        <v>1.0</v>
      </c>
      <c r="M72" s="13">
        <v>2.0</v>
      </c>
      <c r="N72" s="36">
        <v>0.03764705882352941</v>
      </c>
      <c r="O72" s="13">
        <v>2.0</v>
      </c>
      <c r="P72" s="19">
        <v>873.0</v>
      </c>
      <c r="Q72" s="19">
        <v>71.0</v>
      </c>
      <c r="R72" s="19">
        <v>53.0</v>
      </c>
      <c r="S72" s="19">
        <v>3.0</v>
      </c>
      <c r="T72" s="19">
        <v>55.0</v>
      </c>
      <c r="U72" s="19">
        <v>1.0</v>
      </c>
      <c r="V72" s="20">
        <v>0.06071019473081329</v>
      </c>
      <c r="W72" s="19">
        <v>1.0</v>
      </c>
    </row>
    <row r="73" ht="15.75" customHeight="1">
      <c r="E73" s="165" t="s">
        <v>16</v>
      </c>
      <c r="F73" s="165" t="s">
        <v>48</v>
      </c>
      <c r="G73" s="13">
        <v>764.0</v>
      </c>
      <c r="H73" s="35">
        <v>30.56</v>
      </c>
      <c r="I73" s="13">
        <v>31.0</v>
      </c>
      <c r="J73" s="13">
        <v>26.0</v>
      </c>
      <c r="K73" s="13">
        <v>28.0</v>
      </c>
      <c r="L73" s="13">
        <v>1.0</v>
      </c>
      <c r="M73" s="13">
        <v>3.0</v>
      </c>
      <c r="N73" s="36">
        <v>0.04057591623036649</v>
      </c>
      <c r="O73" s="13">
        <v>2.0</v>
      </c>
      <c r="P73" s="19">
        <v>873.0</v>
      </c>
      <c r="Q73" s="19">
        <v>71.0</v>
      </c>
      <c r="R73" s="19">
        <v>53.0</v>
      </c>
      <c r="S73" s="19">
        <v>3.0</v>
      </c>
      <c r="T73" s="19">
        <v>55.0</v>
      </c>
      <c r="U73" s="19">
        <v>1.0</v>
      </c>
      <c r="V73" s="20">
        <v>0.06071019473081329</v>
      </c>
      <c r="W73" s="19">
        <v>1.0</v>
      </c>
    </row>
    <row r="74" ht="15.75" customHeight="1">
      <c r="E74" s="165" t="s">
        <v>19</v>
      </c>
      <c r="F74" s="166" t="s">
        <v>37</v>
      </c>
      <c r="G74" s="13">
        <v>1383.0</v>
      </c>
      <c r="H74" s="35">
        <v>55.32</v>
      </c>
      <c r="I74" s="13">
        <v>31.0</v>
      </c>
      <c r="J74" s="13">
        <v>29.0</v>
      </c>
      <c r="K74" s="13">
        <v>29.0</v>
      </c>
      <c r="L74" s="13">
        <v>1.0</v>
      </c>
      <c r="M74" s="13">
        <v>2.0</v>
      </c>
      <c r="N74" s="36">
        <v>0.022415039768618944</v>
      </c>
      <c r="O74" s="13">
        <v>4.0</v>
      </c>
      <c r="P74" s="19">
        <v>1182.0</v>
      </c>
      <c r="Q74" s="19">
        <v>22.0</v>
      </c>
      <c r="R74" s="19">
        <v>23.0</v>
      </c>
      <c r="S74" s="19">
        <v>2.0</v>
      </c>
      <c r="T74" s="19">
        <v>23.0</v>
      </c>
      <c r="U74" s="19">
        <v>1.0</v>
      </c>
      <c r="V74" s="20">
        <v>0.0194585448392555</v>
      </c>
      <c r="W74" s="19">
        <v>4.0</v>
      </c>
    </row>
    <row r="75" ht="15.75" customHeight="1">
      <c r="E75" s="165" t="s">
        <v>16</v>
      </c>
      <c r="F75" s="166" t="s">
        <v>35</v>
      </c>
      <c r="G75" s="13">
        <v>1733.0</v>
      </c>
      <c r="H75" s="35">
        <v>69.32</v>
      </c>
      <c r="I75" s="13">
        <v>30.0</v>
      </c>
      <c r="J75" s="13">
        <v>22.0</v>
      </c>
      <c r="K75" s="13">
        <v>23.0</v>
      </c>
      <c r="L75" s="13">
        <v>0.0</v>
      </c>
      <c r="M75" s="13">
        <v>0.0</v>
      </c>
      <c r="N75" s="36">
        <v>0.017311021350259664</v>
      </c>
      <c r="O75" s="13">
        <v>3.0</v>
      </c>
      <c r="P75" s="19">
        <v>1315.0</v>
      </c>
      <c r="Q75" s="19">
        <v>46.0</v>
      </c>
      <c r="R75" s="19">
        <v>44.0</v>
      </c>
      <c r="S75" s="19">
        <v>3.0</v>
      </c>
      <c r="T75" s="19">
        <v>45.0</v>
      </c>
      <c r="U75" s="19">
        <v>1.0</v>
      </c>
      <c r="V75" s="20">
        <v>0.033460076045627375</v>
      </c>
      <c r="W75" s="19">
        <v>1.0</v>
      </c>
    </row>
    <row r="76" ht="15.75" customHeight="1">
      <c r="E76" s="165" t="s">
        <v>19</v>
      </c>
      <c r="F76" s="165" t="s">
        <v>50</v>
      </c>
      <c r="G76" s="13">
        <v>1148.0</v>
      </c>
      <c r="H76" s="35">
        <v>45.92</v>
      </c>
      <c r="I76" s="13">
        <v>30.0</v>
      </c>
      <c r="J76" s="13">
        <v>22.0</v>
      </c>
      <c r="K76" s="13">
        <v>22.0</v>
      </c>
      <c r="L76" s="13">
        <v>1.0</v>
      </c>
      <c r="M76" s="13">
        <v>2.0</v>
      </c>
      <c r="N76" s="36">
        <v>0.02613240418118467</v>
      </c>
      <c r="O76" s="13">
        <v>4.0</v>
      </c>
      <c r="P76" s="19">
        <v>1315.0</v>
      </c>
      <c r="Q76" s="19">
        <v>46.0</v>
      </c>
      <c r="R76" s="19">
        <v>44.0</v>
      </c>
      <c r="S76" s="19">
        <v>3.0</v>
      </c>
      <c r="T76" s="19">
        <v>45.0</v>
      </c>
      <c r="U76" s="19">
        <v>1.0</v>
      </c>
      <c r="V76" s="20">
        <v>0.033460076045627375</v>
      </c>
      <c r="W76" s="19">
        <v>1.0</v>
      </c>
    </row>
    <row r="77" ht="15.75" customHeight="1">
      <c r="E77" s="165" t="s">
        <v>19</v>
      </c>
      <c r="F77" s="166" t="s">
        <v>45</v>
      </c>
      <c r="G77" s="13">
        <v>1459.0</v>
      </c>
      <c r="H77" s="35">
        <v>58.36</v>
      </c>
      <c r="I77" s="13">
        <v>29.0</v>
      </c>
      <c r="J77" s="13">
        <v>25.0</v>
      </c>
      <c r="K77" s="13">
        <v>25.0</v>
      </c>
      <c r="L77" s="13">
        <v>1.0</v>
      </c>
      <c r="M77" s="13">
        <v>1.0</v>
      </c>
      <c r="N77" s="36">
        <v>0.019876627827278958</v>
      </c>
      <c r="O77" s="13">
        <v>4.0</v>
      </c>
      <c r="P77" s="19">
        <v>595.0</v>
      </c>
      <c r="Q77" s="19">
        <v>31.0</v>
      </c>
      <c r="R77" s="19">
        <v>40.0</v>
      </c>
      <c r="S77" s="19">
        <v>11.0</v>
      </c>
      <c r="T77" s="19">
        <v>41.0</v>
      </c>
      <c r="U77" s="19">
        <v>4.0</v>
      </c>
      <c r="V77" s="20">
        <v>0.06722689075630252</v>
      </c>
      <c r="W77" s="19">
        <v>2.0</v>
      </c>
    </row>
    <row r="78" ht="18.0" customHeight="1">
      <c r="E78" s="165" t="s">
        <v>16</v>
      </c>
      <c r="F78" s="165" t="s">
        <v>49</v>
      </c>
      <c r="G78" s="13">
        <v>595.0</v>
      </c>
      <c r="H78" s="35">
        <v>23.8</v>
      </c>
      <c r="I78" s="13">
        <v>27.0</v>
      </c>
      <c r="J78" s="13">
        <v>23.0</v>
      </c>
      <c r="K78" s="13">
        <v>23.0</v>
      </c>
      <c r="L78" s="13">
        <v>1.0</v>
      </c>
      <c r="M78" s="13">
        <v>3.0</v>
      </c>
      <c r="N78" s="36">
        <v>0.0453781512605042</v>
      </c>
      <c r="O78" s="13">
        <v>3.0</v>
      </c>
      <c r="P78" s="19">
        <v>716.0</v>
      </c>
      <c r="Q78" s="19">
        <v>28.0</v>
      </c>
      <c r="R78" s="19">
        <v>25.0</v>
      </c>
      <c r="S78" s="19">
        <v>3.0</v>
      </c>
      <c r="T78" s="19">
        <v>25.0</v>
      </c>
      <c r="U78" s="19">
        <v>1.0</v>
      </c>
      <c r="V78" s="20">
        <v>0.034916201117318434</v>
      </c>
      <c r="W78" s="19">
        <v>3.0</v>
      </c>
    </row>
    <row r="79" ht="15.75" customHeight="1">
      <c r="E79" s="165" t="s">
        <v>19</v>
      </c>
      <c r="F79" s="165" t="s">
        <v>51</v>
      </c>
      <c r="G79" s="13">
        <v>770.0</v>
      </c>
      <c r="H79" s="35">
        <v>30.8</v>
      </c>
      <c r="I79" s="13">
        <v>26.0</v>
      </c>
      <c r="J79" s="13">
        <v>19.0</v>
      </c>
      <c r="K79" s="13">
        <v>20.0</v>
      </c>
      <c r="L79" s="13">
        <v>0.0</v>
      </c>
      <c r="M79" s="13">
        <v>0.0</v>
      </c>
      <c r="N79" s="36">
        <v>0.033766233766233764</v>
      </c>
      <c r="O79" s="13">
        <v>4.0</v>
      </c>
      <c r="P79" s="19">
        <v>1315.0</v>
      </c>
      <c r="Q79" s="19">
        <v>46.0</v>
      </c>
      <c r="R79" s="19">
        <v>44.0</v>
      </c>
      <c r="S79" s="19">
        <v>3.0</v>
      </c>
      <c r="T79" s="19">
        <v>45.0</v>
      </c>
      <c r="U79" s="19">
        <v>1.0</v>
      </c>
      <c r="V79" s="20">
        <v>0.033460076045627375</v>
      </c>
      <c r="W79" s="19">
        <v>1.0</v>
      </c>
    </row>
    <row r="80" ht="15.75" customHeight="1">
      <c r="E80" s="165" t="s">
        <v>19</v>
      </c>
      <c r="F80" s="165" t="s">
        <v>52</v>
      </c>
      <c r="G80" s="13">
        <v>596.0</v>
      </c>
      <c r="H80" s="35">
        <v>23.84</v>
      </c>
      <c r="I80" s="13">
        <v>26.0</v>
      </c>
      <c r="J80" s="13">
        <v>20.0</v>
      </c>
      <c r="K80" s="13">
        <v>20.0</v>
      </c>
      <c r="L80" s="13">
        <v>4.0</v>
      </c>
      <c r="M80" s="13">
        <v>12.0</v>
      </c>
      <c r="N80" s="36">
        <v>0.0436241610738255</v>
      </c>
      <c r="O80" s="13">
        <v>4.0</v>
      </c>
      <c r="P80" s="19">
        <v>1315.0</v>
      </c>
      <c r="Q80" s="19">
        <v>46.0</v>
      </c>
      <c r="R80" s="19">
        <v>44.0</v>
      </c>
      <c r="S80" s="19">
        <v>3.0</v>
      </c>
      <c r="T80" s="19">
        <v>45.0</v>
      </c>
      <c r="U80" s="19">
        <v>1.0</v>
      </c>
      <c r="V80" s="20">
        <v>0.033460076045627375</v>
      </c>
      <c r="W80" s="19">
        <v>1.0</v>
      </c>
    </row>
    <row r="81" ht="15.75" customHeight="1">
      <c r="E81" s="165" t="s">
        <v>19</v>
      </c>
      <c r="F81" s="166" t="s">
        <v>53</v>
      </c>
      <c r="G81" s="13">
        <v>1027.0</v>
      </c>
      <c r="H81" s="35">
        <v>41.08</v>
      </c>
      <c r="I81" s="13">
        <v>25.0</v>
      </c>
      <c r="J81" s="13">
        <v>20.0</v>
      </c>
      <c r="K81" s="13">
        <v>21.0</v>
      </c>
      <c r="L81" s="13">
        <v>2.0</v>
      </c>
      <c r="M81" s="13">
        <v>4.0</v>
      </c>
      <c r="N81" s="36">
        <v>0.024342745861733205</v>
      </c>
      <c r="O81" s="13">
        <v>4.0</v>
      </c>
      <c r="P81" s="19" t="e">
        <v>#N/A</v>
      </c>
      <c r="Q81" s="19" t="e">
        <v>#N/A</v>
      </c>
      <c r="R81" s="19" t="e">
        <v>#N/A</v>
      </c>
      <c r="S81" s="19" t="e">
        <v>#N/A</v>
      </c>
      <c r="T81" s="19" t="e">
        <v>#N/A</v>
      </c>
      <c r="U81" s="19" t="e">
        <v>#N/A</v>
      </c>
      <c r="V81" s="20" t="e">
        <v>#N/A</v>
      </c>
      <c r="W81" s="19" t="e">
        <v>#N/A</v>
      </c>
    </row>
    <row r="82" ht="15.75" customHeight="1">
      <c r="E82" s="165" t="s">
        <v>19</v>
      </c>
      <c r="F82" s="167" t="s">
        <v>54</v>
      </c>
      <c r="G82" s="13">
        <v>1326.0</v>
      </c>
      <c r="H82" s="35">
        <v>53.04</v>
      </c>
      <c r="I82" s="13">
        <v>24.0</v>
      </c>
      <c r="J82" s="13">
        <v>20.0</v>
      </c>
      <c r="K82" s="13">
        <v>20.0</v>
      </c>
      <c r="L82" s="13">
        <v>1.0</v>
      </c>
      <c r="M82" s="13">
        <v>3.0</v>
      </c>
      <c r="N82" s="36">
        <v>0.01809954751131222</v>
      </c>
      <c r="O82" s="13">
        <v>4.0</v>
      </c>
      <c r="P82" s="19">
        <v>595.0</v>
      </c>
      <c r="Q82" s="19">
        <v>31.0</v>
      </c>
      <c r="R82" s="19">
        <v>40.0</v>
      </c>
      <c r="S82" s="19">
        <v>11.0</v>
      </c>
      <c r="T82" s="19">
        <v>41.0</v>
      </c>
      <c r="U82" s="19">
        <v>4.0</v>
      </c>
      <c r="V82" s="20">
        <v>0.06722689075630252</v>
      </c>
      <c r="W82" s="19">
        <v>2.0</v>
      </c>
    </row>
    <row r="83" ht="15.75" customHeight="1">
      <c r="E83" s="165" t="s">
        <v>19</v>
      </c>
      <c r="F83" s="166" t="s">
        <v>38</v>
      </c>
      <c r="G83" s="13">
        <v>514.0</v>
      </c>
      <c r="H83" s="35">
        <v>20.56</v>
      </c>
      <c r="I83" s="13">
        <v>21.0</v>
      </c>
      <c r="J83" s="13">
        <v>23.0</v>
      </c>
      <c r="K83" s="13">
        <v>23.0</v>
      </c>
      <c r="L83" s="13">
        <v>0.0</v>
      </c>
      <c r="M83" s="13">
        <v>0.0</v>
      </c>
      <c r="N83" s="36">
        <v>0.04085603112840467</v>
      </c>
      <c r="O83" s="13">
        <v>2.0</v>
      </c>
      <c r="P83" s="19" t="e">
        <v>#N/A</v>
      </c>
      <c r="Q83" s="19" t="e">
        <v>#N/A</v>
      </c>
      <c r="R83" s="19" t="e">
        <v>#N/A</v>
      </c>
      <c r="S83" s="19" t="e">
        <v>#N/A</v>
      </c>
      <c r="T83" s="19" t="e">
        <v>#N/A</v>
      </c>
      <c r="U83" s="19" t="e">
        <v>#N/A</v>
      </c>
      <c r="V83" s="20" t="e">
        <v>#N/A</v>
      </c>
      <c r="W83" s="19" t="e">
        <v>#N/A</v>
      </c>
    </row>
    <row r="84" ht="15.75" customHeight="1">
      <c r="E84" s="165" t="s">
        <v>16</v>
      </c>
      <c r="F84" s="165" t="s">
        <v>47</v>
      </c>
      <c r="G84" s="13">
        <v>154.0</v>
      </c>
      <c r="H84" s="35">
        <v>6.16</v>
      </c>
      <c r="I84" s="13">
        <v>14.0</v>
      </c>
      <c r="J84" s="13">
        <v>15.0</v>
      </c>
      <c r="K84" s="13">
        <v>15.0</v>
      </c>
      <c r="L84" s="13">
        <v>0.0</v>
      </c>
      <c r="M84" s="13">
        <v>0.0</v>
      </c>
      <c r="N84" s="36">
        <v>0.09090909090909091</v>
      </c>
      <c r="O84" s="13">
        <v>4.0</v>
      </c>
      <c r="P84" s="19" t="e">
        <v>#N/A</v>
      </c>
      <c r="Q84" s="19" t="e">
        <v>#N/A</v>
      </c>
      <c r="R84" s="19" t="e">
        <v>#N/A</v>
      </c>
      <c r="S84" s="19" t="e">
        <v>#N/A</v>
      </c>
      <c r="T84" s="19" t="e">
        <v>#N/A</v>
      </c>
      <c r="U84" s="19" t="e">
        <v>#N/A</v>
      </c>
      <c r="V84" s="20" t="e">
        <v>#N/A</v>
      </c>
      <c r="W84" s="19" t="e">
        <v>#N/A</v>
      </c>
    </row>
    <row r="85" ht="15.75" customHeight="1">
      <c r="E85" s="165" t="s">
        <v>19</v>
      </c>
      <c r="F85" s="165" t="s">
        <v>56</v>
      </c>
      <c r="G85" s="13">
        <v>458.0</v>
      </c>
      <c r="H85" s="35">
        <v>18.32</v>
      </c>
      <c r="I85" s="13">
        <v>12.0</v>
      </c>
      <c r="J85" s="13">
        <v>11.0</v>
      </c>
      <c r="K85" s="13">
        <v>11.0</v>
      </c>
      <c r="L85" s="13">
        <v>0.0</v>
      </c>
      <c r="M85" s="13">
        <v>0.0</v>
      </c>
      <c r="N85" s="36">
        <v>0.026200873362445413</v>
      </c>
      <c r="O85" s="13">
        <v>4.0</v>
      </c>
      <c r="P85" s="19">
        <v>595.0</v>
      </c>
      <c r="Q85" s="19">
        <v>31.0</v>
      </c>
      <c r="R85" s="19">
        <v>40.0</v>
      </c>
      <c r="S85" s="19">
        <v>11.0</v>
      </c>
      <c r="T85" s="19">
        <v>41.0</v>
      </c>
      <c r="U85" s="19">
        <v>4.0</v>
      </c>
      <c r="V85" s="20">
        <v>0.06722689075630252</v>
      </c>
      <c r="W85" s="19">
        <v>2.0</v>
      </c>
    </row>
    <row r="86" ht="15.75" customHeight="1">
      <c r="E86" s="165" t="s">
        <v>19</v>
      </c>
      <c r="F86" s="165" t="s">
        <v>57</v>
      </c>
      <c r="G86" s="13">
        <v>0.0</v>
      </c>
      <c r="H86" s="35">
        <v>0.0</v>
      </c>
      <c r="I86" s="13">
        <v>3.0</v>
      </c>
      <c r="J86" s="13">
        <v>1.0</v>
      </c>
      <c r="K86" s="13">
        <v>1.0</v>
      </c>
      <c r="L86" s="13">
        <v>0.0</v>
      </c>
      <c r="M86" s="13">
        <v>0.0</v>
      </c>
      <c r="N86" s="36">
        <v>0.0</v>
      </c>
      <c r="O86" s="13">
        <v>4.0</v>
      </c>
      <c r="P86" s="19">
        <v>1315.0</v>
      </c>
      <c r="Q86" s="19">
        <v>46.0</v>
      </c>
      <c r="R86" s="19">
        <v>44.0</v>
      </c>
      <c r="S86" s="19">
        <v>3.0</v>
      </c>
      <c r="T86" s="19">
        <v>45.0</v>
      </c>
      <c r="U86" s="19">
        <v>1.0</v>
      </c>
      <c r="V86" s="20">
        <v>0.033460076045627375</v>
      </c>
      <c r="W86" s="19">
        <v>1.0</v>
      </c>
    </row>
    <row r="87" ht="15.75" customHeight="1">
      <c r="E87" s="168" t="s">
        <v>207</v>
      </c>
      <c r="F87" s="44" t="s">
        <v>208</v>
      </c>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F$47:$V$83"/>
  <customSheetViews>
    <customSheetView guid="{0F4F9DCB-5B4C-45A5-A570-C803B034AC2E}" filter="1" showAutoFilter="1">
      <autoFilter ref="$F$7:$AB$26"/>
      <extLst>
        <ext uri="GoogleSheetsCustomDataVersion1">
          <go:sheetsCustomData xmlns:go="http://customooxmlschemas.google.com/" filterViewId="2004904088"/>
        </ext>
      </extLst>
    </customSheetView>
    <customSheetView guid="{A4C2A468-0581-4164-B1DD-FF740B5AE284}" filter="1" showAutoFilter="1">
      <autoFilter ref="$F$7:$AB$26"/>
      <extLst>
        <ext uri="GoogleSheetsCustomDataVersion1">
          <go:sheetsCustomData xmlns:go="http://customooxmlschemas.google.com/" filterViewId="2072990552"/>
        </ext>
      </extLst>
    </customSheetView>
  </customSheetViews>
  <mergeCells count="6">
    <mergeCell ref="F2:O2"/>
    <mergeCell ref="F30:G30"/>
    <mergeCell ref="I30:J30"/>
    <mergeCell ref="L30:M30"/>
    <mergeCell ref="E46:O46"/>
    <mergeCell ref="P46:W46"/>
  </mergeCells>
  <printOptions/>
  <pageMargins bottom="0.75" footer="0.0" header="0.0" left="0.7" right="0.7" top="0.75"/>
  <pageSetup orientation="landscape"/>
  <drawing r:id="rId1"/>
  <tableParts count="1">
    <tablePart r:id="rId3"/>
  </tableParts>
  <extLst>
    <ext uri="{3A4CF648-6AED-40f4-86FF-DC5316D8AED3}">
      <x14:slicerList>
        <x14:slicer r:id="rId4"/>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86"/>
    <col customWidth="1" min="2" max="2" width="6.0"/>
    <col customWidth="1" min="3" max="3" width="13.14"/>
    <col customWidth="1" min="4" max="4" width="10.86"/>
    <col customWidth="1" min="5" max="5" width="21.14"/>
    <col customWidth="1" min="6" max="6" width="32.86"/>
    <col customWidth="1" min="7" max="7" width="17.71"/>
    <col customWidth="1" min="8" max="8" width="28.43"/>
    <col customWidth="1" min="9" max="9" width="25.86"/>
    <col customWidth="1" min="10" max="10" width="22.43"/>
    <col customWidth="1" min="11" max="11" width="27.57"/>
    <col customWidth="1" min="12" max="12" width="26.14"/>
    <col customWidth="1" min="13" max="13" width="22.57"/>
    <col customWidth="1" min="14" max="14" width="24.0"/>
    <col customWidth="1" min="15" max="15" width="32.29"/>
    <col customWidth="1" min="16" max="16" width="21.14"/>
    <col customWidth="1" min="17" max="17" width="22.43"/>
    <col customWidth="1" min="18" max="18" width="30.86"/>
    <col customWidth="1" min="19" max="19" width="32.57"/>
    <col customWidth="1" min="20" max="20" width="41.57"/>
    <col customWidth="1" min="21" max="21" width="30.71"/>
    <col customWidth="1" min="22" max="22" width="30.0"/>
    <col customWidth="1" min="23" max="23" width="24.57"/>
    <col customWidth="1" min="24" max="24" width="28.14"/>
    <col customWidth="1" min="25" max="25" width="26.43"/>
    <col customWidth="1" min="26" max="26" width="24.71"/>
    <col customWidth="1" hidden="1" min="27" max="27" width="22.43"/>
    <col customWidth="1" hidden="1" min="28" max="28" width="24.43"/>
  </cols>
  <sheetData>
    <row r="2">
      <c r="B2" s="92" t="s">
        <v>209</v>
      </c>
      <c r="C2" s="93">
        <f>TODAY()</f>
        <v>46218</v>
      </c>
      <c r="F2" s="91" t="s">
        <v>107</v>
      </c>
    </row>
    <row r="3">
      <c r="F3" s="92"/>
    </row>
    <row r="4">
      <c r="F4" s="92"/>
      <c r="J4" s="1" t="s">
        <v>210</v>
      </c>
    </row>
    <row r="5">
      <c r="F5" s="169" t="s">
        <v>109</v>
      </c>
      <c r="G5" s="100" t="s">
        <v>0</v>
      </c>
      <c r="I5" s="44" t="s">
        <v>211</v>
      </c>
      <c r="J5" s="100">
        <v>1012.0</v>
      </c>
      <c r="M5" s="44" t="s">
        <v>212</v>
      </c>
      <c r="N5" s="98">
        <v>1060.0</v>
      </c>
      <c r="P5" s="44" t="s">
        <v>213</v>
      </c>
      <c r="Q5" s="170">
        <f>J5/T5</f>
        <v>0.8877192982</v>
      </c>
      <c r="S5" s="1" t="s">
        <v>115</v>
      </c>
      <c r="T5" s="171">
        <v>1140.0</v>
      </c>
    </row>
    <row r="6">
      <c r="I6" s="172" t="s">
        <v>214</v>
      </c>
      <c r="J6" s="172"/>
      <c r="M6" s="173" t="s">
        <v>116</v>
      </c>
      <c r="N6" s="104">
        <f>J5/N5-1</f>
        <v>-0.04528301887</v>
      </c>
      <c r="T6" s="44"/>
    </row>
    <row r="7">
      <c r="F7" s="92" t="s">
        <v>117</v>
      </c>
    </row>
    <row r="8">
      <c r="F8" s="174" t="s">
        <v>118</v>
      </c>
      <c r="G8" s="175" t="s">
        <v>215</v>
      </c>
      <c r="H8" s="175" t="s">
        <v>120</v>
      </c>
      <c r="I8" s="175" t="s">
        <v>121</v>
      </c>
      <c r="J8" s="175" t="s">
        <v>122</v>
      </c>
      <c r="K8" s="175" t="s">
        <v>123</v>
      </c>
      <c r="L8" s="175" t="s">
        <v>124</v>
      </c>
      <c r="M8" s="175" t="s">
        <v>125</v>
      </c>
      <c r="N8" s="175" t="s">
        <v>126</v>
      </c>
      <c r="O8" s="175" t="s">
        <v>127</v>
      </c>
      <c r="P8" s="175" t="s">
        <v>128</v>
      </c>
      <c r="Q8" s="175" t="s">
        <v>129</v>
      </c>
      <c r="R8" s="175" t="s">
        <v>130</v>
      </c>
      <c r="S8" s="175" t="s">
        <v>216</v>
      </c>
      <c r="T8" s="175" t="s">
        <v>132</v>
      </c>
      <c r="U8" s="175" t="s">
        <v>217</v>
      </c>
      <c r="V8" s="175" t="s">
        <v>218</v>
      </c>
      <c r="W8" s="175" t="s">
        <v>135</v>
      </c>
      <c r="X8" s="175" t="s">
        <v>219</v>
      </c>
      <c r="Y8" s="175" t="s">
        <v>137</v>
      </c>
      <c r="Z8" s="175" t="s">
        <v>138</v>
      </c>
      <c r="AA8" s="176" t="s">
        <v>139</v>
      </c>
      <c r="AB8" s="175" t="s">
        <v>220</v>
      </c>
    </row>
    <row r="9" hidden="1">
      <c r="F9" s="177">
        <v>2025.0</v>
      </c>
      <c r="G9" s="178">
        <v>45778.0</v>
      </c>
      <c r="H9" s="179">
        <v>8000.0</v>
      </c>
      <c r="I9" s="179">
        <v>8000.0</v>
      </c>
      <c r="J9" s="180" t="s">
        <v>141</v>
      </c>
      <c r="K9" s="181">
        <v>23971.0</v>
      </c>
      <c r="L9" s="180">
        <v>3.0</v>
      </c>
      <c r="M9" s="179">
        <v>2934.0</v>
      </c>
      <c r="N9" s="182">
        <v>0.37</v>
      </c>
      <c r="O9" s="179">
        <v>804.0</v>
      </c>
      <c r="P9" s="180" t="s">
        <v>221</v>
      </c>
      <c r="Q9" s="180">
        <v>0.0</v>
      </c>
      <c r="R9" s="180" t="s">
        <v>145</v>
      </c>
      <c r="S9" s="180"/>
      <c r="T9" s="180" t="s">
        <v>145</v>
      </c>
      <c r="U9" s="180">
        <v>113.0</v>
      </c>
      <c r="V9" s="180" t="s">
        <v>222</v>
      </c>
      <c r="W9" s="180">
        <v>76.0</v>
      </c>
      <c r="X9" s="180" t="s">
        <v>223</v>
      </c>
      <c r="Y9" s="180">
        <v>127.0</v>
      </c>
      <c r="Z9" s="180" t="s">
        <v>224</v>
      </c>
      <c r="AA9" s="183">
        <v>203.0</v>
      </c>
      <c r="AB9" s="184">
        <f>P2P!$AA9/P2P!$M9</f>
        <v>0.06918882072</v>
      </c>
    </row>
    <row r="10" hidden="1">
      <c r="F10" s="177">
        <v>2025.0</v>
      </c>
      <c r="G10" s="178">
        <v>45809.0</v>
      </c>
      <c r="H10" s="179">
        <v>15000.0</v>
      </c>
      <c r="I10" s="179">
        <v>15000.0</v>
      </c>
      <c r="J10" s="180" t="s">
        <v>141</v>
      </c>
      <c r="K10" s="185">
        <v>30472.0</v>
      </c>
      <c r="L10" s="180">
        <v>2.03</v>
      </c>
      <c r="M10" s="179">
        <v>6534.0</v>
      </c>
      <c r="N10" s="180" t="s">
        <v>171</v>
      </c>
      <c r="O10" s="179">
        <v>2164.0</v>
      </c>
      <c r="P10" s="180" t="s">
        <v>225</v>
      </c>
      <c r="Q10" s="180">
        <v>0.0</v>
      </c>
      <c r="R10" s="180" t="s">
        <v>145</v>
      </c>
      <c r="S10" s="180"/>
      <c r="T10" s="180" t="s">
        <v>145</v>
      </c>
      <c r="U10" s="180">
        <v>212.0</v>
      </c>
      <c r="V10" s="180" t="s">
        <v>144</v>
      </c>
      <c r="W10" s="180">
        <v>179.0</v>
      </c>
      <c r="X10" s="180" t="s">
        <v>226</v>
      </c>
      <c r="Y10" s="180">
        <v>329.0</v>
      </c>
      <c r="Z10" s="180" t="s">
        <v>227</v>
      </c>
      <c r="AA10" s="183">
        <v>508.0</v>
      </c>
      <c r="AB10" s="184">
        <f>P2P!$AA10/P2P!$M10</f>
        <v>0.07774716866</v>
      </c>
    </row>
    <row r="11" hidden="1">
      <c r="F11" s="177">
        <v>2025.0</v>
      </c>
      <c r="G11" s="178">
        <v>45839.0</v>
      </c>
      <c r="H11" s="179">
        <v>15000.0</v>
      </c>
      <c r="I11" s="179">
        <v>15000.0</v>
      </c>
      <c r="J11" s="180" t="s">
        <v>141</v>
      </c>
      <c r="K11" s="185">
        <v>46285.0</v>
      </c>
      <c r="L11" s="180">
        <v>3.09</v>
      </c>
      <c r="M11" s="179">
        <v>8808.0</v>
      </c>
      <c r="N11" s="180" t="s">
        <v>228</v>
      </c>
      <c r="O11" s="179">
        <v>2832.0</v>
      </c>
      <c r="P11" s="180" t="s">
        <v>229</v>
      </c>
      <c r="Q11" s="180">
        <v>0.0</v>
      </c>
      <c r="R11" s="180" t="s">
        <v>145</v>
      </c>
      <c r="S11" s="180"/>
      <c r="T11" s="180" t="s">
        <v>145</v>
      </c>
      <c r="U11" s="180">
        <v>126.0</v>
      </c>
      <c r="V11" s="180" t="s">
        <v>174</v>
      </c>
      <c r="W11" s="180">
        <v>135.0</v>
      </c>
      <c r="X11" s="180" t="s">
        <v>230</v>
      </c>
      <c r="Y11" s="180">
        <v>500.0</v>
      </c>
      <c r="Z11" s="180" t="s">
        <v>231</v>
      </c>
      <c r="AA11" s="183">
        <v>635.0</v>
      </c>
      <c r="AB11" s="184">
        <f>P2P!$AA11/P2P!$M11</f>
        <v>0.07209355132</v>
      </c>
    </row>
    <row r="12" hidden="1">
      <c r="F12" s="177">
        <v>2025.0</v>
      </c>
      <c r="G12" s="178">
        <v>45870.0</v>
      </c>
      <c r="H12" s="179">
        <v>21000.0</v>
      </c>
      <c r="I12" s="179">
        <v>21000.0</v>
      </c>
      <c r="J12" s="180" t="s">
        <v>141</v>
      </c>
      <c r="K12" s="181">
        <v>55958.0</v>
      </c>
      <c r="L12" s="180">
        <v>2.66</v>
      </c>
      <c r="M12" s="179">
        <v>11871.0</v>
      </c>
      <c r="N12" s="180" t="s">
        <v>232</v>
      </c>
      <c r="O12" s="179">
        <v>4149.0</v>
      </c>
      <c r="P12" s="180" t="s">
        <v>233</v>
      </c>
      <c r="Q12" s="180">
        <v>0.0</v>
      </c>
      <c r="R12" s="180" t="s">
        <v>145</v>
      </c>
      <c r="S12" s="180">
        <v>106.0</v>
      </c>
      <c r="T12" s="180" t="s">
        <v>160</v>
      </c>
      <c r="U12" s="180">
        <v>95.0</v>
      </c>
      <c r="V12" s="180" t="s">
        <v>173</v>
      </c>
      <c r="W12" s="180">
        <v>66.0</v>
      </c>
      <c r="X12" s="180" t="s">
        <v>161</v>
      </c>
      <c r="Y12" s="180">
        <v>454.0</v>
      </c>
      <c r="Z12" s="180" t="s">
        <v>234</v>
      </c>
      <c r="AA12" s="183">
        <v>520.0</v>
      </c>
      <c r="AB12" s="184">
        <f>P2P!$AA12/P2P!$M12</f>
        <v>0.04380422879</v>
      </c>
    </row>
    <row r="13" hidden="1">
      <c r="F13" s="177">
        <v>2025.0</v>
      </c>
      <c r="G13" s="178">
        <v>45901.0</v>
      </c>
      <c r="H13" s="179">
        <v>18000.0</v>
      </c>
      <c r="I13" s="179">
        <v>18000.0</v>
      </c>
      <c r="J13" s="180" t="s">
        <v>141</v>
      </c>
      <c r="K13" s="181">
        <v>57490.0</v>
      </c>
      <c r="L13" s="180">
        <v>3.19</v>
      </c>
      <c r="M13" s="179">
        <v>9906.0</v>
      </c>
      <c r="N13" s="180" t="s">
        <v>183</v>
      </c>
      <c r="O13" s="179">
        <v>4671.0</v>
      </c>
      <c r="P13" s="180" t="s">
        <v>155</v>
      </c>
      <c r="Q13" s="180">
        <v>0.0</v>
      </c>
      <c r="R13" s="180" t="s">
        <v>145</v>
      </c>
      <c r="S13" s="180">
        <v>57.0</v>
      </c>
      <c r="T13" s="180" t="s">
        <v>161</v>
      </c>
      <c r="U13" s="180">
        <v>57.0</v>
      </c>
      <c r="V13" s="180" t="s">
        <v>161</v>
      </c>
      <c r="W13" s="180">
        <v>57.0</v>
      </c>
      <c r="X13" s="180" t="s">
        <v>161</v>
      </c>
      <c r="Y13" s="180">
        <v>470.0</v>
      </c>
      <c r="Z13" s="180" t="s">
        <v>235</v>
      </c>
      <c r="AA13" s="183">
        <v>527.0</v>
      </c>
      <c r="AB13" s="184">
        <f>P2P!$AA13/P2P!$M13</f>
        <v>0.05320008076</v>
      </c>
    </row>
    <row r="14" hidden="1">
      <c r="F14" s="177">
        <v>2025.0</v>
      </c>
      <c r="G14" s="178">
        <v>45931.0</v>
      </c>
      <c r="H14" s="179">
        <v>19700.0</v>
      </c>
      <c r="I14" s="179">
        <v>19700.0</v>
      </c>
      <c r="J14" s="180" t="s">
        <v>141</v>
      </c>
      <c r="K14" s="181">
        <v>64183.0</v>
      </c>
      <c r="L14" s="180">
        <v>3.26</v>
      </c>
      <c r="M14" s="179">
        <v>11027.0</v>
      </c>
      <c r="N14" s="180" t="s">
        <v>236</v>
      </c>
      <c r="O14" s="179">
        <v>5200.0</v>
      </c>
      <c r="P14" s="180" t="s">
        <v>155</v>
      </c>
      <c r="Q14" s="180">
        <v>0.0</v>
      </c>
      <c r="R14" s="180" t="s">
        <v>145</v>
      </c>
      <c r="S14" s="180">
        <v>80.0</v>
      </c>
      <c r="T14" s="180" t="s">
        <v>168</v>
      </c>
      <c r="U14" s="180">
        <v>68.0</v>
      </c>
      <c r="V14" s="180" t="s">
        <v>161</v>
      </c>
      <c r="W14" s="180">
        <v>68.0</v>
      </c>
      <c r="X14" s="180" t="s">
        <v>161</v>
      </c>
      <c r="Y14" s="180">
        <v>527.0</v>
      </c>
      <c r="Z14" s="180" t="s">
        <v>184</v>
      </c>
      <c r="AA14" s="183">
        <v>595.0</v>
      </c>
      <c r="AB14" s="184">
        <f>P2P!$AA14/P2P!$M14</f>
        <v>0.05395846558</v>
      </c>
    </row>
    <row r="15" hidden="1">
      <c r="F15" s="177">
        <v>2025.0</v>
      </c>
      <c r="G15" s="178">
        <v>45962.0</v>
      </c>
      <c r="H15" s="179">
        <v>18000.0</v>
      </c>
      <c r="I15" s="179">
        <v>18000.0</v>
      </c>
      <c r="J15" s="180" t="s">
        <v>141</v>
      </c>
      <c r="K15" s="181">
        <v>50931.0</v>
      </c>
      <c r="L15" s="180">
        <v>2.83</v>
      </c>
      <c r="M15" s="179">
        <v>9528.0</v>
      </c>
      <c r="N15" s="180" t="s">
        <v>154</v>
      </c>
      <c r="O15" s="179">
        <v>4061.0</v>
      </c>
      <c r="P15" s="180" t="s">
        <v>158</v>
      </c>
      <c r="Q15" s="180">
        <v>0.0</v>
      </c>
      <c r="R15" s="180" t="s">
        <v>145</v>
      </c>
      <c r="S15" s="180">
        <v>57.0</v>
      </c>
      <c r="T15" s="180" t="s">
        <v>161</v>
      </c>
      <c r="U15" s="180">
        <v>53.0</v>
      </c>
      <c r="V15" s="180" t="s">
        <v>161</v>
      </c>
      <c r="W15" s="180">
        <v>46.0</v>
      </c>
      <c r="X15" s="180" t="s">
        <v>153</v>
      </c>
      <c r="Y15" s="180">
        <v>346.0</v>
      </c>
      <c r="Z15" s="180" t="s">
        <v>237</v>
      </c>
      <c r="AA15" s="183">
        <v>392.0</v>
      </c>
      <c r="AB15" s="184">
        <f>P2P!$AA15/P2P!$M15</f>
        <v>0.04114189757</v>
      </c>
    </row>
    <row r="16" hidden="1">
      <c r="F16" s="177">
        <v>2025.0</v>
      </c>
      <c r="G16" s="178">
        <v>45992.0</v>
      </c>
      <c r="H16" s="179">
        <v>21400.0</v>
      </c>
      <c r="I16" s="179">
        <v>21400.0</v>
      </c>
      <c r="J16" s="180" t="s">
        <v>141</v>
      </c>
      <c r="K16" s="181">
        <v>58960.0</v>
      </c>
      <c r="L16" s="180">
        <v>2.76</v>
      </c>
      <c r="M16" s="179">
        <v>11317.0</v>
      </c>
      <c r="N16" s="180" t="s">
        <v>154</v>
      </c>
      <c r="O16" s="179">
        <v>4663.0</v>
      </c>
      <c r="P16" s="180" t="s">
        <v>238</v>
      </c>
      <c r="Q16" s="180">
        <v>0.0</v>
      </c>
      <c r="R16" s="180" t="s">
        <v>145</v>
      </c>
      <c r="S16" s="180">
        <v>71.0</v>
      </c>
      <c r="T16" s="180" t="s">
        <v>161</v>
      </c>
      <c r="U16" s="180">
        <v>48.0</v>
      </c>
      <c r="V16" s="180" t="s">
        <v>152</v>
      </c>
      <c r="W16" s="180">
        <v>46.0</v>
      </c>
      <c r="X16" s="180" t="s">
        <v>152</v>
      </c>
      <c r="Y16" s="180">
        <v>370.0</v>
      </c>
      <c r="Z16" s="180" t="s">
        <v>239</v>
      </c>
      <c r="AA16" s="183">
        <v>416.0</v>
      </c>
      <c r="AB16" s="184">
        <f>P2P!$AA16/P2P!$M16</f>
        <v>0.03675885835</v>
      </c>
    </row>
    <row r="17" hidden="1">
      <c r="F17" s="177">
        <v>2026.0</v>
      </c>
      <c r="G17" s="178">
        <v>46023.0</v>
      </c>
      <c r="H17" s="179">
        <v>22000.0</v>
      </c>
      <c r="I17" s="179">
        <v>19997.0</v>
      </c>
      <c r="J17" s="180" t="s">
        <v>240</v>
      </c>
      <c r="K17" s="181">
        <v>55718.0</v>
      </c>
      <c r="L17" s="180">
        <v>2.53</v>
      </c>
      <c r="M17" s="179">
        <v>10206.0</v>
      </c>
      <c r="N17" s="180" t="s">
        <v>187</v>
      </c>
      <c r="O17" s="179">
        <v>4474.0</v>
      </c>
      <c r="P17" s="180" t="s">
        <v>171</v>
      </c>
      <c r="Q17" s="180">
        <v>0.0</v>
      </c>
      <c r="R17" s="180" t="s">
        <v>145</v>
      </c>
      <c r="S17" s="180">
        <v>73.0</v>
      </c>
      <c r="T17" s="180" t="s">
        <v>168</v>
      </c>
      <c r="U17" s="180">
        <v>47.0</v>
      </c>
      <c r="V17" s="180" t="s">
        <v>153</v>
      </c>
      <c r="W17" s="180">
        <v>45.0</v>
      </c>
      <c r="X17" s="180" t="s">
        <v>152</v>
      </c>
      <c r="Y17" s="180">
        <v>262.0</v>
      </c>
      <c r="Z17" s="180" t="s">
        <v>223</v>
      </c>
      <c r="AA17" s="183">
        <v>307.0</v>
      </c>
      <c r="AB17" s="184">
        <f>P2P!$AA17/P2P!$M17</f>
        <v>0.0300803449</v>
      </c>
    </row>
    <row r="18" hidden="1">
      <c r="F18" s="177">
        <v>2026.0</v>
      </c>
      <c r="G18" s="178">
        <v>46054.0</v>
      </c>
      <c r="H18" s="179">
        <v>29370.0</v>
      </c>
      <c r="I18" s="179">
        <v>29358.0</v>
      </c>
      <c r="J18" s="180" t="s">
        <v>141</v>
      </c>
      <c r="K18" s="181">
        <v>77963.0</v>
      </c>
      <c r="L18" s="180">
        <v>2.65</v>
      </c>
      <c r="M18" s="179">
        <v>14573.0</v>
      </c>
      <c r="N18" s="180" t="s">
        <v>241</v>
      </c>
      <c r="O18" s="179">
        <v>6569.0</v>
      </c>
      <c r="P18" s="180" t="s">
        <v>165</v>
      </c>
      <c r="Q18" s="180">
        <v>0.0</v>
      </c>
      <c r="R18" s="180" t="s">
        <v>145</v>
      </c>
      <c r="S18" s="180">
        <v>63.0</v>
      </c>
      <c r="T18" s="180" t="s">
        <v>152</v>
      </c>
      <c r="U18" s="180">
        <v>45.0</v>
      </c>
      <c r="V18" s="180" t="s">
        <v>148</v>
      </c>
      <c r="W18" s="180">
        <v>45.0</v>
      </c>
      <c r="X18" s="180" t="s">
        <v>148</v>
      </c>
      <c r="Y18" s="180">
        <v>477.0</v>
      </c>
      <c r="Z18" s="180" t="s">
        <v>239</v>
      </c>
      <c r="AA18" s="183">
        <v>522.0</v>
      </c>
      <c r="AB18" s="184">
        <f>P2P!$AA18/P2P!$M18</f>
        <v>0.03581966651</v>
      </c>
    </row>
    <row r="19" hidden="1">
      <c r="F19" s="177">
        <v>2026.0</v>
      </c>
      <c r="G19" s="178">
        <v>46082.0</v>
      </c>
      <c r="H19" s="179">
        <v>28964.0</v>
      </c>
      <c r="I19" s="179">
        <v>28964.0</v>
      </c>
      <c r="J19" s="182">
        <f>P2P!$I19/P2P!$H19</f>
        <v>1</v>
      </c>
      <c r="K19" s="181">
        <v>180657.0</v>
      </c>
      <c r="L19" s="186">
        <f>P2P!$K19/P2P!$H19</f>
        <v>6.237294573</v>
      </c>
      <c r="M19" s="179">
        <v>17942.0</v>
      </c>
      <c r="N19" s="182">
        <f>P2P!$M19/P2P!$I19</f>
        <v>0.6194586383</v>
      </c>
      <c r="O19" s="179">
        <v>8755.0</v>
      </c>
      <c r="P19" s="182">
        <f>P2P!$O19/P2P!$M19</f>
        <v>0.4879612083</v>
      </c>
      <c r="Q19" s="180">
        <v>0.0</v>
      </c>
      <c r="R19" s="180" t="s">
        <v>145</v>
      </c>
      <c r="S19" s="180">
        <v>68.0</v>
      </c>
      <c r="T19" s="187">
        <f>P2P!$S19/P2P!$M19</f>
        <v>0.003789989968</v>
      </c>
      <c r="U19" s="180">
        <v>53.0</v>
      </c>
      <c r="V19" s="187">
        <f>P2P!$U19/P2P!$M19</f>
        <v>0.002953962769</v>
      </c>
      <c r="W19" s="180">
        <v>126.0</v>
      </c>
      <c r="X19" s="187">
        <f>P2P!$W19/P2P!$M19</f>
        <v>0.00702262847</v>
      </c>
      <c r="Y19" s="180">
        <v>957.0</v>
      </c>
      <c r="Z19" s="187">
        <f>P2P!$Y19/P2P!$M19</f>
        <v>0.05333853528</v>
      </c>
      <c r="AA19" s="183">
        <f>P2P!$Y19+P2P!$W19</f>
        <v>1083</v>
      </c>
      <c r="AB19" s="184">
        <f>P2P!$AA19/P2P!$M19</f>
        <v>0.06036116375</v>
      </c>
    </row>
    <row r="20" hidden="1">
      <c r="F20" s="188">
        <v>2026.0</v>
      </c>
      <c r="G20" s="189">
        <v>46113.0</v>
      </c>
      <c r="H20" s="190">
        <v>30982.0</v>
      </c>
      <c r="I20" s="190">
        <v>30982.0</v>
      </c>
      <c r="J20" s="191">
        <f>P2P!$I20/P2P!$H20</f>
        <v>1</v>
      </c>
      <c r="K20" s="190">
        <v>172883.0</v>
      </c>
      <c r="L20" s="192">
        <f>P2P!$K20/P2P!$I20</f>
        <v>5.580111032</v>
      </c>
      <c r="M20" s="190">
        <v>17229.0</v>
      </c>
      <c r="N20" s="191">
        <f>P2P!$M20/P2P!$I20</f>
        <v>0.5560970886</v>
      </c>
      <c r="O20" s="190">
        <v>7719.0</v>
      </c>
      <c r="P20" s="191">
        <f>P2P!$O20/P2P!$M20</f>
        <v>0.448023681</v>
      </c>
      <c r="Q20" s="193">
        <v>0.0</v>
      </c>
      <c r="R20" s="194">
        <v>0.0</v>
      </c>
      <c r="S20" s="193">
        <v>46.0</v>
      </c>
      <c r="T20" s="194">
        <f>P2P!$S20/P2P!$M20</f>
        <v>0.002669917</v>
      </c>
      <c r="U20" s="193">
        <v>38.0</v>
      </c>
      <c r="V20" s="194">
        <f>P2P!$U20/P2P!$M20</f>
        <v>0.002205583609</v>
      </c>
      <c r="W20" s="193">
        <v>94.0</v>
      </c>
      <c r="X20" s="194">
        <f>P2P!$W20/P2P!$M20</f>
        <v>0.005455917349</v>
      </c>
      <c r="Y20" s="193">
        <v>828.0</v>
      </c>
      <c r="Z20" s="194">
        <f>P2P!$Y20/P2P!$M20</f>
        <v>0.04805850601</v>
      </c>
      <c r="AA20" s="195">
        <f>P2P!$Y20+P2P!$W20</f>
        <v>922</v>
      </c>
      <c r="AB20" s="196">
        <f>P2P!$AA20/P2P!$M20</f>
        <v>0.05351442336</v>
      </c>
    </row>
    <row r="21" ht="15.75" hidden="1" customHeight="1">
      <c r="F21" s="188">
        <v>2026.0</v>
      </c>
      <c r="G21" s="189">
        <v>46143.0</v>
      </c>
      <c r="H21" s="190">
        <v>31000.0</v>
      </c>
      <c r="I21" s="190">
        <v>30617.0</v>
      </c>
      <c r="J21" s="191">
        <f>P2P!$I21/P2P!$H21</f>
        <v>0.9876451613</v>
      </c>
      <c r="K21" s="190">
        <v>114346.0</v>
      </c>
      <c r="L21" s="192">
        <f>P2P!$K21/P2P!$I21</f>
        <v>3.73472254</v>
      </c>
      <c r="M21" s="190">
        <v>18035.0</v>
      </c>
      <c r="N21" s="191">
        <f>P2P!$M21/P2P!$I21</f>
        <v>0.5890518339</v>
      </c>
      <c r="O21" s="190">
        <v>7988.0</v>
      </c>
      <c r="P21" s="191">
        <f>P2P!$O21/P2P!$M21</f>
        <v>0.4429165512</v>
      </c>
      <c r="Q21" s="193">
        <v>0.0</v>
      </c>
      <c r="R21" s="194">
        <v>0.0</v>
      </c>
      <c r="S21" s="193">
        <v>58.0</v>
      </c>
      <c r="T21" s="194">
        <f>P2P!$S21/P2P!$M21</f>
        <v>0.003215968949</v>
      </c>
      <c r="U21" s="193">
        <v>55.0</v>
      </c>
      <c r="V21" s="194">
        <f>P2P!$U21/P2P!$M21</f>
        <v>0.003049625728</v>
      </c>
      <c r="W21" s="193">
        <v>138.0</v>
      </c>
      <c r="X21" s="194">
        <f>P2P!$W21/P2P!$I21</f>
        <v>0.004507299866</v>
      </c>
      <c r="Y21" s="193">
        <v>413.0</v>
      </c>
      <c r="Z21" s="194">
        <f>P2P!$Y21/P2P!$M21</f>
        <v>0.02289991683</v>
      </c>
      <c r="AA21" s="197">
        <f>P2P!$Y21+P2P!$W21</f>
        <v>551</v>
      </c>
      <c r="AB21" s="198">
        <f>P2P!$AA21/P2P!$M21</f>
        <v>0.03055170502</v>
      </c>
    </row>
    <row r="22" ht="15.75" hidden="1" customHeight="1">
      <c r="F22" s="199">
        <v>2026.0</v>
      </c>
      <c r="G22" s="200">
        <v>46174.0</v>
      </c>
      <c r="H22" s="201">
        <v>25149.0</v>
      </c>
      <c r="I22" s="201">
        <v>25149.0</v>
      </c>
      <c r="J22" s="202">
        <f>P2P!$I22/P2P!$H22</f>
        <v>1</v>
      </c>
      <c r="K22" s="201">
        <v>88783.0</v>
      </c>
      <c r="L22" s="203">
        <f>P2P!$K22/P2P!$H22</f>
        <v>3.530279534</v>
      </c>
      <c r="M22" s="201">
        <v>13869.0</v>
      </c>
      <c r="N22" s="202">
        <f>P2P!$M22/P2P!$I22</f>
        <v>0.5514732196</v>
      </c>
      <c r="O22" s="201">
        <v>6797.0</v>
      </c>
      <c r="P22" s="202">
        <f>P2P!$O22/P2P!$M22</f>
        <v>0.4900858029</v>
      </c>
      <c r="Q22" s="204">
        <v>0.0</v>
      </c>
      <c r="R22" s="205">
        <v>0.0</v>
      </c>
      <c r="S22" s="204">
        <v>74.0</v>
      </c>
      <c r="T22" s="206">
        <f>P2P!$S22/P2P!$M22</f>
        <v>0.005335640637</v>
      </c>
      <c r="U22" s="204">
        <v>61.0</v>
      </c>
      <c r="V22" s="206">
        <f>P2P!$U22/P2P!$M22</f>
        <v>0.004398298363</v>
      </c>
      <c r="W22" s="204">
        <v>145.0</v>
      </c>
      <c r="X22" s="206">
        <f>P2P!$W22/P2P!$M22</f>
        <v>0.01045497152</v>
      </c>
      <c r="Y22" s="207">
        <v>964.0</v>
      </c>
      <c r="Z22" s="208">
        <f>P2P!$Y22/P2P!$M22</f>
        <v>0.06950753479</v>
      </c>
      <c r="AA22" s="209"/>
      <c r="AB22" s="210">
        <f>P2P!$AA22/P2P!$M22</f>
        <v>0</v>
      </c>
    </row>
    <row r="23" ht="15.75" customHeight="1">
      <c r="F23" s="129">
        <v>2026.0</v>
      </c>
      <c r="G23" s="211">
        <v>46204.0</v>
      </c>
      <c r="H23" s="133"/>
      <c r="I23" s="133"/>
      <c r="J23" s="133"/>
      <c r="K23" s="133"/>
      <c r="L23" s="133"/>
      <c r="M23" s="133"/>
      <c r="N23" s="133"/>
      <c r="O23" s="133"/>
      <c r="P23" s="133"/>
      <c r="Q23" s="133"/>
      <c r="R23" s="212"/>
      <c r="S23" s="133"/>
      <c r="T23" s="133"/>
      <c r="U23" s="133"/>
      <c r="V23" s="133"/>
      <c r="W23" s="133"/>
      <c r="X23" s="133"/>
      <c r="Y23" s="133"/>
      <c r="Z23" s="133"/>
      <c r="AA23" s="213"/>
      <c r="AB23" s="213"/>
    </row>
    <row r="24" ht="15.75" customHeight="1">
      <c r="F24" s="134" t="s">
        <v>192</v>
      </c>
    </row>
    <row r="25" ht="15.75" customHeight="1"/>
    <row r="26" ht="15.75" customHeight="1">
      <c r="F26" s="214" t="s">
        <v>242</v>
      </c>
      <c r="G26" s="136"/>
      <c r="I26" s="214" t="s">
        <v>243</v>
      </c>
      <c r="J26" s="136"/>
      <c r="L26" s="215"/>
      <c r="M26" s="140"/>
      <c r="N26" s="215" t="s">
        <v>244</v>
      </c>
      <c r="O26" s="140"/>
    </row>
    <row r="27" ht="15.75" customHeight="1">
      <c r="F27" s="19" t="s">
        <v>194</v>
      </c>
      <c r="G27" s="216">
        <v>13126.0</v>
      </c>
      <c r="I27" s="19" t="s">
        <v>194</v>
      </c>
      <c r="J27" s="216">
        <v>12023.0</v>
      </c>
      <c r="L27" s="217"/>
      <c r="M27" s="218"/>
      <c r="N27" s="219"/>
      <c r="O27" s="220">
        <v>5230.0</v>
      </c>
    </row>
    <row r="28" ht="15.75" customHeight="1">
      <c r="F28" s="19" t="s">
        <v>195</v>
      </c>
      <c r="G28" s="216">
        <v>13126.0</v>
      </c>
      <c r="I28" s="19" t="s">
        <v>195</v>
      </c>
      <c r="J28" s="216">
        <v>12023.0</v>
      </c>
      <c r="L28" s="217"/>
      <c r="M28" s="218"/>
      <c r="N28" s="219" t="s">
        <v>195</v>
      </c>
      <c r="O28" s="220">
        <v>4847.0</v>
      </c>
    </row>
    <row r="29" ht="15.75" customHeight="1">
      <c r="F29" s="19" t="s">
        <v>196</v>
      </c>
      <c r="G29" s="152">
        <f>G28/G27</f>
        <v>1</v>
      </c>
      <c r="I29" s="19" t="s">
        <v>196</v>
      </c>
      <c r="J29" s="152">
        <f>J28/J27</f>
        <v>1</v>
      </c>
      <c r="L29" s="217"/>
      <c r="M29" s="221"/>
      <c r="N29" s="219" t="s">
        <v>196</v>
      </c>
      <c r="O29" s="222">
        <f>O28/O27</f>
        <v>0.9267686424</v>
      </c>
    </row>
    <row r="30" ht="15.75" customHeight="1">
      <c r="F30" s="19" t="s">
        <v>197</v>
      </c>
      <c r="G30" s="216">
        <v>47118.0</v>
      </c>
      <c r="I30" s="19" t="s">
        <v>197</v>
      </c>
      <c r="J30" s="216">
        <v>41665.0</v>
      </c>
      <c r="L30" s="217"/>
      <c r="M30" s="218"/>
      <c r="N30" s="219" t="s">
        <v>197</v>
      </c>
      <c r="O30" s="220">
        <v>6483.0</v>
      </c>
    </row>
    <row r="31" ht="15.75" customHeight="1">
      <c r="F31" s="19" t="s">
        <v>198</v>
      </c>
      <c r="G31" s="223">
        <f>G30/G27</f>
        <v>3.589669359</v>
      </c>
      <c r="I31" s="19" t="s">
        <v>198</v>
      </c>
      <c r="J31" s="223">
        <f>J30/J27</f>
        <v>3.465441238</v>
      </c>
      <c r="L31" s="217"/>
      <c r="M31" s="224"/>
      <c r="N31" s="219" t="s">
        <v>198</v>
      </c>
      <c r="O31" s="225">
        <f>O30/O27</f>
        <v>1.23957935</v>
      </c>
    </row>
    <row r="32" ht="15.75" customHeight="1">
      <c r="F32" s="19" t="s">
        <v>199</v>
      </c>
      <c r="G32" s="216">
        <v>7629.0</v>
      </c>
      <c r="I32" s="19" t="s">
        <v>199</v>
      </c>
      <c r="J32" s="216">
        <v>6263.0</v>
      </c>
      <c r="L32" s="217"/>
      <c r="M32" s="218"/>
      <c r="N32" s="219" t="s">
        <v>199</v>
      </c>
      <c r="O32" s="220">
        <v>1575.0</v>
      </c>
    </row>
    <row r="33" ht="15.75" customHeight="1">
      <c r="F33" s="19" t="s">
        <v>200</v>
      </c>
      <c r="G33" s="226">
        <f>G32/G28</f>
        <v>0.58121286</v>
      </c>
      <c r="I33" s="19" t="s">
        <v>200</v>
      </c>
      <c r="J33" s="226">
        <f>J32/J28</f>
        <v>0.52091824</v>
      </c>
      <c r="L33" s="217"/>
      <c r="M33" s="227"/>
      <c r="N33" s="219" t="s">
        <v>200</v>
      </c>
      <c r="O33" s="228">
        <f>O32/O28</f>
        <v>0.3249432639</v>
      </c>
    </row>
    <row r="34" ht="15.75" customHeight="1">
      <c r="F34" s="19" t="s">
        <v>127</v>
      </c>
      <c r="G34" s="216">
        <v>3887.0</v>
      </c>
      <c r="I34" s="19" t="s">
        <v>127</v>
      </c>
      <c r="J34" s="216">
        <v>2910.0</v>
      </c>
      <c r="L34" s="217"/>
      <c r="M34" s="218"/>
      <c r="N34" s="219" t="s">
        <v>127</v>
      </c>
      <c r="O34" s="220">
        <v>620.0</v>
      </c>
    </row>
    <row r="35" ht="15.75" customHeight="1">
      <c r="F35" s="19" t="s">
        <v>201</v>
      </c>
      <c r="G35" s="226">
        <f>G34/G32</f>
        <v>0.5095032114</v>
      </c>
      <c r="I35" s="19" t="s">
        <v>201</v>
      </c>
      <c r="J35" s="226">
        <f>J34/J32</f>
        <v>0.4646335622</v>
      </c>
      <c r="L35" s="217"/>
      <c r="M35" s="227"/>
      <c r="N35" s="219" t="s">
        <v>201</v>
      </c>
      <c r="O35" s="228">
        <f>O34/O32</f>
        <v>0.3936507937</v>
      </c>
    </row>
    <row r="36" ht="15.75" customHeight="1">
      <c r="F36" s="19" t="s">
        <v>245</v>
      </c>
      <c r="G36" s="216">
        <v>367.0</v>
      </c>
      <c r="I36" s="19" t="s">
        <v>245</v>
      </c>
      <c r="J36" s="229">
        <v>310.0</v>
      </c>
      <c r="L36" s="217"/>
      <c r="M36" s="218"/>
      <c r="N36" s="219" t="s">
        <v>245</v>
      </c>
      <c r="O36" s="220">
        <v>17.0</v>
      </c>
    </row>
    <row r="37" ht="15.75" customHeight="1">
      <c r="F37" s="19" t="s">
        <v>204</v>
      </c>
      <c r="G37" s="226">
        <f>G36/G32</f>
        <v>0.04810591165</v>
      </c>
      <c r="I37" s="19" t="s">
        <v>204</v>
      </c>
      <c r="J37" s="226">
        <f>J36/J32</f>
        <v>0.04949704614</v>
      </c>
      <c r="L37" s="217"/>
      <c r="M37" s="227"/>
      <c r="N37" s="219" t="s">
        <v>204</v>
      </c>
      <c r="O37" s="228">
        <f>O36/O32</f>
        <v>0.01079365079</v>
      </c>
      <c r="S37" s="230" t="s">
        <v>246</v>
      </c>
    </row>
    <row r="38" ht="15.75" customHeight="1">
      <c r="K38" s="153"/>
      <c r="L38" s="153"/>
      <c r="M38" s="153"/>
      <c r="N38" s="153"/>
      <c r="O38" s="231"/>
    </row>
    <row r="39" ht="15.75" customHeight="1">
      <c r="F39" s="92" t="s">
        <v>247</v>
      </c>
      <c r="H39" s="232" t="s">
        <v>248</v>
      </c>
      <c r="I39" s="233">
        <f>G36+J36</f>
        <v>677</v>
      </c>
    </row>
    <row r="40" ht="15.75" customHeight="1">
      <c r="A40" s="1"/>
      <c r="B40" s="1"/>
      <c r="C40" s="1"/>
      <c r="D40" s="1"/>
      <c r="E40" s="1"/>
      <c r="F40" s="232"/>
      <c r="G40" s="1"/>
      <c r="H40" s="1" t="s">
        <v>249</v>
      </c>
      <c r="I40" s="230">
        <f>Y22-I39</f>
        <v>287</v>
      </c>
      <c r="J40" s="1"/>
      <c r="K40" s="1"/>
      <c r="L40" s="1"/>
      <c r="M40" s="1"/>
      <c r="N40" s="1"/>
      <c r="O40" s="1"/>
      <c r="P40" s="1"/>
      <c r="Q40" s="1"/>
      <c r="R40" s="1"/>
      <c r="S40" s="1"/>
      <c r="T40" s="1"/>
      <c r="U40" s="1"/>
      <c r="V40" s="1"/>
      <c r="W40" s="1"/>
      <c r="X40" s="1"/>
      <c r="Y40" s="1"/>
      <c r="Z40" s="1"/>
      <c r="AA40" s="1"/>
      <c r="AB40" s="1"/>
    </row>
    <row r="41" ht="15.75" customHeight="1">
      <c r="A41" s="1"/>
      <c r="B41" s="1"/>
      <c r="C41" s="1"/>
      <c r="D41" s="1"/>
      <c r="E41" s="1"/>
      <c r="F41" s="232"/>
      <c r="G41" s="1"/>
      <c r="H41" s="1"/>
      <c r="I41" s="1"/>
      <c r="J41" s="1"/>
      <c r="K41" s="1"/>
      <c r="L41" s="1"/>
      <c r="M41" s="1"/>
      <c r="N41" s="1"/>
      <c r="O41" s="1"/>
      <c r="P41" s="1"/>
      <c r="Q41" s="1"/>
      <c r="R41" s="1"/>
      <c r="S41" s="1"/>
      <c r="T41" s="1"/>
      <c r="U41" s="1"/>
      <c r="V41" s="1"/>
      <c r="W41" s="1"/>
      <c r="X41" s="1"/>
      <c r="Y41" s="1"/>
      <c r="Z41" s="1"/>
      <c r="AA41" s="1"/>
      <c r="AB41" s="1"/>
    </row>
    <row r="42" ht="15.75" customHeight="1">
      <c r="A42" s="1"/>
      <c r="B42" s="1"/>
      <c r="C42" s="1"/>
      <c r="D42" s="1"/>
      <c r="E42" s="234" t="s">
        <v>0</v>
      </c>
      <c r="F42" s="159"/>
      <c r="G42" s="159"/>
      <c r="H42" s="159"/>
      <c r="I42" s="159"/>
      <c r="J42" s="159"/>
      <c r="K42" s="159"/>
      <c r="L42" s="159"/>
      <c r="M42" s="159"/>
      <c r="N42" s="235"/>
      <c r="O42" s="236" t="s">
        <v>250</v>
      </c>
      <c r="P42" s="237"/>
      <c r="Q42" s="237"/>
      <c r="R42" s="237"/>
      <c r="S42" s="237"/>
      <c r="T42" s="237"/>
      <c r="U42" s="136"/>
      <c r="V42" s="1"/>
      <c r="W42" s="1"/>
      <c r="X42" s="1"/>
      <c r="Y42" s="1"/>
      <c r="Z42" s="1"/>
      <c r="AA42" s="1"/>
      <c r="AB42" s="1"/>
    </row>
    <row r="43" ht="15.75" customHeight="1">
      <c r="A43" s="1"/>
      <c r="B43" s="1"/>
      <c r="C43" s="1"/>
      <c r="D43" s="1"/>
      <c r="E43" s="238" t="s">
        <v>2</v>
      </c>
      <c r="F43" s="238" t="s">
        <v>58</v>
      </c>
      <c r="G43" s="238" t="s">
        <v>4</v>
      </c>
      <c r="H43" s="238" t="s">
        <v>59</v>
      </c>
      <c r="I43" s="238" t="s">
        <v>6</v>
      </c>
      <c r="J43" s="238" t="s">
        <v>13</v>
      </c>
      <c r="K43" s="238" t="s">
        <v>9</v>
      </c>
      <c r="L43" s="238" t="s">
        <v>10</v>
      </c>
      <c r="M43" s="238" t="s">
        <v>60</v>
      </c>
      <c r="N43" s="238" t="s">
        <v>12</v>
      </c>
      <c r="O43" s="239" t="s">
        <v>4</v>
      </c>
      <c r="P43" s="239" t="s">
        <v>6</v>
      </c>
      <c r="Q43" s="239" t="s">
        <v>8</v>
      </c>
      <c r="R43" s="239" t="s">
        <v>9</v>
      </c>
      <c r="S43" s="239" t="s">
        <v>10</v>
      </c>
      <c r="T43" s="239" t="s">
        <v>11</v>
      </c>
      <c r="U43" s="239" t="s">
        <v>12</v>
      </c>
      <c r="V43" s="1"/>
      <c r="W43" s="1"/>
      <c r="X43" s="1"/>
      <c r="Y43" s="1"/>
      <c r="Z43" s="1"/>
      <c r="AA43" s="1"/>
      <c r="AB43" s="1"/>
    </row>
    <row r="44" ht="15.75" customHeight="1">
      <c r="A44" s="1"/>
      <c r="B44" s="1"/>
      <c r="C44" s="1"/>
      <c r="D44" s="1"/>
      <c r="E44" s="240" t="s">
        <v>61</v>
      </c>
      <c r="F44" s="240" t="s">
        <v>62</v>
      </c>
      <c r="G44" s="19">
        <v>1503.0</v>
      </c>
      <c r="H44" s="241">
        <v>60.12</v>
      </c>
      <c r="I44" s="19">
        <v>63.0</v>
      </c>
      <c r="J44" s="19">
        <v>61.0</v>
      </c>
      <c r="K44" s="19">
        <v>2.0</v>
      </c>
      <c r="L44" s="19">
        <v>3.0</v>
      </c>
      <c r="M44" s="152">
        <v>0.041916167664670656</v>
      </c>
      <c r="N44" s="19">
        <v>1.0</v>
      </c>
      <c r="O44" s="19">
        <v>1652.0</v>
      </c>
      <c r="P44" s="19">
        <v>53.0</v>
      </c>
      <c r="Q44" s="19">
        <v>52.0</v>
      </c>
      <c r="R44" s="19">
        <v>3.0</v>
      </c>
      <c r="S44" s="19">
        <v>5.0</v>
      </c>
      <c r="T44" s="152">
        <v>0.03208232445520581</v>
      </c>
      <c r="U44" s="19">
        <v>1.0</v>
      </c>
      <c r="V44" s="1"/>
      <c r="W44" s="1"/>
      <c r="X44" s="1"/>
      <c r="Y44" s="1"/>
      <c r="Z44" s="1"/>
      <c r="AA44" s="1"/>
      <c r="AB44" s="1"/>
    </row>
    <row r="45" ht="15.75" customHeight="1">
      <c r="A45" s="1"/>
      <c r="B45" s="1"/>
      <c r="C45" s="1"/>
      <c r="D45" s="1"/>
      <c r="E45" s="240" t="s">
        <v>61</v>
      </c>
      <c r="F45" s="240" t="s">
        <v>63</v>
      </c>
      <c r="G45" s="19">
        <v>1299.0</v>
      </c>
      <c r="H45" s="241">
        <v>51.96</v>
      </c>
      <c r="I45" s="19">
        <v>52.0</v>
      </c>
      <c r="J45" s="19">
        <v>51.0</v>
      </c>
      <c r="K45" s="19">
        <v>1.0</v>
      </c>
      <c r="L45" s="19">
        <v>3.0</v>
      </c>
      <c r="M45" s="152">
        <v>0.04003079291762895</v>
      </c>
      <c r="N45" s="19">
        <v>1.0</v>
      </c>
      <c r="O45" s="19">
        <v>1115.0</v>
      </c>
      <c r="P45" s="19">
        <v>22.0</v>
      </c>
      <c r="Q45" s="19">
        <v>21.0</v>
      </c>
      <c r="R45" s="19">
        <v>1.0</v>
      </c>
      <c r="S45" s="19">
        <v>3.0</v>
      </c>
      <c r="T45" s="152">
        <v>0.019730941704035873</v>
      </c>
      <c r="U45" s="19">
        <v>3.0</v>
      </c>
      <c r="V45" s="1"/>
      <c r="W45" s="1"/>
      <c r="X45" s="1"/>
      <c r="Y45" s="1"/>
      <c r="Z45" s="1"/>
      <c r="AA45" s="1"/>
      <c r="AB45" s="1"/>
    </row>
    <row r="46" ht="15.75" customHeight="1">
      <c r="A46" s="1"/>
      <c r="B46" s="1"/>
      <c r="C46" s="1"/>
      <c r="D46" s="1"/>
      <c r="E46" s="240" t="s">
        <v>61</v>
      </c>
      <c r="F46" s="240" t="s">
        <v>65</v>
      </c>
      <c r="G46" s="19">
        <v>227.0</v>
      </c>
      <c r="H46" s="241">
        <v>9.08</v>
      </c>
      <c r="I46" s="19">
        <v>51.0</v>
      </c>
      <c r="J46" s="19">
        <v>51.0</v>
      </c>
      <c r="K46" s="19">
        <v>7.0</v>
      </c>
      <c r="L46" s="19">
        <v>14.0</v>
      </c>
      <c r="M46" s="152">
        <v>0.22466960352422907</v>
      </c>
      <c r="N46" s="19">
        <v>1.0</v>
      </c>
      <c r="O46" s="19">
        <v>446.0</v>
      </c>
      <c r="P46" s="19">
        <v>27.0</v>
      </c>
      <c r="Q46" s="19">
        <v>24.0</v>
      </c>
      <c r="R46" s="19">
        <v>4.0</v>
      </c>
      <c r="S46" s="19">
        <v>11.0</v>
      </c>
      <c r="T46" s="152">
        <v>0.06053811659192825</v>
      </c>
      <c r="U46" s="19">
        <v>2.0</v>
      </c>
      <c r="V46" s="1"/>
      <c r="W46" s="1"/>
      <c r="X46" s="1"/>
      <c r="Y46" s="1"/>
      <c r="Z46" s="1"/>
      <c r="AA46" s="1"/>
      <c r="AB46" s="1"/>
    </row>
    <row r="47" ht="15.75" customHeight="1">
      <c r="A47" s="1"/>
      <c r="B47" s="1"/>
      <c r="C47" s="1"/>
      <c r="D47" s="1"/>
      <c r="E47" s="240" t="s">
        <v>84</v>
      </c>
      <c r="F47" s="240" t="s">
        <v>85</v>
      </c>
      <c r="G47" s="19">
        <v>1131.0</v>
      </c>
      <c r="H47" s="241">
        <v>45.24</v>
      </c>
      <c r="I47" s="19">
        <v>51.0</v>
      </c>
      <c r="J47" s="19">
        <v>52.0</v>
      </c>
      <c r="K47" s="19">
        <v>2.0</v>
      </c>
      <c r="L47" s="19">
        <v>6.0</v>
      </c>
      <c r="M47" s="152">
        <v>0.04509283819628647</v>
      </c>
      <c r="N47" s="19">
        <v>1.0</v>
      </c>
      <c r="O47" s="19">
        <v>288.0</v>
      </c>
      <c r="P47" s="19">
        <v>17.0</v>
      </c>
      <c r="Q47" s="19">
        <v>17.0</v>
      </c>
      <c r="R47" s="19">
        <v>3.0</v>
      </c>
      <c r="S47" s="19">
        <v>9.0</v>
      </c>
      <c r="T47" s="152">
        <v>0.059027777777777776</v>
      </c>
      <c r="U47" s="19">
        <v>3.0</v>
      </c>
      <c r="V47" s="1"/>
      <c r="W47" s="1"/>
      <c r="X47" s="1"/>
      <c r="Y47" s="1"/>
      <c r="Z47" s="1"/>
      <c r="AA47" s="1"/>
      <c r="AB47" s="1"/>
    </row>
    <row r="48" ht="15.75" customHeight="1">
      <c r="A48" s="1"/>
      <c r="B48" s="1"/>
      <c r="C48" s="1"/>
      <c r="D48" s="1"/>
      <c r="E48" s="240" t="s">
        <v>61</v>
      </c>
      <c r="F48" s="240" t="s">
        <v>67</v>
      </c>
      <c r="G48" s="19">
        <v>487.0</v>
      </c>
      <c r="H48" s="241">
        <v>19.48</v>
      </c>
      <c r="I48" s="19">
        <v>49.0</v>
      </c>
      <c r="J48" s="19">
        <v>46.0</v>
      </c>
      <c r="K48" s="19">
        <v>5.0</v>
      </c>
      <c r="L48" s="19">
        <v>13.0</v>
      </c>
      <c r="M48" s="152">
        <v>0.10061601642710473</v>
      </c>
      <c r="N48" s="19">
        <v>1.0</v>
      </c>
      <c r="O48" s="19">
        <v>255.0</v>
      </c>
      <c r="P48" s="19">
        <v>8.0</v>
      </c>
      <c r="Q48" s="19">
        <v>7.0</v>
      </c>
      <c r="R48" s="19">
        <v>1.0</v>
      </c>
      <c r="S48" s="19">
        <v>3.0</v>
      </c>
      <c r="T48" s="152">
        <v>0.03137254901960784</v>
      </c>
      <c r="U48" s="19">
        <v>4.0</v>
      </c>
      <c r="V48" s="1"/>
      <c r="W48" s="1"/>
      <c r="X48" s="1"/>
      <c r="Y48" s="1"/>
      <c r="Z48" s="1"/>
      <c r="AA48" s="1"/>
      <c r="AB48" s="1"/>
    </row>
    <row r="49" ht="15.75" customHeight="1">
      <c r="A49" s="1"/>
      <c r="B49" s="1"/>
      <c r="C49" s="1"/>
      <c r="D49" s="1"/>
      <c r="E49" s="240" t="s">
        <v>84</v>
      </c>
      <c r="F49" s="240" t="s">
        <v>71</v>
      </c>
      <c r="G49" s="19">
        <v>661.0</v>
      </c>
      <c r="H49" s="241">
        <v>26.44</v>
      </c>
      <c r="I49" s="19">
        <v>47.0</v>
      </c>
      <c r="J49" s="19">
        <v>46.0</v>
      </c>
      <c r="K49" s="19">
        <v>1.0</v>
      </c>
      <c r="L49" s="19">
        <v>3.0</v>
      </c>
      <c r="M49" s="152">
        <v>0.07110438729198185</v>
      </c>
      <c r="N49" s="19">
        <v>1.0</v>
      </c>
      <c r="O49" s="19">
        <v>726.0</v>
      </c>
      <c r="P49" s="19">
        <v>30.0</v>
      </c>
      <c r="Q49" s="19">
        <v>29.0</v>
      </c>
      <c r="R49" s="19">
        <v>0.0</v>
      </c>
      <c r="S49" s="19">
        <v>0.0</v>
      </c>
      <c r="T49" s="152">
        <v>0.04132231404958678</v>
      </c>
      <c r="U49" s="19">
        <v>1.0</v>
      </c>
      <c r="V49" s="1"/>
      <c r="W49" s="1"/>
      <c r="X49" s="1"/>
      <c r="Y49" s="1"/>
      <c r="Z49" s="1"/>
      <c r="AA49" s="1"/>
      <c r="AB49" s="1"/>
    </row>
    <row r="50" ht="15.75" customHeight="1">
      <c r="A50" s="1"/>
      <c r="B50" s="1"/>
      <c r="C50" s="1"/>
      <c r="D50" s="1"/>
      <c r="E50" s="240" t="s">
        <v>84</v>
      </c>
      <c r="F50" s="240" t="s">
        <v>64</v>
      </c>
      <c r="G50" s="19">
        <v>229.0</v>
      </c>
      <c r="H50" s="241">
        <v>9.16</v>
      </c>
      <c r="I50" s="19">
        <v>47.0</v>
      </c>
      <c r="J50" s="19">
        <v>42.0</v>
      </c>
      <c r="K50" s="19">
        <v>3.0</v>
      </c>
      <c r="L50" s="19">
        <v>7.0</v>
      </c>
      <c r="M50" s="152">
        <v>0.2052401746724891</v>
      </c>
      <c r="N50" s="19">
        <v>1.0</v>
      </c>
      <c r="O50" s="19">
        <v>192.0</v>
      </c>
      <c r="P50" s="19">
        <v>51.0</v>
      </c>
      <c r="Q50" s="19">
        <v>47.0</v>
      </c>
      <c r="R50" s="19">
        <v>2.0</v>
      </c>
      <c r="S50" s="19">
        <v>6.0</v>
      </c>
      <c r="T50" s="152">
        <v>0.265625</v>
      </c>
      <c r="U50" s="19">
        <v>1.0</v>
      </c>
      <c r="V50" s="1"/>
      <c r="W50" s="1"/>
      <c r="X50" s="1"/>
      <c r="Y50" s="1"/>
      <c r="Z50" s="1"/>
      <c r="AA50" s="1"/>
      <c r="AB50" s="1"/>
    </row>
    <row r="51" ht="15.75" customHeight="1">
      <c r="A51" s="1"/>
      <c r="B51" s="1"/>
      <c r="C51" s="1"/>
      <c r="D51" s="1"/>
      <c r="E51" s="240" t="s">
        <v>61</v>
      </c>
      <c r="F51" s="240" t="s">
        <v>69</v>
      </c>
      <c r="G51" s="19">
        <v>1195.0</v>
      </c>
      <c r="H51" s="241">
        <v>47.8</v>
      </c>
      <c r="I51" s="19">
        <v>46.0</v>
      </c>
      <c r="J51" s="19">
        <v>44.0</v>
      </c>
      <c r="K51" s="19">
        <v>2.0</v>
      </c>
      <c r="L51" s="19">
        <v>5.0</v>
      </c>
      <c r="M51" s="152">
        <v>0.038493723849372385</v>
      </c>
      <c r="N51" s="19">
        <v>1.0</v>
      </c>
      <c r="O51" s="19">
        <v>1189.0</v>
      </c>
      <c r="P51" s="19">
        <v>33.0</v>
      </c>
      <c r="Q51" s="19">
        <v>32.0</v>
      </c>
      <c r="R51" s="19">
        <v>3.0</v>
      </c>
      <c r="S51" s="19">
        <v>7.0</v>
      </c>
      <c r="T51" s="152">
        <v>0.027754415475189236</v>
      </c>
      <c r="U51" s="19">
        <v>1.0</v>
      </c>
      <c r="V51" s="1"/>
      <c r="W51" s="1"/>
      <c r="X51" s="1"/>
      <c r="Y51" s="1"/>
      <c r="Z51" s="1"/>
      <c r="AA51" s="1"/>
      <c r="AB51" s="1"/>
    </row>
    <row r="52" ht="15.75" customHeight="1">
      <c r="A52" s="1"/>
      <c r="B52" s="1"/>
      <c r="C52" s="1"/>
      <c r="D52" s="1"/>
      <c r="E52" s="240" t="s">
        <v>61</v>
      </c>
      <c r="F52" s="240" t="s">
        <v>70</v>
      </c>
      <c r="G52" s="19">
        <v>1059.0</v>
      </c>
      <c r="H52" s="241">
        <v>42.36</v>
      </c>
      <c r="I52" s="19">
        <v>42.0</v>
      </c>
      <c r="J52" s="19">
        <v>41.0</v>
      </c>
      <c r="K52" s="19">
        <v>2.0</v>
      </c>
      <c r="L52" s="19">
        <v>3.0</v>
      </c>
      <c r="M52" s="152">
        <v>0.039660056657223795</v>
      </c>
      <c r="N52" s="19">
        <v>1.0</v>
      </c>
      <c r="O52" s="19">
        <v>1224.0</v>
      </c>
      <c r="P52" s="19">
        <v>16.0</v>
      </c>
      <c r="Q52" s="19">
        <v>15.0</v>
      </c>
      <c r="R52" s="19">
        <v>1.0</v>
      </c>
      <c r="S52" s="19">
        <v>3.0</v>
      </c>
      <c r="T52" s="152">
        <v>0.013071895424836602</v>
      </c>
      <c r="U52" s="19">
        <v>3.0</v>
      </c>
      <c r="V52" s="1"/>
      <c r="W52" s="1"/>
      <c r="X52" s="1"/>
      <c r="Y52" s="1"/>
      <c r="Z52" s="1"/>
      <c r="AA52" s="1"/>
      <c r="AB52" s="1"/>
    </row>
    <row r="53" ht="15.75" customHeight="1">
      <c r="A53" s="1"/>
      <c r="B53" s="1"/>
      <c r="C53" s="1"/>
      <c r="D53" s="1"/>
      <c r="E53" s="240" t="s">
        <v>84</v>
      </c>
      <c r="F53" s="240" t="s">
        <v>91</v>
      </c>
      <c r="G53" s="19">
        <v>173.0</v>
      </c>
      <c r="H53" s="241">
        <v>6.92</v>
      </c>
      <c r="I53" s="19">
        <v>42.0</v>
      </c>
      <c r="J53" s="19">
        <v>41.0</v>
      </c>
      <c r="K53" s="19">
        <v>1.0</v>
      </c>
      <c r="L53" s="19">
        <v>3.0</v>
      </c>
      <c r="M53" s="152">
        <v>0.24277456647398843</v>
      </c>
      <c r="N53" s="19">
        <v>1.0</v>
      </c>
      <c r="O53" s="19">
        <v>141.0</v>
      </c>
      <c r="P53" s="19">
        <v>13.0</v>
      </c>
      <c r="Q53" s="19">
        <v>12.0</v>
      </c>
      <c r="R53" s="19">
        <v>9.0</v>
      </c>
      <c r="S53" s="19">
        <v>25.0</v>
      </c>
      <c r="T53" s="152">
        <v>0.09219858156028368</v>
      </c>
      <c r="U53" s="19">
        <v>3.0</v>
      </c>
      <c r="V53" s="1"/>
      <c r="W53" s="1"/>
      <c r="X53" s="1"/>
      <c r="Y53" s="1"/>
      <c r="Z53" s="1"/>
      <c r="AA53" s="1"/>
      <c r="AB53" s="1"/>
    </row>
    <row r="54" ht="15.75" customHeight="1">
      <c r="A54" s="1"/>
      <c r="B54" s="1"/>
      <c r="C54" s="1"/>
      <c r="D54" s="1"/>
      <c r="E54" s="240" t="s">
        <v>84</v>
      </c>
      <c r="F54" s="240" t="s">
        <v>76</v>
      </c>
      <c r="G54" s="19">
        <v>545.0</v>
      </c>
      <c r="H54" s="241">
        <v>21.8</v>
      </c>
      <c r="I54" s="19">
        <v>42.0</v>
      </c>
      <c r="J54" s="19">
        <v>40.0</v>
      </c>
      <c r="K54" s="19">
        <v>2.0</v>
      </c>
      <c r="L54" s="19">
        <v>3.0</v>
      </c>
      <c r="M54" s="152">
        <v>0.07706422018348624</v>
      </c>
      <c r="N54" s="19">
        <v>2.0</v>
      </c>
      <c r="O54" s="19">
        <v>483.0</v>
      </c>
      <c r="P54" s="19">
        <v>27.0</v>
      </c>
      <c r="Q54" s="19">
        <v>26.0</v>
      </c>
      <c r="R54" s="19">
        <v>0.0</v>
      </c>
      <c r="S54" s="19">
        <v>0.0</v>
      </c>
      <c r="T54" s="152">
        <v>0.055900621118012424</v>
      </c>
      <c r="U54" s="19">
        <v>2.0</v>
      </c>
      <c r="V54" s="1"/>
      <c r="W54" s="1"/>
      <c r="X54" s="1"/>
      <c r="Y54" s="1"/>
      <c r="Z54" s="1"/>
      <c r="AA54" s="1"/>
      <c r="AB54" s="1"/>
    </row>
    <row r="55" ht="15.75" customHeight="1">
      <c r="A55" s="1"/>
      <c r="B55" s="1"/>
      <c r="C55" s="1"/>
      <c r="D55" s="1"/>
      <c r="E55" s="240" t="s">
        <v>84</v>
      </c>
      <c r="F55" s="240" t="s">
        <v>89</v>
      </c>
      <c r="G55" s="19">
        <v>216.0</v>
      </c>
      <c r="H55" s="241">
        <v>8.64</v>
      </c>
      <c r="I55" s="19">
        <v>41.0</v>
      </c>
      <c r="J55" s="19">
        <v>41.0</v>
      </c>
      <c r="K55" s="19">
        <v>5.0</v>
      </c>
      <c r="L55" s="19">
        <v>15.0</v>
      </c>
      <c r="M55" s="152">
        <v>0.18981481481481483</v>
      </c>
      <c r="N55" s="19">
        <v>1.0</v>
      </c>
      <c r="O55" s="19">
        <v>8.0</v>
      </c>
      <c r="P55" s="19">
        <v>13.0</v>
      </c>
      <c r="Q55" s="19">
        <v>10.0</v>
      </c>
      <c r="R55" s="19">
        <v>8.0</v>
      </c>
      <c r="S55" s="19">
        <v>24.0</v>
      </c>
      <c r="T55" s="152">
        <v>1.625</v>
      </c>
      <c r="U55" s="19">
        <v>3.0</v>
      </c>
      <c r="V55" s="1"/>
      <c r="W55" s="1"/>
      <c r="X55" s="1"/>
      <c r="Y55" s="1"/>
      <c r="Z55" s="1"/>
      <c r="AA55" s="1"/>
      <c r="AB55" s="1"/>
    </row>
    <row r="56" ht="15.75" customHeight="1">
      <c r="A56" s="1"/>
      <c r="B56" s="1"/>
      <c r="C56" s="1"/>
      <c r="D56" s="1"/>
      <c r="E56" s="240" t="s">
        <v>84</v>
      </c>
      <c r="F56" s="240" t="s">
        <v>93</v>
      </c>
      <c r="G56" s="19">
        <v>549.0</v>
      </c>
      <c r="H56" s="241">
        <v>21.96</v>
      </c>
      <c r="I56" s="19">
        <v>41.0</v>
      </c>
      <c r="J56" s="19">
        <v>40.0</v>
      </c>
      <c r="K56" s="19">
        <v>1.0</v>
      </c>
      <c r="L56" s="19">
        <v>3.0</v>
      </c>
      <c r="M56" s="152">
        <v>0.07468123861566485</v>
      </c>
      <c r="N56" s="19">
        <v>2.0</v>
      </c>
      <c r="O56" s="19">
        <v>308.0</v>
      </c>
      <c r="P56" s="19">
        <v>12.0</v>
      </c>
      <c r="Q56" s="19">
        <v>13.0</v>
      </c>
      <c r="R56" s="19">
        <v>1.0</v>
      </c>
      <c r="S56" s="19">
        <v>3.0</v>
      </c>
      <c r="T56" s="152">
        <v>0.03896103896103896</v>
      </c>
      <c r="U56" s="19">
        <v>4.0</v>
      </c>
      <c r="V56" s="1"/>
      <c r="W56" s="1"/>
      <c r="X56" s="1"/>
      <c r="Y56" s="1"/>
      <c r="Z56" s="1"/>
      <c r="AA56" s="1"/>
      <c r="AB56" s="1"/>
    </row>
    <row r="57" ht="15.75" customHeight="1">
      <c r="A57" s="1"/>
      <c r="B57" s="1"/>
      <c r="C57" s="1"/>
      <c r="D57" s="1"/>
      <c r="E57" s="240" t="s">
        <v>84</v>
      </c>
      <c r="F57" s="240" t="s">
        <v>72</v>
      </c>
      <c r="G57" s="19">
        <v>605.0</v>
      </c>
      <c r="H57" s="241">
        <v>24.2</v>
      </c>
      <c r="I57" s="19">
        <v>39.0</v>
      </c>
      <c r="J57" s="19">
        <v>41.0</v>
      </c>
      <c r="K57" s="19">
        <v>3.0</v>
      </c>
      <c r="L57" s="19">
        <v>9.0</v>
      </c>
      <c r="M57" s="152">
        <v>0.06446280991735537</v>
      </c>
      <c r="N57" s="19">
        <v>1.0</v>
      </c>
      <c r="O57" s="19">
        <v>542.0</v>
      </c>
      <c r="P57" s="19">
        <v>29.0</v>
      </c>
      <c r="Q57" s="19">
        <v>27.0</v>
      </c>
      <c r="R57" s="19">
        <v>3.0</v>
      </c>
      <c r="S57" s="19">
        <v>8.0</v>
      </c>
      <c r="T57" s="152">
        <v>0.05350553505535055</v>
      </c>
      <c r="U57" s="19">
        <v>2.0</v>
      </c>
      <c r="V57" s="1"/>
      <c r="W57" s="1"/>
      <c r="X57" s="1"/>
      <c r="Y57" s="1"/>
      <c r="Z57" s="1"/>
      <c r="AA57" s="1"/>
      <c r="AB57" s="1"/>
    </row>
    <row r="58" ht="15.75" customHeight="1">
      <c r="A58" s="1"/>
      <c r="B58" s="1"/>
      <c r="C58" s="1"/>
      <c r="D58" s="1"/>
      <c r="E58" s="240" t="s">
        <v>61</v>
      </c>
      <c r="F58" s="240" t="s">
        <v>68</v>
      </c>
      <c r="G58" s="19">
        <v>432.0</v>
      </c>
      <c r="H58" s="241">
        <v>17.28</v>
      </c>
      <c r="I58" s="19">
        <v>33.0</v>
      </c>
      <c r="J58" s="19">
        <v>30.0</v>
      </c>
      <c r="K58" s="19">
        <v>6.0</v>
      </c>
      <c r="L58" s="19">
        <v>13.0</v>
      </c>
      <c r="M58" s="152">
        <v>0.0763888888888889</v>
      </c>
      <c r="N58" s="19">
        <v>2.0</v>
      </c>
      <c r="O58" s="19">
        <v>807.0</v>
      </c>
      <c r="P58" s="19">
        <v>41.0</v>
      </c>
      <c r="Q58" s="19">
        <v>40.0</v>
      </c>
      <c r="R58" s="19">
        <v>2.0</v>
      </c>
      <c r="S58" s="19">
        <v>3.0</v>
      </c>
      <c r="T58" s="152">
        <v>0.05080545229244114</v>
      </c>
      <c r="U58" s="19">
        <v>1.0</v>
      </c>
      <c r="V58" s="1"/>
      <c r="W58" s="1"/>
      <c r="X58" s="1"/>
      <c r="Y58" s="1"/>
      <c r="Z58" s="1"/>
      <c r="AA58" s="1"/>
      <c r="AB58" s="1"/>
    </row>
    <row r="59" ht="15.75" customHeight="1">
      <c r="A59" s="1"/>
      <c r="B59" s="1"/>
      <c r="C59" s="1"/>
      <c r="D59" s="1"/>
      <c r="E59" s="240" t="s">
        <v>84</v>
      </c>
      <c r="F59" s="240" t="s">
        <v>87</v>
      </c>
      <c r="G59" s="19">
        <v>561.0</v>
      </c>
      <c r="H59" s="241">
        <v>22.44</v>
      </c>
      <c r="I59" s="19">
        <v>32.0</v>
      </c>
      <c r="J59" s="19">
        <v>31.0</v>
      </c>
      <c r="K59" s="19">
        <v>1.0</v>
      </c>
      <c r="L59" s="19">
        <v>3.0</v>
      </c>
      <c r="M59" s="152">
        <v>0.0570409982174688</v>
      </c>
      <c r="N59" s="19">
        <v>2.0</v>
      </c>
      <c r="O59" s="19">
        <v>779.0</v>
      </c>
      <c r="P59" s="19">
        <v>21.0</v>
      </c>
      <c r="Q59" s="19">
        <v>12.0</v>
      </c>
      <c r="R59" s="19">
        <v>0.0</v>
      </c>
      <c r="S59" s="19">
        <v>0.0</v>
      </c>
      <c r="T59" s="152">
        <v>0.026957637997432605</v>
      </c>
      <c r="U59" s="19">
        <v>3.0</v>
      </c>
      <c r="V59" s="1"/>
      <c r="W59" s="1"/>
      <c r="X59" s="1"/>
      <c r="Y59" s="1"/>
      <c r="Z59" s="1"/>
      <c r="AA59" s="1"/>
      <c r="AB59" s="1"/>
    </row>
    <row r="60" ht="15.75" customHeight="1">
      <c r="A60" s="1"/>
      <c r="B60" s="1"/>
      <c r="C60" s="1"/>
      <c r="D60" s="1"/>
      <c r="E60" s="240" t="s">
        <v>84</v>
      </c>
      <c r="F60" s="240" t="s">
        <v>94</v>
      </c>
      <c r="G60" s="19">
        <v>513.0</v>
      </c>
      <c r="H60" s="241">
        <v>20.52</v>
      </c>
      <c r="I60" s="19">
        <v>28.0</v>
      </c>
      <c r="J60" s="19">
        <v>28.0</v>
      </c>
      <c r="K60" s="19">
        <v>1.0</v>
      </c>
      <c r="L60" s="19">
        <v>1.0</v>
      </c>
      <c r="M60" s="152">
        <v>0.05458089668615984</v>
      </c>
      <c r="N60" s="19">
        <v>2.0</v>
      </c>
      <c r="O60" s="19">
        <v>718.0</v>
      </c>
      <c r="P60" s="19">
        <v>13.0</v>
      </c>
      <c r="Q60" s="19">
        <v>11.0</v>
      </c>
      <c r="R60" s="19">
        <v>0.0</v>
      </c>
      <c r="S60" s="19">
        <v>0.0</v>
      </c>
      <c r="T60" s="152">
        <v>0.018105849582172703</v>
      </c>
      <c r="U60" s="19">
        <v>3.0</v>
      </c>
      <c r="V60" s="1"/>
      <c r="W60" s="1"/>
      <c r="X60" s="1"/>
      <c r="Y60" s="1"/>
      <c r="Z60" s="1"/>
      <c r="AA60" s="1"/>
      <c r="AB60" s="1"/>
    </row>
    <row r="61" ht="15.75" customHeight="1">
      <c r="A61" s="1"/>
      <c r="B61" s="1"/>
      <c r="C61" s="1"/>
      <c r="D61" s="1"/>
      <c r="E61" s="240" t="s">
        <v>84</v>
      </c>
      <c r="F61" s="240" t="s">
        <v>86</v>
      </c>
      <c r="G61" s="19">
        <v>620.0</v>
      </c>
      <c r="H61" s="241">
        <v>24.8</v>
      </c>
      <c r="I61" s="19">
        <v>28.0</v>
      </c>
      <c r="J61" s="19">
        <v>26.0</v>
      </c>
      <c r="K61" s="19">
        <v>0.0</v>
      </c>
      <c r="L61" s="19">
        <v>0.0</v>
      </c>
      <c r="M61" s="152">
        <v>0.04516129032258064</v>
      </c>
      <c r="N61" s="19">
        <v>3.0</v>
      </c>
      <c r="O61" s="19">
        <v>1259.0</v>
      </c>
      <c r="P61" s="19">
        <v>22.0</v>
      </c>
      <c r="Q61" s="19">
        <v>22.0</v>
      </c>
      <c r="R61" s="19">
        <v>1.0</v>
      </c>
      <c r="S61" s="19">
        <v>3.0</v>
      </c>
      <c r="T61" s="152">
        <v>0.017474185861795076</v>
      </c>
      <c r="U61" s="19">
        <v>3.0</v>
      </c>
      <c r="V61" s="1"/>
      <c r="W61" s="1"/>
      <c r="X61" s="1"/>
      <c r="Y61" s="1"/>
      <c r="Z61" s="1"/>
      <c r="AA61" s="1"/>
      <c r="AB61" s="1"/>
    </row>
    <row r="62" ht="15.75" customHeight="1">
      <c r="A62" s="1"/>
      <c r="B62" s="1"/>
      <c r="C62" s="1"/>
      <c r="D62" s="1"/>
      <c r="E62" s="240" t="s">
        <v>61</v>
      </c>
      <c r="F62" s="240" t="s">
        <v>75</v>
      </c>
      <c r="G62" s="19">
        <v>638.0</v>
      </c>
      <c r="H62" s="241">
        <v>25.52</v>
      </c>
      <c r="I62" s="19">
        <v>26.0</v>
      </c>
      <c r="J62" s="19">
        <v>23.0</v>
      </c>
      <c r="K62" s="19">
        <v>2.0</v>
      </c>
      <c r="L62" s="19">
        <v>6.0</v>
      </c>
      <c r="M62" s="152">
        <v>0.04075235109717868</v>
      </c>
      <c r="N62" s="19">
        <v>3.0</v>
      </c>
      <c r="O62" s="19">
        <v>689.0</v>
      </c>
      <c r="P62" s="19">
        <v>23.0</v>
      </c>
      <c r="Q62" s="19">
        <v>23.0</v>
      </c>
      <c r="R62" s="19">
        <v>1.0</v>
      </c>
      <c r="S62" s="19">
        <v>3.0</v>
      </c>
      <c r="T62" s="152">
        <v>0.033381712626995644</v>
      </c>
      <c r="U62" s="19">
        <v>3.0</v>
      </c>
      <c r="V62" s="1"/>
      <c r="W62" s="1"/>
      <c r="X62" s="1"/>
      <c r="Y62" s="1"/>
      <c r="Z62" s="1"/>
      <c r="AA62" s="1"/>
      <c r="AB62" s="1"/>
    </row>
    <row r="63" ht="15.75" customHeight="1">
      <c r="A63" s="1"/>
      <c r="B63" s="1"/>
      <c r="C63" s="1"/>
      <c r="D63" s="1"/>
      <c r="E63" s="240" t="s">
        <v>61</v>
      </c>
      <c r="F63" s="240" t="s">
        <v>73</v>
      </c>
      <c r="G63" s="19">
        <v>529.0</v>
      </c>
      <c r="H63" s="241">
        <v>21.16</v>
      </c>
      <c r="I63" s="19">
        <v>25.0</v>
      </c>
      <c r="J63" s="19">
        <v>25.0</v>
      </c>
      <c r="K63" s="19">
        <v>0.0</v>
      </c>
      <c r="L63" s="19">
        <v>0.0</v>
      </c>
      <c r="M63" s="152">
        <v>0.04725897920604915</v>
      </c>
      <c r="N63" s="19">
        <v>3.0</v>
      </c>
      <c r="O63" s="19">
        <v>956.0</v>
      </c>
      <c r="P63" s="19">
        <v>9.0</v>
      </c>
      <c r="Q63" s="19">
        <v>9.0</v>
      </c>
      <c r="R63" s="19">
        <v>0.0</v>
      </c>
      <c r="S63" s="19">
        <v>0.0</v>
      </c>
      <c r="T63" s="152">
        <v>0.009414225941422594</v>
      </c>
      <c r="U63" s="19">
        <v>4.0</v>
      </c>
      <c r="V63" s="1"/>
      <c r="W63" s="1"/>
      <c r="X63" s="1"/>
      <c r="Y63" s="1"/>
      <c r="Z63" s="1"/>
      <c r="AA63" s="1"/>
      <c r="AB63" s="1"/>
    </row>
    <row r="64" ht="15.75" customHeight="1">
      <c r="A64" s="1"/>
      <c r="B64" s="1"/>
      <c r="C64" s="1"/>
      <c r="D64" s="1"/>
      <c r="E64" s="240" t="s">
        <v>84</v>
      </c>
      <c r="F64" s="240" t="s">
        <v>81</v>
      </c>
      <c r="G64" s="19">
        <v>257.0</v>
      </c>
      <c r="H64" s="241">
        <v>10.28</v>
      </c>
      <c r="I64" s="19">
        <v>23.0</v>
      </c>
      <c r="J64" s="19">
        <v>21.0</v>
      </c>
      <c r="K64" s="19">
        <v>1.0</v>
      </c>
      <c r="L64" s="19">
        <v>3.0</v>
      </c>
      <c r="M64" s="152">
        <v>0.08949416342412451</v>
      </c>
      <c r="N64" s="19">
        <v>3.0</v>
      </c>
      <c r="O64" s="19">
        <v>254.0</v>
      </c>
      <c r="P64" s="19">
        <v>25.0</v>
      </c>
      <c r="Q64" s="19">
        <v>22.0</v>
      </c>
      <c r="R64" s="19">
        <v>1.0</v>
      </c>
      <c r="S64" s="19">
        <v>2.0</v>
      </c>
      <c r="T64" s="152">
        <v>0.0984251968503937</v>
      </c>
      <c r="U64" s="19">
        <v>3.0</v>
      </c>
      <c r="V64" s="1"/>
      <c r="W64" s="1"/>
      <c r="X64" s="1"/>
      <c r="Y64" s="1"/>
      <c r="Z64" s="1"/>
      <c r="AA64" s="1"/>
      <c r="AB64" s="1"/>
    </row>
    <row r="65" ht="15.75" customHeight="1">
      <c r="A65" s="1"/>
      <c r="B65" s="1"/>
      <c r="C65" s="1"/>
      <c r="D65" s="1"/>
      <c r="E65" s="240" t="s">
        <v>84</v>
      </c>
      <c r="F65" s="240" t="s">
        <v>92</v>
      </c>
      <c r="G65" s="19">
        <v>899.0</v>
      </c>
      <c r="H65" s="241">
        <v>35.96</v>
      </c>
      <c r="I65" s="19">
        <v>22.0</v>
      </c>
      <c r="J65" s="19">
        <v>21.0</v>
      </c>
      <c r="K65" s="19">
        <v>2.0</v>
      </c>
      <c r="L65" s="19">
        <v>4.0</v>
      </c>
      <c r="M65" s="152">
        <v>0.024471635150166853</v>
      </c>
      <c r="N65" s="19">
        <v>3.0</v>
      </c>
      <c r="O65" s="19">
        <v>1234.0</v>
      </c>
      <c r="P65" s="19">
        <v>18.0</v>
      </c>
      <c r="Q65" s="19">
        <v>17.0</v>
      </c>
      <c r="R65" s="19">
        <v>0.0</v>
      </c>
      <c r="S65" s="19">
        <v>0.0</v>
      </c>
      <c r="T65" s="152">
        <v>0.014586709886547812</v>
      </c>
      <c r="U65" s="19">
        <v>3.0</v>
      </c>
      <c r="V65" s="1"/>
      <c r="W65" s="1"/>
      <c r="X65" s="1"/>
      <c r="Y65" s="1"/>
      <c r="Z65" s="1"/>
      <c r="AA65" s="1"/>
      <c r="AB65" s="1"/>
    </row>
    <row r="66" ht="15.75" customHeight="1">
      <c r="A66" s="1"/>
      <c r="B66" s="1"/>
      <c r="C66" s="1"/>
      <c r="D66" s="1"/>
      <c r="E66" s="240" t="s">
        <v>61</v>
      </c>
      <c r="F66" s="240" t="s">
        <v>74</v>
      </c>
      <c r="G66" s="19">
        <v>1065.0</v>
      </c>
      <c r="H66" s="241">
        <v>42.6</v>
      </c>
      <c r="I66" s="19">
        <v>20.0</v>
      </c>
      <c r="J66" s="19">
        <v>18.0</v>
      </c>
      <c r="K66" s="19">
        <v>2.0</v>
      </c>
      <c r="L66" s="19">
        <v>4.0</v>
      </c>
      <c r="M66" s="152">
        <v>0.018779342723004695</v>
      </c>
      <c r="N66" s="19">
        <v>4.0</v>
      </c>
      <c r="O66" s="19">
        <v>1107.0</v>
      </c>
      <c r="P66" s="19">
        <v>27.0</v>
      </c>
      <c r="Q66" s="19">
        <v>26.0</v>
      </c>
      <c r="R66" s="19">
        <v>2.0</v>
      </c>
      <c r="S66" s="19">
        <v>4.0</v>
      </c>
      <c r="T66" s="152">
        <v>0.024390243902439025</v>
      </c>
      <c r="U66" s="19">
        <v>2.0</v>
      </c>
      <c r="V66" s="1"/>
      <c r="W66" s="1"/>
      <c r="X66" s="1"/>
      <c r="Y66" s="1"/>
      <c r="Z66" s="1"/>
      <c r="AA66" s="1"/>
      <c r="AB66" s="1"/>
    </row>
    <row r="67" ht="15.75" customHeight="1">
      <c r="A67" s="1"/>
      <c r="B67" s="1"/>
      <c r="C67" s="1"/>
      <c r="D67" s="1"/>
      <c r="E67" s="240" t="s">
        <v>61</v>
      </c>
      <c r="F67" s="240" t="s">
        <v>77</v>
      </c>
      <c r="G67" s="19">
        <v>73.0</v>
      </c>
      <c r="H67" s="241">
        <v>2.92</v>
      </c>
      <c r="I67" s="19">
        <v>16.0</v>
      </c>
      <c r="J67" s="19">
        <v>16.0</v>
      </c>
      <c r="K67" s="19">
        <v>6.0</v>
      </c>
      <c r="L67" s="19">
        <v>15.0</v>
      </c>
      <c r="M67" s="152">
        <v>0.2191780821917808</v>
      </c>
      <c r="N67" s="19">
        <v>4.0</v>
      </c>
      <c r="O67" s="19">
        <v>148.0</v>
      </c>
      <c r="P67" s="19">
        <v>13.0</v>
      </c>
      <c r="Q67" s="19">
        <v>11.0</v>
      </c>
      <c r="R67" s="19">
        <v>12.0</v>
      </c>
      <c r="S67" s="19">
        <v>25.0</v>
      </c>
      <c r="T67" s="152">
        <v>0.08783783783783784</v>
      </c>
      <c r="U67" s="19">
        <v>3.0</v>
      </c>
      <c r="V67" s="1"/>
      <c r="W67" s="1"/>
      <c r="X67" s="1"/>
      <c r="Y67" s="1"/>
      <c r="Z67" s="1"/>
      <c r="AA67" s="1"/>
      <c r="AB67" s="1"/>
    </row>
    <row r="68" ht="15.75" customHeight="1">
      <c r="A68" s="1"/>
      <c r="B68" s="1"/>
      <c r="C68" s="1"/>
      <c r="D68" s="1"/>
      <c r="E68" s="19" t="s">
        <v>84</v>
      </c>
      <c r="F68" s="240" t="s">
        <v>78</v>
      </c>
      <c r="G68" s="19">
        <v>146.0</v>
      </c>
      <c r="H68" s="19">
        <v>5.84</v>
      </c>
      <c r="I68" s="19">
        <v>16.0</v>
      </c>
      <c r="J68" s="19">
        <v>15.0</v>
      </c>
      <c r="K68" s="19">
        <v>0.0</v>
      </c>
      <c r="L68" s="19">
        <v>0.0</v>
      </c>
      <c r="M68" s="152">
        <v>0.1095890410958904</v>
      </c>
      <c r="N68" s="19">
        <v>4.0</v>
      </c>
      <c r="O68" s="19">
        <v>180.0</v>
      </c>
      <c r="P68" s="19">
        <v>27.0</v>
      </c>
      <c r="Q68" s="19">
        <v>23.0</v>
      </c>
      <c r="R68" s="19">
        <v>0.0</v>
      </c>
      <c r="S68" s="19">
        <v>0.0</v>
      </c>
      <c r="T68" s="152">
        <v>0.15</v>
      </c>
      <c r="U68" s="19">
        <v>2.0</v>
      </c>
      <c r="V68" s="1"/>
      <c r="W68" s="1"/>
      <c r="X68" s="1"/>
      <c r="Y68" s="1"/>
      <c r="Z68" s="1"/>
      <c r="AA68" s="1"/>
      <c r="AB68" s="1"/>
    </row>
    <row r="69" ht="15.75" customHeight="1">
      <c r="A69" s="1"/>
      <c r="B69" s="1"/>
      <c r="C69" s="1"/>
      <c r="D69" s="1"/>
      <c r="E69" s="240" t="s">
        <v>61</v>
      </c>
      <c r="F69" s="240" t="s">
        <v>79</v>
      </c>
      <c r="G69" s="19">
        <v>0.0</v>
      </c>
      <c r="H69" s="241">
        <v>0.0</v>
      </c>
      <c r="I69" s="19">
        <v>15.0</v>
      </c>
      <c r="J69" s="19">
        <v>13.0</v>
      </c>
      <c r="K69" s="19">
        <v>0.0</v>
      </c>
      <c r="L69" s="19">
        <v>0.0</v>
      </c>
      <c r="M69" s="152">
        <v>0.0</v>
      </c>
      <c r="N69" s="19">
        <v>4.0</v>
      </c>
      <c r="O69" s="19" t="e">
        <v>#N/A</v>
      </c>
      <c r="P69" s="19" t="e">
        <v>#N/A</v>
      </c>
      <c r="Q69" s="19" t="e">
        <v>#N/A</v>
      </c>
      <c r="R69" s="19" t="e">
        <v>#N/A</v>
      </c>
      <c r="S69" s="19" t="e">
        <v>#N/A</v>
      </c>
      <c r="T69" s="152" t="e">
        <v>#N/A</v>
      </c>
      <c r="U69" s="19" t="e">
        <v>#N/A</v>
      </c>
      <c r="V69" s="1"/>
      <c r="W69" s="1"/>
      <c r="X69" s="1"/>
      <c r="Y69" s="1"/>
      <c r="Z69" s="1"/>
      <c r="AA69" s="1"/>
      <c r="AB69" s="1"/>
    </row>
    <row r="70" ht="15.75" customHeight="1">
      <c r="A70" s="1"/>
      <c r="B70" s="1"/>
      <c r="C70" s="1"/>
      <c r="D70" s="1"/>
      <c r="E70" s="19" t="s">
        <v>84</v>
      </c>
      <c r="F70" s="240" t="s">
        <v>95</v>
      </c>
      <c r="G70" s="19">
        <v>129.0</v>
      </c>
      <c r="H70" s="19">
        <v>5.16</v>
      </c>
      <c r="I70" s="19">
        <v>12.0</v>
      </c>
      <c r="J70" s="19">
        <v>10.0</v>
      </c>
      <c r="K70" s="19">
        <v>0.0</v>
      </c>
      <c r="L70" s="19">
        <v>0.0</v>
      </c>
      <c r="M70" s="152">
        <v>0.09302325581395349</v>
      </c>
      <c r="N70" s="19">
        <v>4.0</v>
      </c>
      <c r="O70" s="19" t="e">
        <v>#N/A</v>
      </c>
      <c r="P70" s="19" t="e">
        <v>#N/A</v>
      </c>
      <c r="Q70" s="19" t="e">
        <v>#N/A</v>
      </c>
      <c r="R70" s="19" t="e">
        <v>#N/A</v>
      </c>
      <c r="S70" s="19" t="e">
        <v>#N/A</v>
      </c>
      <c r="T70" s="152" t="e">
        <v>#N/A</v>
      </c>
      <c r="U70" s="19" t="e">
        <v>#N/A</v>
      </c>
      <c r="V70" s="1"/>
      <c r="W70" s="1"/>
      <c r="X70" s="1"/>
      <c r="Y70" s="1"/>
      <c r="Z70" s="1"/>
      <c r="AA70" s="1"/>
      <c r="AB70" s="1"/>
    </row>
    <row r="71" ht="15.75" customHeight="1">
      <c r="A71" s="1"/>
      <c r="B71" s="1"/>
      <c r="C71" s="1"/>
      <c r="D71" s="1" t="s">
        <v>207</v>
      </c>
      <c r="E71" s="240" t="s">
        <v>61</v>
      </c>
      <c r="F71" s="240" t="s">
        <v>80</v>
      </c>
      <c r="G71" s="19">
        <v>811.0</v>
      </c>
      <c r="H71" s="241">
        <v>32.44</v>
      </c>
      <c r="I71" s="19">
        <v>11.0</v>
      </c>
      <c r="J71" s="19">
        <v>11.0</v>
      </c>
      <c r="K71" s="19">
        <v>1.0</v>
      </c>
      <c r="L71" s="19">
        <v>1.0</v>
      </c>
      <c r="M71" s="152">
        <v>0.013563501849568433</v>
      </c>
      <c r="N71" s="19">
        <v>4.0</v>
      </c>
      <c r="O71" s="19">
        <v>1200.0</v>
      </c>
      <c r="P71" s="19">
        <v>26.0</v>
      </c>
      <c r="Q71" s="19">
        <v>25.0</v>
      </c>
      <c r="R71" s="19">
        <v>0.0</v>
      </c>
      <c r="S71" s="19">
        <v>0.0</v>
      </c>
      <c r="T71" s="152">
        <v>0.021666666666666667</v>
      </c>
      <c r="U71" s="19">
        <v>2.0</v>
      </c>
      <c r="V71" s="1"/>
      <c r="W71" s="1"/>
      <c r="X71" s="1"/>
      <c r="Y71" s="1"/>
      <c r="Z71" s="1"/>
      <c r="AA71" s="1"/>
      <c r="AB71" s="1"/>
    </row>
    <row r="72" ht="15.75" customHeight="1">
      <c r="A72" s="1"/>
      <c r="B72" s="1"/>
      <c r="C72" s="1"/>
      <c r="D72" s="1" t="s">
        <v>207</v>
      </c>
      <c r="E72" s="240" t="s">
        <v>84</v>
      </c>
      <c r="F72" s="240" t="s">
        <v>90</v>
      </c>
      <c r="G72" s="19">
        <v>524.0</v>
      </c>
      <c r="H72" s="19">
        <v>20.96</v>
      </c>
      <c r="I72" s="19">
        <v>10.0</v>
      </c>
      <c r="J72" s="19">
        <v>9.0</v>
      </c>
      <c r="K72" s="19">
        <v>0.0</v>
      </c>
      <c r="L72" s="19">
        <v>0.0</v>
      </c>
      <c r="M72" s="152">
        <v>0.019083969465648856</v>
      </c>
      <c r="N72" s="19">
        <v>4.0</v>
      </c>
      <c r="O72" s="19">
        <v>1284.0</v>
      </c>
      <c r="P72" s="19">
        <v>19.0</v>
      </c>
      <c r="Q72" s="19">
        <v>18.0</v>
      </c>
      <c r="R72" s="19">
        <v>0.0</v>
      </c>
      <c r="S72" s="19">
        <v>0.0</v>
      </c>
      <c r="T72" s="152">
        <v>0.014797507788161994</v>
      </c>
      <c r="U72" s="19">
        <v>3.0</v>
      </c>
      <c r="V72" s="1"/>
      <c r="W72" s="1"/>
      <c r="X72" s="1"/>
      <c r="Y72" s="1"/>
      <c r="Z72" s="1"/>
      <c r="AA72" s="1"/>
      <c r="AB72" s="1"/>
    </row>
    <row r="73" ht="15.75" customHeight="1">
      <c r="E73" s="240" t="s">
        <v>61</v>
      </c>
      <c r="F73" s="240" t="s">
        <v>82</v>
      </c>
      <c r="G73" s="19">
        <v>0.0</v>
      </c>
      <c r="H73" s="241">
        <v>0.0</v>
      </c>
      <c r="I73" s="19">
        <v>8.0</v>
      </c>
      <c r="J73" s="19">
        <v>6.0</v>
      </c>
      <c r="K73" s="19">
        <v>0.0</v>
      </c>
      <c r="L73" s="19">
        <v>0.0</v>
      </c>
      <c r="M73" s="152">
        <v>0.0</v>
      </c>
      <c r="N73" s="19">
        <v>4.0</v>
      </c>
      <c r="O73" s="19" t="e">
        <v>#N/A</v>
      </c>
      <c r="P73" s="19" t="e">
        <v>#N/A</v>
      </c>
      <c r="Q73" s="19" t="e">
        <v>#N/A</v>
      </c>
      <c r="R73" s="19" t="e">
        <v>#N/A</v>
      </c>
      <c r="S73" s="19" t="e">
        <v>#N/A</v>
      </c>
      <c r="T73" s="152" t="e">
        <v>#N/A</v>
      </c>
      <c r="U73" s="19" t="e">
        <v>#N/A</v>
      </c>
    </row>
    <row r="74" ht="15.75" customHeight="1">
      <c r="E74" s="240" t="s">
        <v>61</v>
      </c>
      <c r="F74" s="240" t="s">
        <v>66</v>
      </c>
      <c r="G74" s="19">
        <v>735.0</v>
      </c>
      <c r="H74" s="241">
        <v>29.4</v>
      </c>
      <c r="I74" s="19">
        <v>7.0</v>
      </c>
      <c r="J74" s="19">
        <v>7.0</v>
      </c>
      <c r="K74" s="19">
        <v>0.0</v>
      </c>
      <c r="L74" s="19">
        <v>0.0</v>
      </c>
      <c r="M74" s="152">
        <v>0.009523809523809525</v>
      </c>
      <c r="N74" s="19">
        <v>4.0</v>
      </c>
      <c r="O74" s="19">
        <v>1454.0</v>
      </c>
      <c r="P74" s="19">
        <v>48.0</v>
      </c>
      <c r="Q74" s="19">
        <v>40.0</v>
      </c>
      <c r="R74" s="19">
        <v>1.0</v>
      </c>
      <c r="S74" s="19">
        <v>3.0</v>
      </c>
      <c r="T74" s="152">
        <v>0.033012379642365884</v>
      </c>
      <c r="U74" s="19">
        <v>1.0</v>
      </c>
    </row>
    <row r="75" ht="15.75" customHeight="1">
      <c r="E75" s="19" t="s">
        <v>84</v>
      </c>
      <c r="F75" s="240" t="s">
        <v>98</v>
      </c>
      <c r="G75" s="19">
        <v>279.0</v>
      </c>
      <c r="H75" s="19">
        <v>11.16</v>
      </c>
      <c r="I75" s="19">
        <v>6.0</v>
      </c>
      <c r="J75" s="19">
        <v>6.0</v>
      </c>
      <c r="K75" s="19">
        <v>0.0</v>
      </c>
      <c r="L75" s="19">
        <v>0.0</v>
      </c>
      <c r="M75" s="152">
        <v>0.021505376344086023</v>
      </c>
      <c r="N75" s="19">
        <v>4.0</v>
      </c>
      <c r="O75" s="19" t="e">
        <v>#N/A</v>
      </c>
      <c r="P75" s="19" t="e">
        <v>#N/A</v>
      </c>
      <c r="Q75" s="19" t="e">
        <v>#N/A</v>
      </c>
      <c r="R75" s="19" t="e">
        <v>#N/A</v>
      </c>
      <c r="S75" s="19" t="e">
        <v>#N/A</v>
      </c>
      <c r="T75" s="152" t="e">
        <v>#N/A</v>
      </c>
      <c r="U75" s="19" t="e">
        <v>#N/A</v>
      </c>
    </row>
    <row r="76" ht="15.75" customHeight="1">
      <c r="E76" s="19" t="s">
        <v>84</v>
      </c>
      <c r="F76" s="240" t="s">
        <v>100</v>
      </c>
      <c r="G76" s="19">
        <v>513.0</v>
      </c>
      <c r="H76" s="19">
        <v>20.52</v>
      </c>
      <c r="I76" s="19">
        <v>5.0</v>
      </c>
      <c r="J76" s="19">
        <v>4.0</v>
      </c>
      <c r="K76" s="19">
        <v>0.0</v>
      </c>
      <c r="L76" s="19">
        <v>0.0</v>
      </c>
      <c r="M76" s="152">
        <v>0.009746588693957114</v>
      </c>
      <c r="N76" s="19">
        <v>4.0</v>
      </c>
      <c r="O76" s="19" t="e">
        <v>#N/A</v>
      </c>
      <c r="P76" s="19" t="e">
        <v>#N/A</v>
      </c>
      <c r="Q76" s="19" t="e">
        <v>#N/A</v>
      </c>
      <c r="R76" s="19" t="e">
        <v>#N/A</v>
      </c>
      <c r="S76" s="19" t="e">
        <v>#N/A</v>
      </c>
      <c r="T76" s="152" t="e">
        <v>#N/A</v>
      </c>
      <c r="U76" s="19" t="e">
        <v>#N/A</v>
      </c>
    </row>
    <row r="77" ht="15.75" customHeight="1">
      <c r="E77" s="19" t="s">
        <v>84</v>
      </c>
      <c r="F77" s="240" t="s">
        <v>102</v>
      </c>
      <c r="G77" s="19">
        <v>561.0</v>
      </c>
      <c r="H77" s="19">
        <v>22.44</v>
      </c>
      <c r="I77" s="19">
        <v>5.0</v>
      </c>
      <c r="J77" s="19">
        <v>3.0</v>
      </c>
      <c r="K77" s="19">
        <v>0.0</v>
      </c>
      <c r="L77" s="19">
        <v>0.0</v>
      </c>
      <c r="M77" s="152">
        <v>0.008912655971479501</v>
      </c>
      <c r="N77" s="19">
        <v>4.0</v>
      </c>
      <c r="O77" s="19" t="e">
        <v>#N/A</v>
      </c>
      <c r="P77" s="19" t="e">
        <v>#N/A</v>
      </c>
      <c r="Q77" s="19" t="e">
        <v>#N/A</v>
      </c>
      <c r="R77" s="19" t="e">
        <v>#N/A</v>
      </c>
      <c r="S77" s="19" t="e">
        <v>#N/A</v>
      </c>
      <c r="T77" s="152" t="e">
        <v>#N/A</v>
      </c>
      <c r="U77" s="19" t="e">
        <v>#N/A</v>
      </c>
    </row>
    <row r="78" ht="15.75" customHeight="1">
      <c r="E78" s="240" t="s">
        <v>61</v>
      </c>
      <c r="F78" s="240" t="s">
        <v>83</v>
      </c>
      <c r="G78" s="19">
        <v>0.0</v>
      </c>
      <c r="H78" s="241">
        <v>0.0</v>
      </c>
      <c r="I78" s="19">
        <v>4.0</v>
      </c>
      <c r="J78" s="19">
        <v>4.0</v>
      </c>
      <c r="K78" s="19">
        <v>2.0</v>
      </c>
      <c r="L78" s="19">
        <v>5.0</v>
      </c>
      <c r="M78" s="152">
        <v>0.0</v>
      </c>
      <c r="N78" s="19">
        <v>4.0</v>
      </c>
      <c r="O78" s="19" t="e">
        <v>#N/A</v>
      </c>
      <c r="P78" s="19" t="e">
        <v>#N/A</v>
      </c>
      <c r="Q78" s="19" t="e">
        <v>#N/A</v>
      </c>
      <c r="R78" s="19" t="e">
        <v>#N/A</v>
      </c>
      <c r="S78" s="19" t="e">
        <v>#N/A</v>
      </c>
      <c r="T78" s="152" t="e">
        <v>#N/A</v>
      </c>
      <c r="U78" s="19" t="e">
        <v>#N/A</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F$43:$T$72"/>
  <customSheetViews>
    <customSheetView guid="{A4C2A468-0581-4164-B1DD-FF740B5AE284}" filter="1" showAutoFilter="1">
      <autoFilter ref="$F$8:$AB$23"/>
      <extLst>
        <ext uri="GoogleSheetsCustomDataVersion1">
          <go:sheetsCustomData xmlns:go="http://customooxmlschemas.google.com/" filterViewId="1865365712"/>
        </ext>
      </extLst>
    </customSheetView>
    <customSheetView guid="{0F4F9DCB-5B4C-45A5-A570-C803B034AC2E}" filter="1" showAutoFilter="1">
      <autoFilter ref="$F$8:$AB$23"/>
      <extLst>
        <ext uri="GoogleSheetsCustomDataVersion1">
          <go:sheetsCustomData xmlns:go="http://customooxmlschemas.google.com/" filterViewId="215671227"/>
        </ext>
      </extLst>
    </customSheetView>
  </customSheetViews>
  <mergeCells count="7">
    <mergeCell ref="F2:R2"/>
    <mergeCell ref="F26:G26"/>
    <mergeCell ref="I26:J26"/>
    <mergeCell ref="L26:M26"/>
    <mergeCell ref="N26:O26"/>
    <mergeCell ref="E42:N42"/>
    <mergeCell ref="O42:U42"/>
  </mergeCells>
  <printOptions/>
  <pageMargins bottom="0.75" footer="0.0" header="0.0" left="0.7" right="0.7" top="0.75"/>
  <pageSetup orientation="landscape"/>
  <drawing r:id="rId1"/>
  <tableParts count="1">
    <tablePart r:id="rId3"/>
  </tableParts>
  <extLst>
    <ext uri="{3A4CF648-6AED-40f4-86FF-DC5316D8AED3}">
      <x14:slicerList>
        <x14:slicer r:id="rId4"/>
      </x14:slicerList>
    </ext>
  </extLst>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c r="P27" s="44" t="s">
        <v>251</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14"/>
    <col customWidth="1" min="2" max="2" width="15.86"/>
    <col customWidth="1" min="3" max="3" width="17.43"/>
    <col customWidth="1" min="4" max="4" width="17.57"/>
    <col customWidth="1" min="5" max="26" width="10.71"/>
  </cols>
  <sheetData>
    <row r="2">
      <c r="A2" s="105" t="s">
        <v>252</v>
      </c>
      <c r="B2" s="105" t="s">
        <v>253</v>
      </c>
      <c r="C2" s="105" t="s">
        <v>254</v>
      </c>
      <c r="D2" s="105" t="s">
        <v>255</v>
      </c>
    </row>
    <row r="3">
      <c r="A3" s="106" t="s">
        <v>256</v>
      </c>
      <c r="B3" s="106">
        <v>17.455</v>
      </c>
      <c r="C3" s="106">
        <v>793.0</v>
      </c>
      <c r="D3" s="106">
        <v>24.0</v>
      </c>
    </row>
    <row r="4">
      <c r="A4" s="106" t="s">
        <v>257</v>
      </c>
      <c r="B4" s="106">
        <v>9.077</v>
      </c>
      <c r="C4" s="106">
        <v>413.0</v>
      </c>
      <c r="D4" s="106">
        <v>13.0</v>
      </c>
    </row>
    <row r="5">
      <c r="A5" s="106" t="s">
        <v>258</v>
      </c>
      <c r="B5" s="106">
        <v>1.513</v>
      </c>
      <c r="C5" s="106">
        <v>69.0</v>
      </c>
      <c r="D5" s="106" t="s">
        <v>259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44" t="s">
        <v>260</v>
      </c>
    </row>
    <row r="2">
      <c r="B2" s="44" t="s">
        <v>121</v>
      </c>
    </row>
    <row r="3">
      <c r="B3" s="44" t="s">
        <v>261</v>
      </c>
    </row>
    <row r="4">
      <c r="B4" s="44" t="s">
        <v>262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7"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c r="A77" s="44" t="s">
        <v>263</v>
      </c>
    </row>
    <row r="78" ht="15.75" customHeight="1">
      <c r="A78" s="242" t="s">
        <v>264</v>
      </c>
      <c r="B78" s="243" t="s">
        <v>265</v>
      </c>
      <c r="C78" s="243" t="s">
        <v>266</v>
      </c>
      <c r="D78" s="243" t="s">
        <v>267</v>
      </c>
      <c r="E78" s="243" t="s">
        <v>268</v>
      </c>
      <c r="F78" s="243" t="s">
        <v>269</v>
      </c>
      <c r="G78" s="243" t="s">
        <v>270</v>
      </c>
      <c r="H78" s="243" t="s">
        <v>271</v>
      </c>
      <c r="I78" s="243" t="s">
        <v>272</v>
      </c>
      <c r="J78" s="243" t="s">
        <v>273</v>
      </c>
      <c r="K78" s="243" t="s">
        <v>274</v>
      </c>
      <c r="L78" s="244" t="s">
        <v>275</v>
      </c>
      <c r="M78" s="245" t="s">
        <v>276</v>
      </c>
    </row>
    <row r="79" ht="15.75" customHeight="1">
      <c r="A79" s="246" t="s">
        <v>120</v>
      </c>
      <c r="B79" s="179">
        <v>8000.0</v>
      </c>
      <c r="C79" s="179">
        <v>15000.0</v>
      </c>
      <c r="D79" s="179">
        <v>15000.0</v>
      </c>
      <c r="E79" s="179">
        <v>21000.0</v>
      </c>
      <c r="F79" s="179">
        <v>18000.0</v>
      </c>
      <c r="G79" s="179">
        <v>19700.0</v>
      </c>
      <c r="H79" s="179">
        <v>18000.0</v>
      </c>
      <c r="I79" s="179">
        <v>21400.0</v>
      </c>
      <c r="J79" s="179">
        <v>22000.0</v>
      </c>
      <c r="K79" s="179">
        <v>29370.0</v>
      </c>
      <c r="L79" s="179"/>
      <c r="M79" s="247">
        <v>187470.0</v>
      </c>
    </row>
    <row r="80" ht="15.75" customHeight="1">
      <c r="A80" s="246" t="s">
        <v>121</v>
      </c>
      <c r="B80" s="179">
        <v>8000.0</v>
      </c>
      <c r="C80" s="179">
        <v>15000.0</v>
      </c>
      <c r="D80" s="179">
        <v>15000.0</v>
      </c>
      <c r="E80" s="179">
        <v>21000.0</v>
      </c>
      <c r="F80" s="179">
        <v>18000.0</v>
      </c>
      <c r="G80" s="179">
        <v>19700.0</v>
      </c>
      <c r="H80" s="179">
        <v>18000.0</v>
      </c>
      <c r="I80" s="179">
        <v>21400.0</v>
      </c>
      <c r="J80" s="179">
        <v>19997.0</v>
      </c>
      <c r="K80" s="179">
        <v>29358.0</v>
      </c>
      <c r="L80" s="179"/>
      <c r="M80" s="247">
        <v>185455.0</v>
      </c>
    </row>
    <row r="81" ht="15.75" customHeight="1">
      <c r="A81" s="246" t="s">
        <v>122</v>
      </c>
      <c r="B81" s="180" t="s">
        <v>141</v>
      </c>
      <c r="C81" s="180" t="s">
        <v>141</v>
      </c>
      <c r="D81" s="180" t="s">
        <v>141</v>
      </c>
      <c r="E81" s="180" t="s">
        <v>141</v>
      </c>
      <c r="F81" s="180" t="s">
        <v>141</v>
      </c>
      <c r="G81" s="180" t="s">
        <v>141</v>
      </c>
      <c r="H81" s="180" t="s">
        <v>141</v>
      </c>
      <c r="I81" s="180" t="s">
        <v>141</v>
      </c>
      <c r="J81" s="180" t="s">
        <v>240</v>
      </c>
      <c r="K81" s="180" t="s">
        <v>141</v>
      </c>
      <c r="L81" s="180"/>
      <c r="M81" s="183" t="s">
        <v>143</v>
      </c>
    </row>
    <row r="82" ht="15.75" customHeight="1">
      <c r="A82" s="246" t="s">
        <v>123</v>
      </c>
      <c r="B82" s="179">
        <v>23971.0</v>
      </c>
      <c r="C82" s="179">
        <v>30472.0</v>
      </c>
      <c r="D82" s="179">
        <v>46285.0</v>
      </c>
      <c r="E82" s="179">
        <v>55958.0</v>
      </c>
      <c r="F82" s="179">
        <v>57490.0</v>
      </c>
      <c r="G82" s="179">
        <v>64183.0</v>
      </c>
      <c r="H82" s="179">
        <v>50931.0</v>
      </c>
      <c r="I82" s="179">
        <v>58960.0</v>
      </c>
      <c r="J82" s="179">
        <v>55718.0</v>
      </c>
      <c r="K82" s="179">
        <v>77963.0</v>
      </c>
      <c r="L82" s="179"/>
      <c r="M82" s="247">
        <v>521931.0</v>
      </c>
    </row>
    <row r="83" ht="15.75" customHeight="1">
      <c r="A83" s="246" t="s">
        <v>124</v>
      </c>
      <c r="B83" s="180">
        <v>3.0</v>
      </c>
      <c r="C83" s="180">
        <v>2.03</v>
      </c>
      <c r="D83" s="180">
        <v>3.09</v>
      </c>
      <c r="E83" s="180">
        <v>2.66</v>
      </c>
      <c r="F83" s="180">
        <v>3.19</v>
      </c>
      <c r="G83" s="180">
        <v>3.26</v>
      </c>
      <c r="H83" s="180">
        <v>2.83</v>
      </c>
      <c r="I83" s="180">
        <v>2.76</v>
      </c>
      <c r="J83" s="180">
        <v>2.53</v>
      </c>
      <c r="K83" s="180">
        <v>2.65</v>
      </c>
      <c r="L83" s="180"/>
      <c r="M83" s="183">
        <v>2.78</v>
      </c>
    </row>
    <row r="84" ht="15.75" customHeight="1">
      <c r="A84" s="246" t="s">
        <v>125</v>
      </c>
      <c r="B84" s="179">
        <v>2934.0</v>
      </c>
      <c r="C84" s="179">
        <v>6534.0</v>
      </c>
      <c r="D84" s="179">
        <v>8808.0</v>
      </c>
      <c r="E84" s="179">
        <v>11871.0</v>
      </c>
      <c r="F84" s="179">
        <v>9906.0</v>
      </c>
      <c r="G84" s="179">
        <v>11027.0</v>
      </c>
      <c r="H84" s="179">
        <v>9528.0</v>
      </c>
      <c r="I84" s="179">
        <v>11317.0</v>
      </c>
      <c r="J84" s="179">
        <v>10206.0</v>
      </c>
      <c r="K84" s="179">
        <v>14573.0</v>
      </c>
      <c r="L84" s="179"/>
      <c r="M84" s="247">
        <v>96704.0</v>
      </c>
    </row>
    <row r="85" ht="15.75" customHeight="1">
      <c r="A85" s="246" t="s">
        <v>126</v>
      </c>
      <c r="B85" s="180" t="s">
        <v>277</v>
      </c>
      <c r="C85" s="180" t="s">
        <v>171</v>
      </c>
      <c r="D85" s="180" t="s">
        <v>228</v>
      </c>
      <c r="E85" s="180" t="s">
        <v>232</v>
      </c>
      <c r="F85" s="180" t="s">
        <v>183</v>
      </c>
      <c r="G85" s="180" t="s">
        <v>236</v>
      </c>
      <c r="H85" s="180" t="s">
        <v>154</v>
      </c>
      <c r="I85" s="180" t="s">
        <v>154</v>
      </c>
      <c r="J85" s="180" t="s">
        <v>187</v>
      </c>
      <c r="K85" s="180" t="s">
        <v>241</v>
      </c>
      <c r="L85" s="180"/>
      <c r="M85" s="183" t="s">
        <v>149</v>
      </c>
    </row>
    <row r="86" ht="15.75" customHeight="1">
      <c r="A86" s="246" t="s">
        <v>127</v>
      </c>
      <c r="B86" s="180">
        <v>804.0</v>
      </c>
      <c r="C86" s="180">
        <v>2164.0</v>
      </c>
      <c r="D86" s="180">
        <v>2832.0</v>
      </c>
      <c r="E86" s="180">
        <v>4149.0</v>
      </c>
      <c r="F86" s="180">
        <v>4671.0</v>
      </c>
      <c r="G86" s="180">
        <v>5200.0</v>
      </c>
      <c r="H86" s="180">
        <v>4061.0</v>
      </c>
      <c r="I86" s="180">
        <v>4663.0</v>
      </c>
      <c r="J86" s="180">
        <v>4474.0</v>
      </c>
      <c r="K86" s="180">
        <v>6569.0</v>
      </c>
      <c r="L86" s="180"/>
      <c r="M86" s="183">
        <v>39587.0</v>
      </c>
    </row>
    <row r="87" ht="15.75" customHeight="1">
      <c r="A87" s="246" t="s">
        <v>128</v>
      </c>
      <c r="B87" s="180" t="s">
        <v>221</v>
      </c>
      <c r="C87" s="180" t="s">
        <v>225</v>
      </c>
      <c r="D87" s="180" t="s">
        <v>229</v>
      </c>
      <c r="E87" s="180" t="s">
        <v>233</v>
      </c>
      <c r="F87" s="180" t="s">
        <v>155</v>
      </c>
      <c r="G87" s="180" t="s">
        <v>155</v>
      </c>
      <c r="H87" s="180" t="s">
        <v>158</v>
      </c>
      <c r="I87" s="180" t="s">
        <v>238</v>
      </c>
      <c r="J87" s="180" t="s">
        <v>171</v>
      </c>
      <c r="K87" s="180" t="s">
        <v>165</v>
      </c>
      <c r="L87" s="180"/>
      <c r="M87" s="183" t="s">
        <v>238</v>
      </c>
    </row>
    <row r="88" ht="15.75" customHeight="1">
      <c r="A88" s="246" t="s">
        <v>129</v>
      </c>
      <c r="B88" s="180">
        <v>0.0</v>
      </c>
      <c r="C88" s="180">
        <v>0.0</v>
      </c>
      <c r="D88" s="180">
        <v>0.0</v>
      </c>
      <c r="E88" s="180">
        <v>0.0</v>
      </c>
      <c r="F88" s="180">
        <v>0.0</v>
      </c>
      <c r="G88" s="180">
        <v>0.0</v>
      </c>
      <c r="H88" s="180">
        <v>0.0</v>
      </c>
      <c r="I88" s="180">
        <v>0.0</v>
      </c>
      <c r="J88" s="180">
        <v>0.0</v>
      </c>
      <c r="K88" s="180">
        <v>0.0</v>
      </c>
      <c r="L88" s="180"/>
      <c r="M88" s="183">
        <v>0.0</v>
      </c>
    </row>
    <row r="89" ht="15.75" customHeight="1">
      <c r="A89" s="246" t="s">
        <v>130</v>
      </c>
      <c r="B89" s="180" t="s">
        <v>145</v>
      </c>
      <c r="C89" s="180" t="s">
        <v>145</v>
      </c>
      <c r="D89" s="180" t="s">
        <v>145</v>
      </c>
      <c r="E89" s="180" t="s">
        <v>145</v>
      </c>
      <c r="F89" s="180" t="s">
        <v>145</v>
      </c>
      <c r="G89" s="180" t="s">
        <v>145</v>
      </c>
      <c r="H89" s="180" t="s">
        <v>145</v>
      </c>
      <c r="I89" s="180" t="s">
        <v>145</v>
      </c>
      <c r="J89" s="180" t="s">
        <v>145</v>
      </c>
      <c r="K89" s="180" t="s">
        <v>145</v>
      </c>
      <c r="L89" s="180"/>
      <c r="M89" s="183" t="s">
        <v>145</v>
      </c>
    </row>
    <row r="90" ht="15.75" customHeight="1">
      <c r="A90" s="246" t="s">
        <v>278</v>
      </c>
      <c r="B90" s="180"/>
      <c r="C90" s="180"/>
      <c r="D90" s="180"/>
      <c r="E90" s="180">
        <v>106.0</v>
      </c>
      <c r="F90" s="180">
        <v>57.0</v>
      </c>
      <c r="G90" s="180">
        <v>80.0</v>
      </c>
      <c r="H90" s="180">
        <v>57.0</v>
      </c>
      <c r="I90" s="180">
        <v>71.0</v>
      </c>
      <c r="J90" s="180">
        <v>73.0</v>
      </c>
      <c r="K90" s="180">
        <v>63.0</v>
      </c>
      <c r="L90" s="180"/>
      <c r="M90" s="183">
        <v>507.0</v>
      </c>
    </row>
    <row r="91" ht="15.75" customHeight="1">
      <c r="A91" s="246" t="s">
        <v>132</v>
      </c>
      <c r="B91" s="180" t="s">
        <v>145</v>
      </c>
      <c r="C91" s="180" t="s">
        <v>145</v>
      </c>
      <c r="D91" s="180" t="s">
        <v>145</v>
      </c>
      <c r="E91" s="180" t="s">
        <v>160</v>
      </c>
      <c r="F91" s="180" t="s">
        <v>161</v>
      </c>
      <c r="G91" s="180" t="s">
        <v>168</v>
      </c>
      <c r="H91" s="180" t="s">
        <v>161</v>
      </c>
      <c r="I91" s="180" t="s">
        <v>161</v>
      </c>
      <c r="J91" s="180" t="s">
        <v>168</v>
      </c>
      <c r="K91" s="180" t="s">
        <v>152</v>
      </c>
      <c r="L91" s="180"/>
      <c r="M91" s="183" t="s">
        <v>153</v>
      </c>
    </row>
    <row r="92" ht="15.75" customHeight="1">
      <c r="A92" s="246" t="s">
        <v>279</v>
      </c>
      <c r="B92" s="180">
        <v>113.0</v>
      </c>
      <c r="C92" s="180">
        <v>212.0</v>
      </c>
      <c r="D92" s="180">
        <v>126.0</v>
      </c>
      <c r="E92" s="180">
        <v>95.0</v>
      </c>
      <c r="F92" s="180">
        <v>57.0</v>
      </c>
      <c r="G92" s="180">
        <v>68.0</v>
      </c>
      <c r="H92" s="180">
        <v>53.0</v>
      </c>
      <c r="I92" s="180">
        <v>48.0</v>
      </c>
      <c r="J92" s="180">
        <v>47.0</v>
      </c>
      <c r="K92" s="180">
        <v>45.0</v>
      </c>
      <c r="L92" s="180"/>
      <c r="M92" s="183">
        <v>864.0</v>
      </c>
    </row>
    <row r="93" ht="15.75" customHeight="1">
      <c r="A93" s="246" t="s">
        <v>134</v>
      </c>
      <c r="B93" s="180" t="s">
        <v>222</v>
      </c>
      <c r="C93" s="180" t="s">
        <v>144</v>
      </c>
      <c r="D93" s="180" t="s">
        <v>174</v>
      </c>
      <c r="E93" s="180" t="s">
        <v>173</v>
      </c>
      <c r="F93" s="180" t="s">
        <v>161</v>
      </c>
      <c r="G93" s="180" t="s">
        <v>161</v>
      </c>
      <c r="H93" s="180" t="s">
        <v>161</v>
      </c>
      <c r="I93" s="180" t="s">
        <v>152</v>
      </c>
      <c r="J93" s="180" t="s">
        <v>153</v>
      </c>
      <c r="K93" s="180" t="s">
        <v>148</v>
      </c>
      <c r="L93" s="180"/>
      <c r="M93" s="183" t="s">
        <v>160</v>
      </c>
    </row>
    <row r="94" ht="15.75" customHeight="1">
      <c r="A94" s="246" t="s">
        <v>135</v>
      </c>
      <c r="B94" s="180">
        <v>76.0</v>
      </c>
      <c r="C94" s="180">
        <v>179.0</v>
      </c>
      <c r="D94" s="180">
        <v>135.0</v>
      </c>
      <c r="E94" s="180">
        <v>66.0</v>
      </c>
      <c r="F94" s="180">
        <v>57.0</v>
      </c>
      <c r="G94" s="180">
        <v>68.0</v>
      </c>
      <c r="H94" s="180">
        <v>46.0</v>
      </c>
      <c r="I94" s="180">
        <v>46.0</v>
      </c>
      <c r="J94" s="180">
        <v>45.0</v>
      </c>
      <c r="K94" s="180">
        <v>45.0</v>
      </c>
      <c r="L94" s="180"/>
      <c r="M94" s="183">
        <v>763.0</v>
      </c>
    </row>
    <row r="95" ht="15.75" customHeight="1">
      <c r="A95" s="246" t="s">
        <v>280</v>
      </c>
      <c r="B95" s="180">
        <v>0.09</v>
      </c>
      <c r="C95" s="180">
        <v>0.07</v>
      </c>
      <c r="D95" s="180">
        <v>0.05</v>
      </c>
      <c r="E95" s="180">
        <v>0.03</v>
      </c>
      <c r="F95" s="180">
        <v>0.02</v>
      </c>
      <c r="G95" s="180">
        <v>0.03</v>
      </c>
      <c r="H95" s="180">
        <v>0.02</v>
      </c>
      <c r="I95" s="180">
        <v>0.03</v>
      </c>
      <c r="J95" s="180">
        <v>0.03</v>
      </c>
      <c r="K95" s="180">
        <v>0.02</v>
      </c>
      <c r="L95" s="180"/>
      <c r="M95" s="183">
        <v>0.04</v>
      </c>
    </row>
    <row r="96" ht="15.75" customHeight="1">
      <c r="A96" s="246" t="s">
        <v>136</v>
      </c>
      <c r="B96" s="180" t="s">
        <v>223</v>
      </c>
      <c r="C96" s="180" t="s">
        <v>226</v>
      </c>
      <c r="D96" s="180" t="s">
        <v>230</v>
      </c>
      <c r="E96" s="180" t="s">
        <v>161</v>
      </c>
      <c r="F96" s="180" t="s">
        <v>161</v>
      </c>
      <c r="G96" s="180" t="s">
        <v>161</v>
      </c>
      <c r="H96" s="180" t="s">
        <v>153</v>
      </c>
      <c r="I96" s="180" t="s">
        <v>152</v>
      </c>
      <c r="J96" s="180" t="s">
        <v>152</v>
      </c>
      <c r="K96" s="180" t="s">
        <v>148</v>
      </c>
      <c r="L96" s="180"/>
      <c r="M96" s="183" t="s">
        <v>173</v>
      </c>
    </row>
    <row r="97" ht="15.75" customHeight="1">
      <c r="A97" s="246" t="s">
        <v>137</v>
      </c>
      <c r="B97" s="180">
        <v>127.0</v>
      </c>
      <c r="C97" s="180">
        <v>329.0</v>
      </c>
      <c r="D97" s="180">
        <v>500.0</v>
      </c>
      <c r="E97" s="180">
        <v>454.0</v>
      </c>
      <c r="F97" s="180">
        <v>470.0</v>
      </c>
      <c r="G97" s="180">
        <v>527.0</v>
      </c>
      <c r="H97" s="180">
        <v>346.0</v>
      </c>
      <c r="I97" s="180">
        <v>370.0</v>
      </c>
      <c r="J97" s="180">
        <v>262.0</v>
      </c>
      <c r="K97" s="180">
        <v>477.0</v>
      </c>
      <c r="L97" s="180"/>
      <c r="M97" s="183">
        <v>3862.0</v>
      </c>
    </row>
    <row r="98" ht="15.75" customHeight="1">
      <c r="A98" s="246" t="s">
        <v>281</v>
      </c>
      <c r="B98" s="180">
        <v>0.15</v>
      </c>
      <c r="C98" s="180">
        <v>0.13</v>
      </c>
      <c r="D98" s="180">
        <v>0.19</v>
      </c>
      <c r="E98" s="180">
        <v>0.18</v>
      </c>
      <c r="F98" s="180">
        <v>0.18</v>
      </c>
      <c r="G98" s="180">
        <v>0.2</v>
      </c>
      <c r="H98" s="180">
        <v>0.15</v>
      </c>
      <c r="I98" s="180">
        <v>0.23</v>
      </c>
      <c r="J98" s="180">
        <v>0.16</v>
      </c>
      <c r="K98" s="180">
        <v>0.22</v>
      </c>
      <c r="L98" s="180"/>
      <c r="M98" s="183">
        <v>0.18</v>
      </c>
    </row>
    <row r="99" ht="15.75" customHeight="1">
      <c r="A99" s="246" t="s">
        <v>138</v>
      </c>
      <c r="B99" s="180" t="s">
        <v>224</v>
      </c>
      <c r="C99" s="180" t="s">
        <v>227</v>
      </c>
      <c r="D99" s="180" t="s">
        <v>231</v>
      </c>
      <c r="E99" s="180" t="s">
        <v>234</v>
      </c>
      <c r="F99" s="180" t="s">
        <v>235</v>
      </c>
      <c r="G99" s="180" t="s">
        <v>184</v>
      </c>
      <c r="H99" s="180" t="s">
        <v>237</v>
      </c>
      <c r="I99" s="180" t="s">
        <v>239</v>
      </c>
      <c r="J99" s="180" t="s">
        <v>223</v>
      </c>
      <c r="K99" s="180" t="s">
        <v>239</v>
      </c>
      <c r="L99" s="180"/>
      <c r="M99" s="183" t="s">
        <v>282</v>
      </c>
    </row>
    <row r="100" ht="15.75" customHeight="1">
      <c r="A100" s="246" t="s">
        <v>139</v>
      </c>
      <c r="B100" s="180">
        <v>203.0</v>
      </c>
      <c r="C100" s="180">
        <v>508.0</v>
      </c>
      <c r="D100" s="180">
        <v>635.0</v>
      </c>
      <c r="E100" s="180">
        <v>520.0</v>
      </c>
      <c r="F100" s="180">
        <v>527.0</v>
      </c>
      <c r="G100" s="180">
        <v>595.0</v>
      </c>
      <c r="H100" s="180">
        <v>392.0</v>
      </c>
      <c r="I100" s="180">
        <v>416.0</v>
      </c>
      <c r="J100" s="180">
        <v>307.0</v>
      </c>
      <c r="K100" s="180">
        <v>522.0</v>
      </c>
      <c r="L100" s="180"/>
      <c r="M100" s="183">
        <v>4625.0</v>
      </c>
    </row>
    <row r="101" ht="15.75" customHeight="1">
      <c r="A101" s="248" t="s">
        <v>140</v>
      </c>
      <c r="B101" s="209" t="s">
        <v>283</v>
      </c>
      <c r="C101" s="209" t="s">
        <v>176</v>
      </c>
      <c r="D101" s="209" t="s">
        <v>284</v>
      </c>
      <c r="E101" s="209" t="s">
        <v>285</v>
      </c>
      <c r="F101" s="209" t="s">
        <v>286</v>
      </c>
      <c r="G101" s="209" t="s">
        <v>191</v>
      </c>
      <c r="H101" s="209" t="s">
        <v>287</v>
      </c>
      <c r="I101" s="209" t="s">
        <v>288</v>
      </c>
      <c r="J101" s="209" t="s">
        <v>289</v>
      </c>
      <c r="K101" s="209" t="s">
        <v>237</v>
      </c>
      <c r="L101" s="209"/>
      <c r="M101" s="249" t="s">
        <v>184</v>
      </c>
    </row>
    <row r="102" ht="15.75" customHeight="1"/>
    <row r="103" ht="15.75" customHeight="1"/>
    <row r="104" ht="15.75" customHeight="1">
      <c r="A104" s="44" t="s">
        <v>290</v>
      </c>
    </row>
    <row r="105" ht="15.75" customHeight="1">
      <c r="A105" s="242" t="s">
        <v>264</v>
      </c>
      <c r="B105" s="244" t="s">
        <v>291</v>
      </c>
      <c r="C105" s="244" t="s">
        <v>292</v>
      </c>
      <c r="D105" s="244" t="s">
        <v>293</v>
      </c>
      <c r="E105" s="244" t="s">
        <v>294</v>
      </c>
      <c r="F105" s="244" t="s">
        <v>295</v>
      </c>
      <c r="G105" s="244" t="s">
        <v>296</v>
      </c>
      <c r="H105" s="244" t="s">
        <v>297</v>
      </c>
      <c r="I105" s="244" t="s">
        <v>298</v>
      </c>
      <c r="J105" s="244" t="s">
        <v>299</v>
      </c>
      <c r="K105" s="244" t="s">
        <v>300</v>
      </c>
      <c r="L105" s="244" t="s">
        <v>301</v>
      </c>
      <c r="M105" s="244" t="s">
        <v>272</v>
      </c>
      <c r="N105" s="244" t="s">
        <v>273</v>
      </c>
      <c r="O105" s="244" t="s">
        <v>274</v>
      </c>
      <c r="P105" s="244" t="s">
        <v>275</v>
      </c>
      <c r="Q105" s="244" t="s">
        <v>302</v>
      </c>
      <c r="R105" s="245" t="s">
        <v>276</v>
      </c>
    </row>
    <row r="106" ht="15.75" customHeight="1">
      <c r="A106" s="250" t="s">
        <v>120</v>
      </c>
      <c r="B106" s="179">
        <v>28260.0</v>
      </c>
      <c r="C106" s="179">
        <v>40200.0</v>
      </c>
      <c r="D106" s="179">
        <v>34452.0</v>
      </c>
      <c r="E106" s="179">
        <v>44817.0</v>
      </c>
      <c r="F106" s="179">
        <v>46975.0</v>
      </c>
      <c r="G106" s="179">
        <v>47904.0</v>
      </c>
      <c r="H106" s="179">
        <v>48708.0</v>
      </c>
      <c r="I106" s="179">
        <v>54965.0</v>
      </c>
      <c r="J106" s="179">
        <v>46516.0</v>
      </c>
      <c r="K106" s="179">
        <v>46615.0</v>
      </c>
      <c r="L106" s="179">
        <v>41479.0</v>
      </c>
      <c r="M106" s="179">
        <v>52333.0</v>
      </c>
      <c r="N106" s="179">
        <v>42592.0</v>
      </c>
      <c r="O106" s="179">
        <v>40300.0</v>
      </c>
      <c r="P106" s="179"/>
      <c r="Q106" s="179"/>
      <c r="R106" s="247">
        <v>616116.0</v>
      </c>
    </row>
    <row r="107" ht="15.75" customHeight="1">
      <c r="A107" s="250" t="s">
        <v>121</v>
      </c>
      <c r="B107" s="179">
        <v>28260.0</v>
      </c>
      <c r="C107" s="179">
        <v>40200.0</v>
      </c>
      <c r="D107" s="179">
        <v>34452.0</v>
      </c>
      <c r="E107" s="179">
        <v>35738.0</v>
      </c>
      <c r="F107" s="179">
        <v>35421.0</v>
      </c>
      <c r="G107" s="179">
        <v>47904.0</v>
      </c>
      <c r="H107" s="179">
        <v>48706.0</v>
      </c>
      <c r="I107" s="179">
        <v>54922.0</v>
      </c>
      <c r="J107" s="179">
        <v>45493.0</v>
      </c>
      <c r="K107" s="179">
        <v>46596.0</v>
      </c>
      <c r="L107" s="179">
        <v>41469.0</v>
      </c>
      <c r="M107" s="179">
        <v>52270.0</v>
      </c>
      <c r="N107" s="179">
        <v>41439.0</v>
      </c>
      <c r="O107" s="179">
        <v>37206.0</v>
      </c>
      <c r="P107" s="179"/>
      <c r="Q107" s="179"/>
      <c r="R107" s="247">
        <v>590076.0</v>
      </c>
    </row>
    <row r="108" ht="15.75" customHeight="1">
      <c r="A108" s="250" t="s">
        <v>122</v>
      </c>
      <c r="B108" s="180" t="s">
        <v>141</v>
      </c>
      <c r="C108" s="180" t="s">
        <v>141</v>
      </c>
      <c r="D108" s="180" t="s">
        <v>141</v>
      </c>
      <c r="E108" s="180" t="s">
        <v>157</v>
      </c>
      <c r="F108" s="180" t="s">
        <v>163</v>
      </c>
      <c r="G108" s="180" t="s">
        <v>141</v>
      </c>
      <c r="H108" s="180" t="s">
        <v>141</v>
      </c>
      <c r="I108" s="180" t="s">
        <v>141</v>
      </c>
      <c r="J108" s="180" t="s">
        <v>178</v>
      </c>
      <c r="K108" s="180" t="s">
        <v>141</v>
      </c>
      <c r="L108" s="180" t="s">
        <v>141</v>
      </c>
      <c r="M108" s="180" t="s">
        <v>141</v>
      </c>
      <c r="N108" s="180" t="s">
        <v>186</v>
      </c>
      <c r="O108" s="180" t="s">
        <v>189</v>
      </c>
      <c r="P108" s="180"/>
      <c r="Q108" s="180"/>
      <c r="R108" s="183" t="s">
        <v>303</v>
      </c>
    </row>
    <row r="109" ht="15.75" customHeight="1">
      <c r="A109" s="250" t="s">
        <v>123</v>
      </c>
      <c r="B109" s="179">
        <v>91677.0</v>
      </c>
      <c r="C109" s="179">
        <v>120669.0</v>
      </c>
      <c r="D109" s="179">
        <v>130356.0</v>
      </c>
      <c r="E109" s="179">
        <v>87097.0</v>
      </c>
      <c r="F109" s="179">
        <v>116270.0</v>
      </c>
      <c r="G109" s="179">
        <v>101607.0</v>
      </c>
      <c r="H109" s="179">
        <v>106478.0</v>
      </c>
      <c r="I109" s="179">
        <v>101233.0</v>
      </c>
      <c r="J109" s="179">
        <v>147247.0</v>
      </c>
      <c r="K109" s="179">
        <v>100405.0</v>
      </c>
      <c r="L109" s="179">
        <v>92966.0</v>
      </c>
      <c r="M109" s="179">
        <v>140358.0</v>
      </c>
      <c r="N109" s="179">
        <v>125289.0</v>
      </c>
      <c r="O109" s="179">
        <v>153667.0</v>
      </c>
      <c r="P109" s="179"/>
      <c r="Q109" s="179"/>
      <c r="R109" s="247">
        <v>1615319.0</v>
      </c>
    </row>
    <row r="110" ht="15.75" customHeight="1">
      <c r="A110" s="250" t="s">
        <v>124</v>
      </c>
      <c r="B110" s="180">
        <v>3.24</v>
      </c>
      <c r="C110" s="180">
        <v>3.0</v>
      </c>
      <c r="D110" s="180">
        <v>3.78</v>
      </c>
      <c r="E110" s="180">
        <v>1.94</v>
      </c>
      <c r="F110" s="180">
        <v>2.48</v>
      </c>
      <c r="G110" s="180">
        <v>2.12</v>
      </c>
      <c r="H110" s="180">
        <v>2.19</v>
      </c>
      <c r="I110" s="180">
        <v>1.84</v>
      </c>
      <c r="J110" s="180">
        <v>3.17</v>
      </c>
      <c r="K110" s="180">
        <v>2.15</v>
      </c>
      <c r="L110" s="180">
        <v>2.24</v>
      </c>
      <c r="M110" s="180">
        <v>2.68</v>
      </c>
      <c r="N110" s="180">
        <v>2.94</v>
      </c>
      <c r="O110" s="180">
        <v>3.81</v>
      </c>
      <c r="P110" s="180"/>
      <c r="Q110" s="180"/>
      <c r="R110" s="183">
        <v>2.62</v>
      </c>
    </row>
    <row r="111" ht="15.75" customHeight="1">
      <c r="A111" s="250" t="s">
        <v>125</v>
      </c>
      <c r="B111" s="179">
        <v>26439.0</v>
      </c>
      <c r="C111" s="179">
        <v>20966.0</v>
      </c>
      <c r="D111" s="179">
        <v>18182.0</v>
      </c>
      <c r="E111" s="179">
        <v>16786.0</v>
      </c>
      <c r="F111" s="179">
        <v>20483.0</v>
      </c>
      <c r="G111" s="179">
        <v>18279.0</v>
      </c>
      <c r="H111" s="179">
        <v>22704.0</v>
      </c>
      <c r="I111" s="179">
        <v>23770.0</v>
      </c>
      <c r="J111" s="179">
        <v>20873.0</v>
      </c>
      <c r="K111" s="179">
        <v>22625.0</v>
      </c>
      <c r="L111" s="179">
        <v>17440.0</v>
      </c>
      <c r="M111" s="179">
        <v>25083.0</v>
      </c>
      <c r="N111" s="179">
        <v>21315.0</v>
      </c>
      <c r="O111" s="179">
        <v>19826.0</v>
      </c>
      <c r="P111" s="179"/>
      <c r="Q111" s="179"/>
      <c r="R111" s="247">
        <v>294771.0</v>
      </c>
    </row>
    <row r="112" ht="15.75" customHeight="1">
      <c r="A112" s="250" t="s">
        <v>126</v>
      </c>
      <c r="B112" s="180" t="s">
        <v>142</v>
      </c>
      <c r="C112" s="180" t="s">
        <v>149</v>
      </c>
      <c r="D112" s="180" t="s">
        <v>154</v>
      </c>
      <c r="E112" s="180" t="s">
        <v>155</v>
      </c>
      <c r="F112" s="180" t="s">
        <v>164</v>
      </c>
      <c r="G112" s="180" t="s">
        <v>170</v>
      </c>
      <c r="H112" s="180" t="s">
        <v>155</v>
      </c>
      <c r="I112" s="180" t="s">
        <v>158</v>
      </c>
      <c r="J112" s="180" t="s">
        <v>175</v>
      </c>
      <c r="K112" s="180" t="s">
        <v>180</v>
      </c>
      <c r="L112" s="180" t="s">
        <v>182</v>
      </c>
      <c r="M112" s="180" t="s">
        <v>185</v>
      </c>
      <c r="N112" s="180" t="s">
        <v>187</v>
      </c>
      <c r="O112" s="180" t="s">
        <v>154</v>
      </c>
      <c r="P112" s="180"/>
      <c r="Q112" s="180"/>
      <c r="R112" s="183" t="s">
        <v>241</v>
      </c>
    </row>
    <row r="113" ht="15.75" customHeight="1">
      <c r="A113" s="250" t="s">
        <v>127</v>
      </c>
      <c r="B113" s="179">
        <v>26187.0</v>
      </c>
      <c r="C113" s="179">
        <v>17952.0</v>
      </c>
      <c r="D113" s="179">
        <v>8505.0</v>
      </c>
      <c r="E113" s="179">
        <v>7172.0</v>
      </c>
      <c r="F113" s="179">
        <v>9300.0</v>
      </c>
      <c r="G113" s="179">
        <v>8094.0</v>
      </c>
      <c r="H113" s="179">
        <v>10402.0</v>
      </c>
      <c r="I113" s="179">
        <v>11079.0</v>
      </c>
      <c r="J113" s="179">
        <v>11044.0</v>
      </c>
      <c r="K113" s="179">
        <v>12046.0</v>
      </c>
      <c r="L113" s="179">
        <v>9530.0</v>
      </c>
      <c r="M113" s="179">
        <v>14644.0</v>
      </c>
      <c r="N113" s="179">
        <v>12337.0</v>
      </c>
      <c r="O113" s="179">
        <v>11990.0</v>
      </c>
      <c r="P113" s="179"/>
      <c r="Q113" s="179"/>
      <c r="R113" s="247">
        <v>170282.0</v>
      </c>
    </row>
    <row r="114" ht="15.75" customHeight="1">
      <c r="A114" s="250" t="s">
        <v>128</v>
      </c>
      <c r="B114" s="180" t="s">
        <v>143</v>
      </c>
      <c r="C114" s="180" t="s">
        <v>150</v>
      </c>
      <c r="D114" s="180" t="s">
        <v>155</v>
      </c>
      <c r="E114" s="180" t="s">
        <v>158</v>
      </c>
      <c r="F114" s="180" t="s">
        <v>165</v>
      </c>
      <c r="G114" s="180" t="s">
        <v>171</v>
      </c>
      <c r="H114" s="180" t="s">
        <v>175</v>
      </c>
      <c r="I114" s="180" t="s">
        <v>155</v>
      </c>
      <c r="J114" s="180" t="s">
        <v>154</v>
      </c>
      <c r="K114" s="180" t="s">
        <v>154</v>
      </c>
      <c r="L114" s="180" t="s">
        <v>183</v>
      </c>
      <c r="M114" s="180" t="s">
        <v>164</v>
      </c>
      <c r="N114" s="180" t="s">
        <v>164</v>
      </c>
      <c r="O114" s="180" t="s">
        <v>190</v>
      </c>
      <c r="P114" s="180"/>
      <c r="Q114" s="180"/>
      <c r="R114" s="183" t="s">
        <v>164</v>
      </c>
    </row>
    <row r="115" ht="15.75" customHeight="1">
      <c r="A115" s="250" t="s">
        <v>129</v>
      </c>
      <c r="B115" s="180">
        <v>843.0</v>
      </c>
      <c r="C115" s="180">
        <v>971.0</v>
      </c>
      <c r="D115" s="180">
        <v>927.0</v>
      </c>
      <c r="E115" s="180">
        <v>944.0</v>
      </c>
      <c r="F115" s="180">
        <v>1561.0</v>
      </c>
      <c r="G115" s="180">
        <v>1511.0</v>
      </c>
      <c r="H115" s="180">
        <v>1777.0</v>
      </c>
      <c r="I115" s="180">
        <v>1401.0</v>
      </c>
      <c r="J115" s="180">
        <v>1265.0</v>
      </c>
      <c r="K115" s="180">
        <v>1591.0</v>
      </c>
      <c r="L115" s="180">
        <v>834.0</v>
      </c>
      <c r="M115" s="180">
        <v>1404.0</v>
      </c>
      <c r="N115" s="180">
        <v>1355.0</v>
      </c>
      <c r="O115" s="180">
        <v>1072.0</v>
      </c>
      <c r="P115" s="180"/>
      <c r="Q115" s="180"/>
      <c r="R115" s="183">
        <v>17456.0</v>
      </c>
    </row>
    <row r="116" ht="15.75" customHeight="1">
      <c r="A116" s="250" t="s">
        <v>130</v>
      </c>
      <c r="B116" s="180" t="s">
        <v>144</v>
      </c>
      <c r="C116" s="180" t="s">
        <v>151</v>
      </c>
      <c r="D116" s="180" t="s">
        <v>156</v>
      </c>
      <c r="E116" s="180" t="s">
        <v>159</v>
      </c>
      <c r="F116" s="180" t="s">
        <v>166</v>
      </c>
      <c r="G116" s="180" t="s">
        <v>172</v>
      </c>
      <c r="H116" s="180" t="s">
        <v>176</v>
      </c>
      <c r="I116" s="180" t="s">
        <v>177</v>
      </c>
      <c r="J116" s="180" t="s">
        <v>179</v>
      </c>
      <c r="K116" s="180" t="s">
        <v>181</v>
      </c>
      <c r="L116" s="180" t="s">
        <v>184</v>
      </c>
      <c r="M116" s="180" t="s">
        <v>159</v>
      </c>
      <c r="N116" s="180" t="s">
        <v>188</v>
      </c>
      <c r="O116" s="180" t="s">
        <v>191</v>
      </c>
      <c r="P116" s="180"/>
      <c r="Q116" s="180"/>
      <c r="R116" s="183" t="s">
        <v>177</v>
      </c>
    </row>
    <row r="117" ht="15.75" customHeight="1">
      <c r="A117" s="250" t="s">
        <v>278</v>
      </c>
      <c r="B117" s="180"/>
      <c r="C117" s="180"/>
      <c r="D117" s="180"/>
      <c r="E117" s="180"/>
      <c r="F117" s="180"/>
      <c r="G117" s="180"/>
      <c r="H117" s="180"/>
      <c r="I117" s="180">
        <v>116.0</v>
      </c>
      <c r="J117" s="180">
        <v>124.0</v>
      </c>
      <c r="K117" s="180">
        <v>86.0</v>
      </c>
      <c r="L117" s="180">
        <v>25.0</v>
      </c>
      <c r="M117" s="180">
        <v>34.0</v>
      </c>
      <c r="N117" s="180">
        <v>60.0</v>
      </c>
      <c r="O117" s="180">
        <v>74.0</v>
      </c>
      <c r="P117" s="180"/>
      <c r="Q117" s="180"/>
      <c r="R117" s="183">
        <v>519.0</v>
      </c>
    </row>
    <row r="118" ht="15.75" customHeight="1">
      <c r="A118" s="250" t="s">
        <v>132</v>
      </c>
      <c r="B118" s="180" t="s">
        <v>145</v>
      </c>
      <c r="C118" s="180" t="s">
        <v>145</v>
      </c>
      <c r="D118" s="180" t="s">
        <v>145</v>
      </c>
      <c r="E118" s="180" t="s">
        <v>145</v>
      </c>
      <c r="F118" s="180" t="s">
        <v>145</v>
      </c>
      <c r="G118" s="180" t="s">
        <v>145</v>
      </c>
      <c r="H118" s="180" t="s">
        <v>145</v>
      </c>
      <c r="I118" s="180" t="s">
        <v>153</v>
      </c>
      <c r="J118" s="180" t="s">
        <v>161</v>
      </c>
      <c r="K118" s="180" t="s">
        <v>152</v>
      </c>
      <c r="L118" s="180" t="s">
        <v>147</v>
      </c>
      <c r="M118" s="180" t="s">
        <v>147</v>
      </c>
      <c r="N118" s="180" t="s">
        <v>148</v>
      </c>
      <c r="O118" s="180" t="s">
        <v>152</v>
      </c>
      <c r="P118" s="180"/>
      <c r="Q118" s="180"/>
      <c r="R118" s="183" t="s">
        <v>146</v>
      </c>
    </row>
    <row r="119" ht="15.75" customHeight="1">
      <c r="A119" s="250" t="s">
        <v>279</v>
      </c>
      <c r="B119" s="180">
        <v>57.0</v>
      </c>
      <c r="C119" s="180">
        <v>90.0</v>
      </c>
      <c r="D119" s="180">
        <v>60.0</v>
      </c>
      <c r="E119" s="180">
        <v>156.0</v>
      </c>
      <c r="F119" s="180">
        <v>197.0</v>
      </c>
      <c r="G119" s="180">
        <v>141.0</v>
      </c>
      <c r="H119" s="180">
        <v>138.0</v>
      </c>
      <c r="I119" s="180">
        <v>110.0</v>
      </c>
      <c r="J119" s="180">
        <v>96.0</v>
      </c>
      <c r="K119" s="180">
        <v>79.0</v>
      </c>
      <c r="L119" s="180">
        <v>22.0</v>
      </c>
      <c r="M119" s="180">
        <v>21.0</v>
      </c>
      <c r="N119" s="180">
        <v>42.0</v>
      </c>
      <c r="O119" s="180">
        <v>71.0</v>
      </c>
      <c r="P119" s="180"/>
      <c r="Q119" s="180"/>
      <c r="R119" s="183">
        <v>1280.0</v>
      </c>
    </row>
    <row r="120" ht="15.75" customHeight="1">
      <c r="A120" s="250" t="s">
        <v>134</v>
      </c>
      <c r="B120" s="180" t="s">
        <v>146</v>
      </c>
      <c r="C120" s="180" t="s">
        <v>152</v>
      </c>
      <c r="D120" s="180" t="s">
        <v>148</v>
      </c>
      <c r="E120" s="180"/>
      <c r="F120" s="180" t="s">
        <v>167</v>
      </c>
      <c r="G120" s="180" t="s">
        <v>173</v>
      </c>
      <c r="H120" s="180" t="s">
        <v>161</v>
      </c>
      <c r="I120" s="180" t="s">
        <v>153</v>
      </c>
      <c r="J120" s="180" t="s">
        <v>153</v>
      </c>
      <c r="K120" s="180" t="s">
        <v>148</v>
      </c>
      <c r="L120" s="180" t="s">
        <v>147</v>
      </c>
      <c r="M120" s="180" t="s">
        <v>147</v>
      </c>
      <c r="N120" s="180" t="s">
        <v>146</v>
      </c>
      <c r="O120" s="180" t="s">
        <v>152</v>
      </c>
      <c r="P120" s="180"/>
      <c r="Q120" s="180"/>
      <c r="R120" s="183" t="s">
        <v>152</v>
      </c>
    </row>
    <row r="121" ht="15.75" customHeight="1">
      <c r="A121" s="250" t="s">
        <v>135</v>
      </c>
      <c r="B121" s="180">
        <v>51.0</v>
      </c>
      <c r="C121" s="180">
        <v>72.0</v>
      </c>
      <c r="D121" s="180">
        <v>30.0</v>
      </c>
      <c r="E121" s="180">
        <v>93.0</v>
      </c>
      <c r="F121" s="180">
        <v>141.0</v>
      </c>
      <c r="G121" s="180">
        <v>129.0</v>
      </c>
      <c r="H121" s="180">
        <v>132.0</v>
      </c>
      <c r="I121" s="180">
        <v>95.0</v>
      </c>
      <c r="J121" s="180">
        <v>94.0</v>
      </c>
      <c r="K121" s="180">
        <v>54.0</v>
      </c>
      <c r="L121" s="180">
        <v>29.0</v>
      </c>
      <c r="M121" s="180">
        <v>21.0</v>
      </c>
      <c r="N121" s="180">
        <v>33.0</v>
      </c>
      <c r="O121" s="180">
        <v>71.0</v>
      </c>
      <c r="P121" s="180"/>
      <c r="Q121" s="180"/>
      <c r="R121" s="183">
        <v>1045.0</v>
      </c>
    </row>
    <row r="122" ht="15.75" customHeight="1">
      <c r="A122" s="250" t="s">
        <v>280</v>
      </c>
      <c r="B122" s="180">
        <v>0.01</v>
      </c>
      <c r="C122" s="180">
        <v>0.01</v>
      </c>
      <c r="D122" s="180">
        <v>0.01</v>
      </c>
      <c r="E122" s="180">
        <v>0.02</v>
      </c>
      <c r="F122" s="180">
        <v>0.02</v>
      </c>
      <c r="G122" s="180">
        <v>0.02</v>
      </c>
      <c r="H122" s="180">
        <v>0.02</v>
      </c>
      <c r="I122" s="180">
        <v>0.01</v>
      </c>
      <c r="J122" s="180">
        <v>0.01</v>
      </c>
      <c r="K122" s="180">
        <v>0.01</v>
      </c>
      <c r="L122" s="180">
        <v>0.0</v>
      </c>
      <c r="M122" s="180">
        <v>0.0</v>
      </c>
      <c r="N122" s="180">
        <v>0.01</v>
      </c>
      <c r="O122" s="180">
        <v>0.01</v>
      </c>
      <c r="P122" s="180"/>
      <c r="Q122" s="180"/>
      <c r="R122" s="183">
        <v>0.01</v>
      </c>
    </row>
    <row r="123" ht="15.75" customHeight="1">
      <c r="A123" s="250" t="s">
        <v>136</v>
      </c>
      <c r="B123" s="180" t="s">
        <v>146</v>
      </c>
      <c r="C123" s="180" t="s">
        <v>148</v>
      </c>
      <c r="D123" s="180" t="s">
        <v>146</v>
      </c>
      <c r="E123" s="180" t="s">
        <v>161</v>
      </c>
      <c r="F123" s="180" t="s">
        <v>168</v>
      </c>
      <c r="G123" s="180" t="s">
        <v>168</v>
      </c>
      <c r="H123" s="180" t="s">
        <v>161</v>
      </c>
      <c r="I123" s="180" t="s">
        <v>152</v>
      </c>
      <c r="J123" s="180" t="s">
        <v>153</v>
      </c>
      <c r="K123" s="180" t="s">
        <v>146</v>
      </c>
      <c r="L123" s="180" t="s">
        <v>146</v>
      </c>
      <c r="M123" s="180" t="s">
        <v>147</v>
      </c>
      <c r="N123" s="180" t="s">
        <v>146</v>
      </c>
      <c r="O123" s="180" t="s">
        <v>152</v>
      </c>
      <c r="P123" s="180"/>
      <c r="Q123" s="180"/>
      <c r="R123" s="183" t="s">
        <v>152</v>
      </c>
    </row>
    <row r="124" ht="15.75" customHeight="1">
      <c r="A124" s="250" t="s">
        <v>137</v>
      </c>
      <c r="B124" s="180">
        <v>35.0</v>
      </c>
      <c r="C124" s="180">
        <v>37.0</v>
      </c>
      <c r="D124" s="180">
        <v>34.0</v>
      </c>
      <c r="E124" s="180">
        <v>92.0</v>
      </c>
      <c r="F124" s="180">
        <v>96.0</v>
      </c>
      <c r="G124" s="180">
        <v>129.0</v>
      </c>
      <c r="H124" s="180">
        <v>118.0</v>
      </c>
      <c r="I124" s="180">
        <v>121.0</v>
      </c>
      <c r="J124" s="180">
        <v>126.0</v>
      </c>
      <c r="K124" s="180">
        <v>69.0</v>
      </c>
      <c r="L124" s="180">
        <v>51.0</v>
      </c>
      <c r="M124" s="180">
        <v>87.0</v>
      </c>
      <c r="N124" s="180">
        <v>27.0</v>
      </c>
      <c r="O124" s="180">
        <v>75.0</v>
      </c>
      <c r="P124" s="180"/>
      <c r="Q124" s="180"/>
      <c r="R124" s="183">
        <v>1097.0</v>
      </c>
    </row>
    <row r="125" ht="15.75" customHeight="1">
      <c r="A125" s="250" t="s">
        <v>281</v>
      </c>
      <c r="B125" s="180">
        <v>0.01</v>
      </c>
      <c r="C125" s="180">
        <v>0.01</v>
      </c>
      <c r="D125" s="180">
        <v>0.01</v>
      </c>
      <c r="E125" s="180">
        <v>0.02</v>
      </c>
      <c r="F125" s="180">
        <v>0.01</v>
      </c>
      <c r="G125" s="180">
        <v>0.02</v>
      </c>
      <c r="H125" s="180">
        <v>0.02</v>
      </c>
      <c r="I125" s="180">
        <v>0.02</v>
      </c>
      <c r="J125" s="180">
        <v>0.02</v>
      </c>
      <c r="K125" s="180">
        <v>0.01</v>
      </c>
      <c r="L125" s="180">
        <v>0.01</v>
      </c>
      <c r="M125" s="180">
        <v>0.01</v>
      </c>
      <c r="N125" s="180">
        <v>0.0</v>
      </c>
      <c r="O125" s="180">
        <v>0.01</v>
      </c>
      <c r="P125" s="180"/>
      <c r="Q125" s="180"/>
      <c r="R125" s="183">
        <v>0.01</v>
      </c>
    </row>
    <row r="126" ht="15.75" customHeight="1">
      <c r="A126" s="250" t="s">
        <v>138</v>
      </c>
      <c r="B126" s="180" t="s">
        <v>147</v>
      </c>
      <c r="C126" s="180" t="s">
        <v>146</v>
      </c>
      <c r="D126" s="180" t="s">
        <v>146</v>
      </c>
      <c r="E126" s="180" t="s">
        <v>153</v>
      </c>
      <c r="F126" s="180" t="s">
        <v>153</v>
      </c>
      <c r="G126" s="180" t="s">
        <v>168</v>
      </c>
      <c r="H126" s="180" t="s">
        <v>153</v>
      </c>
      <c r="I126" s="180" t="s">
        <v>153</v>
      </c>
      <c r="J126" s="180" t="s">
        <v>161</v>
      </c>
      <c r="K126" s="180" t="s">
        <v>148</v>
      </c>
      <c r="L126" s="180" t="s">
        <v>148</v>
      </c>
      <c r="M126" s="180" t="s">
        <v>148</v>
      </c>
      <c r="N126" s="180" t="s">
        <v>147</v>
      </c>
      <c r="O126" s="180" t="s">
        <v>152</v>
      </c>
      <c r="P126" s="180"/>
      <c r="Q126" s="180"/>
      <c r="R126" s="183" t="s">
        <v>152</v>
      </c>
    </row>
    <row r="127" ht="15.75" customHeight="1">
      <c r="A127" s="250" t="s">
        <v>139</v>
      </c>
      <c r="B127" s="180">
        <v>86.0</v>
      </c>
      <c r="C127" s="180">
        <v>109.0</v>
      </c>
      <c r="D127" s="180">
        <v>64.0</v>
      </c>
      <c r="E127" s="180">
        <v>185.0</v>
      </c>
      <c r="F127" s="180">
        <v>237.0</v>
      </c>
      <c r="G127" s="180">
        <v>258.0</v>
      </c>
      <c r="H127" s="180">
        <v>250.0</v>
      </c>
      <c r="I127" s="180">
        <v>216.0</v>
      </c>
      <c r="J127" s="180">
        <v>220.0</v>
      </c>
      <c r="K127" s="180">
        <v>123.0</v>
      </c>
      <c r="L127" s="180">
        <v>80.0</v>
      </c>
      <c r="M127" s="180">
        <v>108.0</v>
      </c>
      <c r="N127" s="180">
        <v>60.0</v>
      </c>
      <c r="O127" s="180">
        <v>146.0</v>
      </c>
      <c r="P127" s="180"/>
      <c r="Q127" s="180"/>
      <c r="R127" s="183">
        <v>2142.0</v>
      </c>
    </row>
    <row r="128" ht="15.75" customHeight="1">
      <c r="A128" s="251" t="s">
        <v>140</v>
      </c>
      <c r="B128" s="209" t="s">
        <v>148</v>
      </c>
      <c r="C128" s="209" t="s">
        <v>153</v>
      </c>
      <c r="D128" s="209" t="s">
        <v>152</v>
      </c>
      <c r="E128" s="209" t="s">
        <v>162</v>
      </c>
      <c r="F128" s="209" t="s">
        <v>169</v>
      </c>
      <c r="G128" s="209" t="s">
        <v>174</v>
      </c>
      <c r="H128" s="209" t="s">
        <v>162</v>
      </c>
      <c r="I128" s="209" t="s">
        <v>160</v>
      </c>
      <c r="J128" s="209" t="s">
        <v>162</v>
      </c>
      <c r="K128" s="209" t="s">
        <v>153</v>
      </c>
      <c r="L128" s="209" t="s">
        <v>153</v>
      </c>
      <c r="M128" s="209" t="s">
        <v>152</v>
      </c>
      <c r="N128" s="209" t="s">
        <v>148</v>
      </c>
      <c r="O128" s="209" t="s">
        <v>168</v>
      </c>
      <c r="P128" s="209"/>
      <c r="Q128" s="209"/>
      <c r="R128" s="249" t="s">
        <v>168</v>
      </c>
    </row>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2">
    <tablePart r:id="rId4"/>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2026-04-26T22:42:55Z</dcterms:created>
  <dc:creator>RTK</dc:creator>
</cp:coreProperties>
</file>